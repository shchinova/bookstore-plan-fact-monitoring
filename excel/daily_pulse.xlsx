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ev Ts\Documents\Analytics\GitHub\bookstore-plan-fact-monitoring\excel\"/>
    </mc:Choice>
  </mc:AlternateContent>
  <xr:revisionPtr revIDLastSave="0" documentId="13_ncr:1_{BB824D77-DAF5-464D-98E5-4EC6388093B1}" xr6:coauthVersionLast="47" xr6:coauthVersionMax="47" xr10:uidLastSave="{00000000-0000-0000-0000-000000000000}"/>
  <bookViews>
    <workbookView xWindow="-110" yWindow="-110" windowWidth="25820" windowHeight="15620" tabRatio="875" activeTab="1" xr2:uid="{00000000-000D-0000-FFFF-FFFF00000000}"/>
  </bookViews>
  <sheets>
    <sheet name="Сегодня" sheetId="1" r:id="rId1"/>
    <sheet name="Данные" sheetId="2" r:id="rId2"/>
  </sheets>
  <definedNames>
    <definedName name="ExternalData_1" localSheetId="1" hidden="1">Данные!$S$3:$AG$5</definedName>
  </definedNames>
  <calcPr calcId="191029"/>
  <pivotCaches>
    <pivotCache cacheId="23" r:id="rId3"/>
    <pivotCache cacheId="26" r:id="rId4"/>
    <pivotCache cacheId="29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ublic mart_daily_breakdown_ceb71826-8ed6-4ea1-ad85-5b116d9c7b12" name="public mart_daily_breakdown" connection="Запрос — public mart_daily_breakdown"/>
          <x15:modelTable id="public mart_plan_fact_e02ac82e-64ff-4177-b2ad-8111b96aaf93" name="public mart_plan_fact" connection="Запрос — public mart_plan_fac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22" i="1" l="1"/>
  <c r="W9" i="1"/>
  <c r="W10" i="1"/>
  <c r="R16" i="1" a="1"/>
  <c r="R16" i="1" s="1"/>
  <c r="R17" i="1" a="1"/>
  <c r="R17" i="1" s="1"/>
  <c r="R18" i="1" a="1"/>
  <c r="R18" i="1" s="1"/>
  <c r="R19" i="1" a="1"/>
  <c r="R19" i="1" s="1"/>
  <c r="B3" i="1"/>
  <c r="C10" i="1"/>
  <c r="B10" i="1" s="1"/>
  <c r="Y10" i="1"/>
  <c r="X10" i="1"/>
  <c r="Q18" i="1" a="1"/>
  <c r="Q18" i="1" s="1"/>
  <c r="P18" i="1" s="1"/>
  <c r="N18" i="1" a="1"/>
  <c r="N18" i="1" s="1"/>
  <c r="V16" i="1"/>
  <c r="X16" i="1"/>
  <c r="V17" i="1"/>
  <c r="X17" i="1"/>
  <c r="V18" i="1"/>
  <c r="X18" i="1"/>
  <c r="V15" i="1"/>
  <c r="X15" i="1"/>
  <c r="U17" i="1"/>
  <c r="U18" i="1"/>
  <c r="U16" i="1"/>
  <c r="U15" i="1"/>
  <c r="X24" i="1"/>
  <c r="X25" i="1"/>
  <c r="X26" i="1"/>
  <c r="X27" i="1"/>
  <c r="X28" i="1"/>
  <c r="X29" i="1"/>
  <c r="X30" i="1"/>
  <c r="X31" i="1"/>
  <c r="X32" i="1"/>
  <c r="V24" i="1"/>
  <c r="V25" i="1"/>
  <c r="V26" i="1"/>
  <c r="V27" i="1"/>
  <c r="V28" i="1"/>
  <c r="V29" i="1"/>
  <c r="V30" i="1"/>
  <c r="V31" i="1"/>
  <c r="V32" i="1"/>
  <c r="U32" i="1"/>
  <c r="U31" i="1"/>
  <c r="U24" i="1"/>
  <c r="U25" i="1"/>
  <c r="U26" i="1"/>
  <c r="U27" i="1"/>
  <c r="U28" i="1"/>
  <c r="U29" i="1"/>
  <c r="U30" i="1"/>
  <c r="U23" i="1"/>
  <c r="V23" i="1"/>
  <c r="X23" i="1"/>
  <c r="J16" i="1"/>
  <c r="J17" i="1"/>
  <c r="J18" i="1"/>
  <c r="J19" i="1"/>
  <c r="I16" i="1"/>
  <c r="I17" i="1"/>
  <c r="I18" i="1"/>
  <c r="I19" i="1"/>
  <c r="H16" i="1"/>
  <c r="H17" i="1"/>
  <c r="H18" i="1"/>
  <c r="H19" i="1"/>
  <c r="E16" i="1"/>
  <c r="E17" i="1"/>
  <c r="E18" i="1"/>
  <c r="E19" i="1"/>
  <c r="D16" i="1"/>
  <c r="D17" i="1"/>
  <c r="D18" i="1"/>
  <c r="D19" i="1"/>
  <c r="C16" i="1"/>
  <c r="C17" i="1"/>
  <c r="C18" i="1"/>
  <c r="C19" i="1"/>
  <c r="B18" i="1"/>
  <c r="B19" i="1"/>
  <c r="B16" i="1"/>
  <c r="B17" i="1"/>
  <c r="C15" i="1"/>
  <c r="D15" i="1"/>
  <c r="E15" i="1"/>
  <c r="H15" i="1"/>
  <c r="I15" i="1"/>
  <c r="J15" i="1"/>
  <c r="B15" i="1"/>
  <c r="E2" i="2"/>
  <c r="M26" i="1"/>
  <c r="G9" i="2"/>
  <c r="M25" i="1"/>
  <c r="Y26" i="1" l="1"/>
  <c r="G10" i="2"/>
  <c r="Q25" i="1"/>
  <c r="M27" i="1"/>
  <c r="Y29" i="1"/>
  <c r="Y23" i="1"/>
  <c r="Y28" i="1"/>
  <c r="Y31" i="1"/>
  <c r="Y32" i="1"/>
  <c r="Y30" i="1"/>
  <c r="Y15" i="1"/>
  <c r="Y17" i="1"/>
  <c r="Y25" i="1"/>
  <c r="Y24" i="1"/>
  <c r="Y18" i="1"/>
  <c r="Y27" i="1"/>
  <c r="Y16" i="1"/>
  <c r="E5" i="2"/>
  <c r="Q19" i="1" a="1"/>
  <c r="Q19" i="1" s="1"/>
  <c r="P19" i="1" s="1"/>
  <c r="N19" i="1" a="1"/>
  <c r="N19" i="1" s="1"/>
  <c r="O10" i="1"/>
  <c r="N10" i="1" s="1"/>
  <c r="P10" i="1"/>
  <c r="N9" i="1"/>
  <c r="Q20" i="1" a="1"/>
  <c r="Q20" i="1" s="1"/>
  <c r="P20" i="1" s="1"/>
  <c r="N20" i="1" a="1"/>
  <c r="N20" i="1" s="1"/>
  <c r="T10" i="1"/>
  <c r="S10" i="1" s="1"/>
  <c r="S9" i="1"/>
  <c r="Q17" i="1" a="1"/>
  <c r="Q17" i="1" s="1"/>
  <c r="P17" i="1" s="1"/>
  <c r="N17" i="1" a="1"/>
  <c r="N17" i="1" s="1"/>
  <c r="K10" i="1"/>
  <c r="J10" i="1" s="1"/>
  <c r="L10" i="1"/>
  <c r="J9" i="1"/>
  <c r="Q16" i="1" a="1"/>
  <c r="Q16" i="1" s="1"/>
  <c r="P16" i="1" s="1"/>
  <c r="N16" i="1" a="1"/>
  <c r="N16" i="1" s="1"/>
  <c r="G10" i="1"/>
  <c r="F10" i="1" s="1"/>
  <c r="H10" i="1"/>
  <c r="F9" i="1"/>
  <c r="Q15" i="1" a="1"/>
  <c r="Q15" i="1" s="1"/>
  <c r="P15" i="1" s="1"/>
  <c r="R15" i="1" a="1"/>
  <c r="R15" i="1" s="1"/>
  <c r="N15" i="1" a="1"/>
  <c r="N15" i="1" s="1"/>
  <c r="D10" i="1"/>
  <c r="AA1" i="1"/>
  <c r="B9" i="1"/>
  <c r="E3" i="2" l="1"/>
  <c r="E4" i="2"/>
  <c r="E8" i="2" s="1"/>
  <c r="B3" i="2" l="1" a="1"/>
  <c r="B3" i="2" s="1"/>
  <c r="E6" i="2" s="1"/>
  <c r="P30" i="1" s="1"/>
  <c r="R30" i="1" l="1"/>
  <c r="P3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E1276C-0EEA-4E5B-95C1-51742B2B9907}" keepAlive="1" name="ThisWorkbookDataModel" description="Модель данных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E0CF9EF-07F8-413D-8192-27B510ACDC17}" name="Запрос — public mart_daily_breakdown" description="Соединение с запросом &quot;public mart_daily_breakdown&quot; в книге." type="100" refreshedVersion="8" minRefreshableVersion="5">
    <extLst>
      <ext xmlns:x15="http://schemas.microsoft.com/office/spreadsheetml/2010/11/main" uri="{DE250136-89BD-433C-8126-D09CA5730AF9}">
        <x15:connection id="8c7ed466-14c2-4e67-93c1-db6ff402501a"/>
      </ext>
    </extLst>
  </connection>
  <connection id="3" xr16:uid="{1DD64B86-FA45-445B-A30B-50CB43F6E65E}" keepAlive="1" name="Запрос — public mart_daily_channels" description="Соединение с запросом &quot;public mart_daily_channels&quot; в книге." type="5" refreshedVersion="8" background="1" saveData="1">
    <dbPr connection="Provider=Microsoft.Mashup.OleDb.1;Data Source=$Workbook$;Location=&quot;public mart_daily_channels&quot;;Extended Properties=&quot;&quot;" command="SELECT * FROM [public mart_daily_channels]"/>
  </connection>
  <connection id="4" xr16:uid="{7845B852-BBED-471D-B8D3-1BF3B2582978}" keepAlive="1" name="Запрос — public mart_daily_format_pulse" description="Соединение с запросом &quot;public mart_daily_format_pulse&quot; в книге." type="5" refreshedVersion="8" background="1" saveData="1">
    <dbPr connection="Provider=Microsoft.Mashup.OleDb.1;Data Source=$Workbook$;Location=&quot;public mart_daily_format_pulse&quot;;Extended Properties=&quot;&quot;" command="SELECT * FROM [public mart_daily_format_pulse]"/>
  </connection>
  <connection id="5" xr16:uid="{C4BE8C06-05FB-4CE4-B5CE-1BEC56896A8F}" keepAlive="1" name="Запрос — public mart_daily_pulse" description="Соединение с запросом &quot;public mart_daily_pulse&quot; в книге." type="5" refreshedVersion="8" background="1" saveData="1">
    <dbPr connection="Provider=Microsoft.Mashup.OleDb.1;Data Source=$Workbook$;Location=&quot;public mart_daily_pulse&quot;;Extended Properties=&quot;&quot;" command="SELECT * FROM [public mart_daily_pulse]"/>
  </connection>
  <connection id="6" xr16:uid="{485B6B40-308A-4FE6-8CF8-6CA1108C09F2}" keepAlive="1" name="Запрос — public mart_daily_revenue_mtd" description="Соединение с запросом &quot;public mart_daily_revenue_mtd&quot; в книге." type="5" refreshedVersion="8" background="1" saveData="1">
    <dbPr connection="Provider=Microsoft.Mashup.OleDb.1;Data Source=$Workbook$;Location=&quot;public mart_daily_revenue_mtd&quot;;Extended Properties=&quot;&quot;" command="SELECT * FROM [public mart_daily_revenue_mtd]"/>
  </connection>
  <connection id="7" xr16:uid="{60D76A45-A0BC-4B48-A1E3-DBDB936B2261}" keepAlive="1" name="Запрос — public mart_daily_top5" description="Соединение с запросом &quot;public mart_daily_top5&quot; в книге." type="5" refreshedVersion="8" background="1" saveData="1">
    <dbPr connection="Provider=Microsoft.Mashup.OleDb.1;Data Source=$Workbook$;Location=&quot;public mart_daily_top5&quot;;Extended Properties=&quot;&quot;" command="SELECT * FROM [public mart_daily_top5]"/>
  </connection>
  <connection id="8" xr16:uid="{23F5A34A-B46E-4CBC-8A66-BCC1B88EA231}" keepAlive="1" name="Запрос — public mart_inventory_alerts" description="Соединение с запросом &quot;public mart_inventory_alerts&quot; в книге." type="5" refreshedVersion="8" background="1" saveData="1">
    <dbPr connection="Provider=Microsoft.Mashup.OleDb.1;Data Source=$Workbook$;Location=&quot;public mart_inventory_alerts&quot;;Extended Properties=&quot;&quot;" command="SELECT * FROM [public mart_inventory_alerts]"/>
  </connection>
  <connection id="9" xr16:uid="{5B7B9834-26E8-4EEA-A06B-A6E5EC7E8016}" keepAlive="1" name="Запрос — public mart_mtd_pulse" description="Соединение с запросом &quot;public mart_mtd_pulse&quot; в книге." type="5" refreshedVersion="8" background="1" saveData="1">
    <dbPr connection="Provider=Microsoft.Mashup.OleDb.1;Data Source=$Workbook$;Location=&quot;public mart_mtd_pulse&quot;;Extended Properties=&quot;&quot;" command="SELECT * FROM [public mart_mtd_pulse]"/>
  </connection>
  <connection id="10" xr16:uid="{DFEE84BC-1791-484C-AFE8-B6346AA567B7}" name="Запрос — public mart_plan_fact" description="Соединение с запросом &quot;public mart_plan_fact&quot; в книге." type="100" refreshedVersion="8" minRefreshableVersion="5">
    <extLst>
      <ext xmlns:x15="http://schemas.microsoft.com/office/spreadsheetml/2010/11/main" uri="{DE250136-89BD-433C-8126-D09CA5730AF9}">
        <x15:connection id="17f34916-5313-4f5a-8e8f-b817e44d9296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<sst xmlns="http://schemas.openxmlformats.org/spreadsheetml/2006/main" count="237" uniqueCount="152">
  <si>
    <t>KPI</t>
  </si>
  <si>
    <t>Прогноз закрытия месяца</t>
  </si>
  <si>
    <t>Тренды продаж</t>
  </si>
  <si>
    <t>Выручка по дням текущего месяца</t>
  </si>
  <si>
    <t>Топ-5 товаров дня</t>
  </si>
  <si>
    <t>day_type</t>
  </si>
  <si>
    <t>report_date</t>
  </si>
  <si>
    <t>prev_date</t>
  </si>
  <si>
    <t>total_revenue</t>
  </si>
  <si>
    <t>total_orders</t>
  </si>
  <si>
    <t>avg_order_value</t>
  </si>
  <si>
    <t>total_gross_profit</t>
  </si>
  <si>
    <t>gross_margin</t>
  </si>
  <si>
    <t>today</t>
  </si>
  <si>
    <t>yesterday</t>
  </si>
  <si>
    <t>month_start</t>
  </si>
  <si>
    <t>month_to_date</t>
  </si>
  <si>
    <t>mtd_revenue</t>
  </si>
  <si>
    <t>mtd_orders</t>
  </si>
  <si>
    <t>mtd_net_qty</t>
  </si>
  <si>
    <t>mtd_gross_profit</t>
  </si>
  <si>
    <t>mtd_gross_margin</t>
  </si>
  <si>
    <t>mtd_avg_order_value</t>
  </si>
  <si>
    <t>prev_mtd_revenue</t>
  </si>
  <si>
    <t>prev_mtd_orders</t>
  </si>
  <si>
    <t>prev_mtd_net_qty</t>
  </si>
  <si>
    <t>prev_mtd_gross_profit</t>
  </si>
  <si>
    <t>prev_mtd_gross_margin</t>
  </si>
  <si>
    <t>prev_mtd_avg_order_value</t>
  </si>
  <si>
    <t>product_id</t>
  </si>
  <si>
    <t>title</t>
  </si>
  <si>
    <t>format</t>
  </si>
  <si>
    <t>genre</t>
  </si>
  <si>
    <t>revenue</t>
  </si>
  <si>
    <t>net_qty</t>
  </si>
  <si>
    <t>rnk</t>
  </si>
  <si>
    <t>Annual Subscription</t>
  </si>
  <si>
    <t>Subscription</t>
  </si>
  <si>
    <t>Падаль конструкция (History)</t>
  </si>
  <si>
    <t>Hardcover</t>
  </si>
  <si>
    <t>History</t>
  </si>
  <si>
    <t>Пастух ночь тысяча (Science)</t>
  </si>
  <si>
    <t>Audiobook</t>
  </si>
  <si>
    <t>Science</t>
  </si>
  <si>
    <t>Нож скользить (Science)</t>
  </si>
  <si>
    <t>Роскошный добиться (Mystery)</t>
  </si>
  <si>
    <t>Mystery</t>
  </si>
  <si>
    <t>publisher</t>
  </si>
  <si>
    <t>price_rub</t>
  </si>
  <si>
    <t>closing_stock</t>
  </si>
  <si>
    <t>is_low_stock</t>
  </si>
  <si>
    <t>stock_date</t>
  </si>
  <si>
    <t>avg_daily_sales_30d</t>
  </si>
  <si>
    <t>days_until_stockout</t>
  </si>
  <si>
    <t>recommended_order_qty</t>
  </si>
  <si>
    <t>recommended_order_cost</t>
  </si>
  <si>
    <t>alert_level</t>
  </si>
  <si>
    <t>Дата:</t>
  </si>
  <si>
    <t>Валовая прибыль</t>
  </si>
  <si>
    <t>День</t>
  </si>
  <si>
    <t>Месяц</t>
  </si>
  <si>
    <t>Выручка</t>
  </si>
  <si>
    <t>Заказы</t>
  </si>
  <si>
    <t>Общий итог</t>
  </si>
  <si>
    <t>Факт</t>
  </si>
  <si>
    <t>План</t>
  </si>
  <si>
    <t>Дата</t>
  </si>
  <si>
    <t>Год</t>
  </si>
  <si>
    <t>Всего дней</t>
  </si>
  <si>
    <t>Сегодня</t>
  </si>
  <si>
    <t>Даты месяца</t>
  </si>
  <si>
    <t>План vs Факт</t>
  </si>
  <si>
    <t>За месяц</t>
  </si>
  <si>
    <t>По жанрам</t>
  </si>
  <si>
    <t>Biography</t>
  </si>
  <si>
    <t>Business</t>
  </si>
  <si>
    <t>Children</t>
  </si>
  <si>
    <t>Fantasy</t>
  </si>
  <si>
    <t>Fiction</t>
  </si>
  <si>
    <t>Poetry</t>
  </si>
  <si>
    <t>Romance</t>
  </si>
  <si>
    <t>Жанр</t>
  </si>
  <si>
    <t>По форматам</t>
  </si>
  <si>
    <t>eBook</t>
  </si>
  <si>
    <t>Paperback</t>
  </si>
  <si>
    <t>KPI текущего и прошлого дня</t>
  </si>
  <si>
    <t>Накопительный итог текущего месяца</t>
  </si>
  <si>
    <t>Средний чек</t>
  </si>
  <si>
    <t>Валовая маржа</t>
  </si>
  <si>
    <t>vs yesterday</t>
  </si>
  <si>
    <t>Промежуточные итоги месяца</t>
  </si>
  <si>
    <t>ID</t>
  </si>
  <si>
    <t>Название</t>
  </si>
  <si>
    <t>Формат</t>
  </si>
  <si>
    <t>Ед.</t>
  </si>
  <si>
    <t>Ранг</t>
  </si>
  <si>
    <t>Значение</t>
  </si>
  <si>
    <t>vs last month</t>
  </si>
  <si>
    <t>∆</t>
  </si>
  <si>
    <t>Выполнение</t>
  </si>
  <si>
    <t>Осталось</t>
  </si>
  <si>
    <t>Отклонение</t>
  </si>
  <si>
    <t>Факт vs план по жанрам</t>
  </si>
  <si>
    <t>Факт vs план по форматам</t>
  </si>
  <si>
    <t>Чистая выручка</t>
  </si>
  <si>
    <t>План продаж</t>
  </si>
  <si>
    <t>*KPI — чистая выручка (за вычетом возвратов)</t>
  </si>
  <si>
    <t>Выполнено</t>
  </si>
  <si>
    <t>Low-stock виджет — Товары ниже порога остатков</t>
  </si>
  <si>
    <t>Продано штук</t>
  </si>
  <si>
    <t>Выполнение плана</t>
  </si>
  <si>
    <t>return_qty</t>
  </si>
  <si>
    <t>return_amount</t>
  </si>
  <si>
    <t>return_rate_pct</t>
  </si>
  <si>
    <t>promo_orders</t>
  </si>
  <si>
    <t>promo_revenue</t>
  </si>
  <si>
    <t>promo_orders_pct</t>
  </si>
  <si>
    <t>lost_sales_qty</t>
  </si>
  <si>
    <t>channel</t>
  </si>
  <si>
    <t>orders</t>
  </si>
  <si>
    <t>net_revenue</t>
  </si>
  <si>
    <t>gross_profit</t>
  </si>
  <si>
    <t>API Partner</t>
  </si>
  <si>
    <t>Mobile App</t>
  </si>
  <si>
    <t>Web</t>
  </si>
  <si>
    <t>Структура по каналам</t>
  </si>
  <si>
    <t>Стурктура по форматам</t>
  </si>
  <si>
    <t>k</t>
  </si>
  <si>
    <t>l</t>
  </si>
  <si>
    <r>
      <t xml:space="preserve">Выручка  </t>
    </r>
    <r>
      <rPr>
        <sz val="11"/>
        <color theme="5" tint="-0.249977111117893"/>
        <rFont val="Segoe UI Black"/>
        <family val="2"/>
        <charset val="204"/>
      </rPr>
      <t>○</t>
    </r>
  </si>
  <si>
    <r>
      <t xml:space="preserve">Заказы  </t>
    </r>
    <r>
      <rPr>
        <b/>
        <sz val="11"/>
        <color theme="2" tint="-0.499984740745262"/>
        <rFont val="Segoe UI Black"/>
        <family val="2"/>
        <charset val="204"/>
      </rPr>
      <t>○</t>
    </r>
  </si>
  <si>
    <r>
      <t xml:space="preserve">Средний чек  </t>
    </r>
    <r>
      <rPr>
        <b/>
        <sz val="11"/>
        <color theme="4" tint="-0.249977111117893"/>
        <rFont val="Segoe UI Black"/>
        <family val="2"/>
        <charset val="204"/>
      </rPr>
      <t>○</t>
    </r>
  </si>
  <si>
    <r>
      <t xml:space="preserve">Валовая прибыль  </t>
    </r>
    <r>
      <rPr>
        <b/>
        <sz val="11"/>
        <color theme="9" tint="-0.249977111117893"/>
        <rFont val="Segoe UI Black"/>
        <family val="2"/>
        <charset val="204"/>
      </rPr>
      <t>○</t>
    </r>
  </si>
  <si>
    <r>
      <t xml:space="preserve">Валовая маржа  </t>
    </r>
    <r>
      <rPr>
        <b/>
        <sz val="11"/>
        <color rgb="FF7030A0"/>
        <rFont val="Segoe UI Black"/>
        <family val="2"/>
        <charset val="204"/>
      </rPr>
      <t>○</t>
    </r>
  </si>
  <si>
    <r>
      <t xml:space="preserve">Возвраты  </t>
    </r>
    <r>
      <rPr>
        <b/>
        <sz val="11"/>
        <color rgb="FFC00000"/>
        <rFont val="Segoe UI Black"/>
        <family val="2"/>
        <charset val="204"/>
      </rPr>
      <t>○</t>
    </r>
  </si>
  <si>
    <t>∧</t>
  </si>
  <si>
    <t>∨</t>
  </si>
  <si>
    <t>Jan'</t>
  </si>
  <si>
    <t>Feb'</t>
  </si>
  <si>
    <t>Mar'</t>
  </si>
  <si>
    <t>Apr'</t>
  </si>
  <si>
    <t>May'</t>
  </si>
  <si>
    <t>Jun'</t>
  </si>
  <si>
    <t>Jul'</t>
  </si>
  <si>
    <t>Aug'</t>
  </si>
  <si>
    <t>Sep'</t>
  </si>
  <si>
    <t>Okt'</t>
  </si>
  <si>
    <t>Nov'</t>
  </si>
  <si>
    <t>Dec'</t>
  </si>
  <si>
    <t>Оперативный отчёт</t>
  </si>
  <si>
    <t>Operational report</t>
  </si>
  <si>
    <t>Доля возвратов в выручке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</si>
</sst>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7" formatCode="\+#,#00;\-#,#00;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9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Wingdings 3"/>
      <family val="1"/>
      <charset val="2"/>
    </font>
    <font>
      <b/>
      <sz val="11"/>
      <color theme="5" tint="-0.249977111117893"/>
      <name val="Calibri"/>
      <family val="2"/>
      <charset val="204"/>
      <scheme val="minor"/>
    </font>
    <font>
      <b/>
      <sz val="11"/>
      <color theme="1"/>
      <name val="Segoe UI Black"/>
      <family val="2"/>
      <charset val="204"/>
    </font>
    <font>
      <b/>
      <sz val="12"/>
      <color theme="1"/>
      <name val="Segoe UI Black"/>
      <family val="2"/>
      <charset val="204"/>
    </font>
    <font>
      <b/>
      <sz val="11"/>
      <color theme="2" tint="-0.499984740745262"/>
      <name val="Segoe UI Black"/>
      <family val="2"/>
      <charset val="204"/>
    </font>
    <font>
      <b/>
      <sz val="11"/>
      <color theme="4" tint="-0.249977111117893"/>
      <name val="Segoe UI Black"/>
      <family val="2"/>
      <charset val="204"/>
    </font>
    <font>
      <b/>
      <sz val="11"/>
      <color theme="9" tint="-0.249977111117893"/>
      <name val="Segoe UI Black"/>
      <family val="2"/>
      <charset val="204"/>
    </font>
    <font>
      <b/>
      <sz val="11"/>
      <color rgb="FF7030A0"/>
      <name val="Segoe UI Black"/>
      <family val="2"/>
      <charset val="204"/>
    </font>
    <font>
      <b/>
      <sz val="11"/>
      <color rgb="FFC00000"/>
      <name val="Segoe UI Black"/>
      <family val="2"/>
      <charset val="204"/>
    </font>
    <font>
      <sz val="11"/>
      <color theme="5" tint="-0.249977111117893"/>
      <name val="Segoe UI Black"/>
      <family val="2"/>
      <charset val="204"/>
    </font>
    <font>
      <b/>
      <sz val="14"/>
      <color theme="1"/>
      <name val="Segoe UI Black"/>
      <family val="2"/>
      <charset val="204"/>
    </font>
    <font>
      <sz val="14"/>
      <color theme="1"/>
      <name val="Bahnschrift"/>
      <family val="2"/>
      <charset val="204"/>
    </font>
    <font>
      <sz val="11"/>
      <color theme="1"/>
      <name val="Arial Nova Cond"/>
      <family val="2"/>
    </font>
    <font>
      <sz val="10"/>
      <color theme="1" tint="0.499984740745262"/>
      <name val="Bahnschrift Light"/>
      <family val="2"/>
      <charset val="204"/>
    </font>
    <font>
      <sz val="9"/>
      <color theme="1" tint="0.499984740745262"/>
      <name val="Bahnschrift Light"/>
      <family val="2"/>
      <charset val="204"/>
    </font>
    <font>
      <sz val="12"/>
      <color theme="1"/>
      <name val="Bahnschrift"/>
      <family val="2"/>
      <charset val="204"/>
    </font>
    <font>
      <b/>
      <sz val="10"/>
      <color theme="1"/>
      <name val="Segoe UI Black"/>
      <family val="2"/>
      <charset val="204"/>
    </font>
    <font>
      <b/>
      <sz val="11"/>
      <color theme="1"/>
      <name val="Arial Nova Cond"/>
      <family val="2"/>
    </font>
    <font>
      <sz val="11"/>
      <color theme="1" tint="0.499984740745262"/>
      <name val="Arial Nova Cond"/>
      <family val="2"/>
    </font>
    <font>
      <sz val="11"/>
      <color theme="1"/>
      <name val="Bahnschrift Light"/>
      <family val="2"/>
      <charset val="204"/>
    </font>
    <font>
      <b/>
      <sz val="11"/>
      <color theme="1"/>
      <name val="Bahnschrift Light"/>
      <family val="2"/>
      <charset val="204"/>
    </font>
    <font>
      <sz val="11"/>
      <color theme="1" tint="0.499984740745262"/>
      <name val="Bahnschrift Light"/>
      <family val="2"/>
      <charset val="204"/>
    </font>
    <font>
      <b/>
      <sz val="12"/>
      <name val="Bahnschrift Light"/>
      <family val="2"/>
      <charset val="204"/>
    </font>
    <font>
      <sz val="9"/>
      <color theme="1"/>
      <name val="Lucida Sans Unicode"/>
      <family val="2"/>
      <charset val="204"/>
    </font>
    <font>
      <b/>
      <sz val="9"/>
      <color theme="1"/>
      <name val="Lucida Sans Unicode"/>
      <family val="2"/>
      <charset val="204"/>
    </font>
    <font>
      <b/>
      <sz val="18"/>
      <color theme="1"/>
      <name val="Segoe UI Black"/>
      <family val="2"/>
      <charset val="204"/>
    </font>
    <font>
      <b/>
      <sz val="11"/>
      <color theme="1" tint="0.499984740745262"/>
      <name val="Bahnschrift Light"/>
      <family val="2"/>
      <charset val="204"/>
    </font>
    <font>
      <b/>
      <sz val="11"/>
      <name val="Bahnschrift Light"/>
      <family val="2"/>
      <charset val="204"/>
    </font>
    <font>
      <sz val="10"/>
      <name val="Bahnschrift Light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499984740745262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6">
    <xf numFmtId="0" fontId="0" fillId="0" borderId="0" xfId="0"/>
    <xf numFmtId="164" fontId="0" fillId="0" borderId="0" xfId="1" applyNumberFormat="1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right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2" borderId="0" xfId="0" applyFill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2" xfId="0" applyBorder="1" applyAlignment="1">
      <alignment horizontal="right" vertical="center"/>
    </xf>
    <xf numFmtId="14" fontId="0" fillId="0" borderId="2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2" borderId="0" xfId="0" applyFill="1"/>
    <xf numFmtId="1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right" vertical="center"/>
    </xf>
    <xf numFmtId="0" fontId="0" fillId="0" borderId="4" xfId="0" applyBorder="1" applyAlignment="1">
      <alignment vertical="center"/>
    </xf>
    <xf numFmtId="3" fontId="6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0" fillId="2" borderId="0" xfId="0" applyFill="1" applyAlignment="1">
      <alignment horizontal="right"/>
    </xf>
    <xf numFmtId="3" fontId="0" fillId="0" borderId="0" xfId="0" applyNumberFormat="1" applyAlignment="1">
      <alignment horizontal="right"/>
    </xf>
    <xf numFmtId="9" fontId="0" fillId="0" borderId="0" xfId="1" applyFont="1"/>
    <xf numFmtId="9" fontId="8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9" fontId="8" fillId="0" borderId="2" xfId="1" applyFont="1" applyBorder="1" applyAlignment="1">
      <alignment horizontal="left" vertical="center"/>
    </xf>
    <xf numFmtId="0" fontId="8" fillId="0" borderId="2" xfId="0" applyFont="1" applyBorder="1" applyAlignment="1">
      <alignment vertical="center"/>
    </xf>
    <xf numFmtId="0" fontId="0" fillId="0" borderId="0" xfId="0" applyNumberFormat="1"/>
    <xf numFmtId="14" fontId="0" fillId="0" borderId="0" xfId="0" applyNumberFormat="1"/>
    <xf numFmtId="0" fontId="1" fillId="0" borderId="0" xfId="0" applyFont="1"/>
    <xf numFmtId="0" fontId="9" fillId="0" borderId="0" xfId="0" applyFont="1" applyAlignment="1">
      <alignment horizontal="left" vertical="center"/>
    </xf>
    <xf numFmtId="9" fontId="4" fillId="0" borderId="0" xfId="1" applyFont="1" applyBorder="1" applyAlignment="1">
      <alignment vertical="center"/>
    </xf>
    <xf numFmtId="167" fontId="7" fillId="0" borderId="0" xfId="0" applyNumberFormat="1" applyFont="1" applyBorder="1" applyAlignment="1">
      <alignment vertical="center"/>
    </xf>
    <xf numFmtId="167" fontId="7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1" fillId="0" borderId="0" xfId="0" applyFont="1" applyBorder="1"/>
    <xf numFmtId="3" fontId="4" fillId="0" borderId="0" xfId="0" applyNumberFormat="1" applyFont="1" applyBorder="1" applyAlignment="1">
      <alignment vertical="center"/>
    </xf>
    <xf numFmtId="0" fontId="9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vertical="center"/>
    </xf>
    <xf numFmtId="0" fontId="9" fillId="0" borderId="0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9" fontId="20" fillId="0" borderId="0" xfId="1" applyFont="1" applyBorder="1" applyAlignment="1">
      <alignment horizontal="left" vertical="center"/>
    </xf>
    <xf numFmtId="3" fontId="20" fillId="0" borderId="0" xfId="0" applyNumberFormat="1" applyFont="1" applyBorder="1" applyAlignment="1">
      <alignment horizontal="left" vertical="center"/>
    </xf>
    <xf numFmtId="164" fontId="21" fillId="0" borderId="0" xfId="1" applyNumberFormat="1" applyFont="1" applyBorder="1" applyAlignment="1">
      <alignment horizontal="left" vertical="center"/>
    </xf>
    <xf numFmtId="167" fontId="22" fillId="0" borderId="0" xfId="0" applyNumberFormat="1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right" vertical="center"/>
    </xf>
    <xf numFmtId="14" fontId="24" fillId="0" borderId="0" xfId="0" applyNumberFormat="1" applyFont="1" applyBorder="1" applyAlignment="1">
      <alignment vertical="center"/>
    </xf>
    <xf numFmtId="0" fontId="25" fillId="0" borderId="0" xfId="0" applyFont="1" applyAlignment="1">
      <alignment vertical="center"/>
    </xf>
    <xf numFmtId="9" fontId="20" fillId="0" borderId="0" xfId="1" applyFont="1" applyBorder="1" applyAlignment="1">
      <alignment horizontal="center" vertical="center"/>
    </xf>
    <xf numFmtId="0" fontId="26" fillId="0" borderId="3" xfId="0" applyFont="1" applyBorder="1" applyAlignment="1">
      <alignment horizontal="left" vertical="center"/>
    </xf>
    <xf numFmtId="0" fontId="26" fillId="0" borderId="3" xfId="0" applyFont="1" applyBorder="1" applyAlignment="1">
      <alignment vertical="center"/>
    </xf>
    <xf numFmtId="0" fontId="26" fillId="0" borderId="3" xfId="0" applyFont="1" applyBorder="1" applyAlignment="1">
      <alignment horizontal="right" vertical="center"/>
    </xf>
    <xf numFmtId="0" fontId="26" fillId="0" borderId="3" xfId="0" applyFont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7" fillId="0" borderId="3" xfId="0" applyFont="1" applyBorder="1" applyAlignment="1">
      <alignment horizontal="right" vertical="center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vertical="center"/>
    </xf>
    <xf numFmtId="3" fontId="28" fillId="0" borderId="0" xfId="0" applyNumberFormat="1" applyFont="1" applyAlignment="1">
      <alignment horizontal="right" vertical="center"/>
    </xf>
    <xf numFmtId="0" fontId="28" fillId="0" borderId="0" xfId="0" applyFont="1" applyAlignment="1">
      <alignment horizontal="center" vertical="center"/>
    </xf>
    <xf numFmtId="0" fontId="28" fillId="0" borderId="6" xfId="0" applyFont="1" applyBorder="1" applyAlignment="1">
      <alignment horizontal="left" vertical="center"/>
    </xf>
    <xf numFmtId="0" fontId="28" fillId="0" borderId="6" xfId="0" applyFont="1" applyBorder="1" applyAlignment="1">
      <alignment vertical="center"/>
    </xf>
    <xf numFmtId="3" fontId="28" fillId="0" borderId="6" xfId="0" applyNumberFormat="1" applyFont="1" applyBorder="1" applyAlignment="1">
      <alignment horizontal="right" vertical="center"/>
    </xf>
    <xf numFmtId="0" fontId="28" fillId="0" borderId="6" xfId="0" applyFont="1" applyBorder="1" applyAlignment="1">
      <alignment horizontal="center" vertical="center"/>
    </xf>
    <xf numFmtId="0" fontId="28" fillId="0" borderId="4" xfId="0" applyFont="1" applyBorder="1" applyAlignment="1">
      <alignment vertical="center"/>
    </xf>
    <xf numFmtId="164" fontId="28" fillId="0" borderId="0" xfId="1" applyNumberFormat="1" applyFont="1" applyAlignment="1">
      <alignment horizontal="right" vertical="center"/>
    </xf>
    <xf numFmtId="164" fontId="28" fillId="0" borderId="6" xfId="1" applyNumberFormat="1" applyFont="1" applyBorder="1" applyAlignment="1">
      <alignment horizontal="right" vertical="center"/>
    </xf>
    <xf numFmtId="3" fontId="28" fillId="0" borderId="0" xfId="0" applyNumberFormat="1" applyFont="1" applyAlignment="1">
      <alignment vertical="center"/>
    </xf>
    <xf numFmtId="9" fontId="28" fillId="0" borderId="0" xfId="1" applyFont="1"/>
    <xf numFmtId="3" fontId="28" fillId="0" borderId="6" xfId="0" applyNumberFormat="1" applyFont="1" applyBorder="1" applyAlignment="1">
      <alignment vertical="center"/>
    </xf>
    <xf numFmtId="9" fontId="28" fillId="0" borderId="6" xfId="1" applyFont="1" applyBorder="1"/>
    <xf numFmtId="3" fontId="28" fillId="0" borderId="4" xfId="0" applyNumberFormat="1" applyFont="1" applyBorder="1" applyAlignment="1">
      <alignment vertical="center"/>
    </xf>
    <xf numFmtId="9" fontId="28" fillId="0" borderId="4" xfId="1" applyFont="1" applyBorder="1"/>
    <xf numFmtId="9" fontId="28" fillId="0" borderId="0" xfId="1" applyFont="1" applyAlignment="1">
      <alignment horizontal="right"/>
    </xf>
    <xf numFmtId="9" fontId="28" fillId="0" borderId="6" xfId="1" applyFont="1" applyBorder="1" applyAlignment="1">
      <alignment horizontal="right"/>
    </xf>
    <xf numFmtId="14" fontId="31" fillId="0" borderId="0" xfId="0" applyNumberFormat="1" applyFont="1" applyAlignment="1">
      <alignment vertical="center"/>
    </xf>
    <xf numFmtId="3" fontId="29" fillId="0" borderId="7" xfId="0" applyNumberFormat="1" applyFont="1" applyBorder="1" applyAlignment="1">
      <alignment horizontal="right" vertical="center"/>
    </xf>
    <xf numFmtId="3" fontId="29" fillId="0" borderId="6" xfId="0" applyNumberFormat="1" applyFont="1" applyBorder="1" applyAlignment="1">
      <alignment horizontal="right" vertical="center"/>
    </xf>
    <xf numFmtId="164" fontId="29" fillId="0" borderId="8" xfId="1" applyNumberFormat="1" applyFont="1" applyBorder="1" applyAlignment="1">
      <alignment horizontal="right" vertical="center"/>
    </xf>
    <xf numFmtId="3" fontId="30" fillId="0" borderId="0" xfId="0" applyNumberFormat="1" applyFont="1" applyBorder="1" applyAlignment="1">
      <alignment horizontal="right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vertical="center"/>
    </xf>
    <xf numFmtId="0" fontId="33" fillId="0" borderId="6" xfId="0" applyFont="1" applyBorder="1" applyAlignment="1">
      <alignment vertical="center"/>
    </xf>
    <xf numFmtId="0" fontId="28" fillId="0" borderId="8" xfId="0" applyFont="1" applyBorder="1" applyAlignment="1">
      <alignment vertical="center"/>
    </xf>
    <xf numFmtId="0" fontId="33" fillId="0" borderId="8" xfId="0" applyFont="1" applyBorder="1" applyAlignment="1">
      <alignment vertical="center"/>
    </xf>
    <xf numFmtId="164" fontId="28" fillId="0" borderId="8" xfId="1" applyNumberFormat="1" applyFont="1" applyBorder="1" applyAlignment="1">
      <alignment horizontal="right" vertical="center"/>
    </xf>
    <xf numFmtId="3" fontId="28" fillId="0" borderId="8" xfId="0" applyNumberFormat="1" applyFont="1" applyBorder="1" applyAlignment="1">
      <alignment horizontal="right" vertical="center"/>
    </xf>
    <xf numFmtId="9" fontId="28" fillId="0" borderId="8" xfId="1" applyFont="1" applyBorder="1" applyAlignment="1">
      <alignment horizontal="right"/>
    </xf>
    <xf numFmtId="0" fontId="28" fillId="0" borderId="8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167" fontId="7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/>
    <xf numFmtId="164" fontId="21" fillId="0" borderId="0" xfId="1" applyNumberFormat="1" applyFont="1" applyBorder="1" applyAlignment="1">
      <alignment horizontal="left" vertical="center"/>
    </xf>
    <xf numFmtId="0" fontId="34" fillId="0" borderId="0" xfId="0" applyFont="1" applyAlignment="1">
      <alignment vertical="top"/>
    </xf>
    <xf numFmtId="0" fontId="19" fillId="0" borderId="0" xfId="0" applyFont="1" applyAlignment="1"/>
    <xf numFmtId="167" fontId="22" fillId="0" borderId="0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7" fontId="30" fillId="0" borderId="0" xfId="0" applyNumberFormat="1" applyFont="1" applyAlignment="1">
      <alignment vertical="center"/>
    </xf>
    <xf numFmtId="167" fontId="30" fillId="0" borderId="6" xfId="0" applyNumberFormat="1" applyFont="1" applyBorder="1" applyAlignment="1">
      <alignment vertical="center"/>
    </xf>
    <xf numFmtId="167" fontId="30" fillId="0" borderId="8" xfId="0" applyNumberFormat="1" applyFont="1" applyBorder="1" applyAlignment="1">
      <alignment vertical="center"/>
    </xf>
    <xf numFmtId="3" fontId="28" fillId="0" borderId="7" xfId="0" applyNumberFormat="1" applyFont="1" applyBorder="1" applyAlignment="1">
      <alignment horizontal="right" vertical="center"/>
    </xf>
    <xf numFmtId="3" fontId="28" fillId="0" borderId="6" xfId="0" applyNumberFormat="1" applyFont="1" applyBorder="1" applyAlignment="1">
      <alignment horizontal="right" vertical="center"/>
    </xf>
    <xf numFmtId="3" fontId="28" fillId="0" borderId="8" xfId="0" applyNumberFormat="1" applyFont="1" applyBorder="1" applyAlignment="1">
      <alignment horizontal="right" vertical="center"/>
    </xf>
    <xf numFmtId="9" fontId="20" fillId="0" borderId="0" xfId="1" applyFont="1" applyBorder="1" applyAlignment="1">
      <alignment vertical="center"/>
    </xf>
    <xf numFmtId="0" fontId="28" fillId="0" borderId="5" xfId="0" applyFont="1" applyBorder="1" applyAlignment="1">
      <alignment horizontal="left" vertical="center"/>
    </xf>
    <xf numFmtId="0" fontId="28" fillId="0" borderId="5" xfId="0" applyFont="1" applyBorder="1" applyAlignment="1">
      <alignment vertical="center"/>
    </xf>
    <xf numFmtId="9" fontId="29" fillId="0" borderId="0" xfId="1" applyFont="1" applyBorder="1" applyAlignment="1">
      <alignment horizontal="right" vertical="center"/>
    </xf>
    <xf numFmtId="3" fontId="35" fillId="0" borderId="0" xfId="0" applyNumberFormat="1" applyFont="1" applyAlignment="1">
      <alignment vertical="center"/>
    </xf>
    <xf numFmtId="3" fontId="37" fillId="0" borderId="0" xfId="0" applyNumberFormat="1" applyFont="1" applyAlignment="1">
      <alignment horizontal="right" vertical="center"/>
    </xf>
    <xf numFmtId="3" fontId="36" fillId="0" borderId="0" xfId="0" applyNumberFormat="1" applyFont="1" applyAlignment="1">
      <alignment horizontal="right" vertical="center"/>
    </xf>
    <xf numFmtId="14" fontId="28" fillId="0" borderId="0" xfId="0" applyNumberFormat="1" applyFont="1" applyAlignment="1">
      <alignment horizontal="left" vertical="center"/>
    </xf>
    <xf numFmtId="3" fontId="20" fillId="0" borderId="0" xfId="0" applyNumberFormat="1" applyFont="1" applyBorder="1" applyAlignment="1">
      <alignment vertical="center"/>
    </xf>
  </cellXfs>
  <cellStyles count="2">
    <cellStyle name="Обычный" xfId="0" builtinId="0"/>
    <cellStyle name="Процентный" xfId="1" builtinId="5"/>
  </cellStyles>
  <dxfs count="115">
    <dxf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C00000"/>
      </font>
    </dxf>
    <dxf>
      <font>
        <color rgb="FF007635"/>
      </font>
    </dxf>
    <dxf>
      <font>
        <color rgb="FFC00000"/>
      </font>
    </dxf>
    <dxf>
      <font>
        <color rgb="FF007635"/>
      </font>
    </dxf>
    <dxf>
      <font>
        <color rgb="FF007635"/>
      </font>
    </dxf>
    <dxf>
      <font>
        <color rgb="FFC00000"/>
      </font>
    </dxf>
    <dxf>
      <font>
        <color rgb="FFC00000"/>
      </font>
    </dxf>
    <dxf>
      <font>
        <color rgb="FF007635"/>
      </font>
    </dxf>
    <dxf>
      <font>
        <color rgb="FFC00000"/>
      </font>
    </dxf>
    <dxf>
      <font>
        <color rgb="FF007635"/>
      </font>
    </dxf>
    <dxf>
      <font>
        <color rgb="FFC00000"/>
      </font>
    </dxf>
    <dxf>
      <font>
        <color rgb="FF007635"/>
      </font>
    </dxf>
    <dxf>
      <font>
        <color rgb="FFC00000"/>
      </font>
    </dxf>
    <dxf>
      <font>
        <color rgb="FF007635"/>
      </font>
    </dxf>
    <dxf>
      <font>
        <color rgb="FFC00000"/>
      </font>
    </dxf>
    <dxf>
      <font>
        <color rgb="FF007635"/>
      </font>
    </dxf>
    <dxf>
      <font>
        <color rgb="FFC00000"/>
      </font>
    </dxf>
    <dxf>
      <font>
        <color rgb="FF007635"/>
      </font>
    </dxf>
    <dxf>
      <font>
        <color rgb="FFC00000"/>
      </font>
    </dxf>
    <dxf>
      <font>
        <color rgb="FF00B050"/>
      </font>
    </dxf>
    <dxf>
      <font>
        <strike val="0"/>
        <outline val="0"/>
        <shadow val="0"/>
        <u val="none"/>
        <vertAlign val="baseline"/>
        <sz val="11"/>
        <color theme="1"/>
        <name val="Bahnschrift Light"/>
        <family val="2"/>
        <charset val="204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hnschrift Light"/>
        <family val="2"/>
        <charset val="204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hnschrift Light"/>
        <family val="2"/>
        <charset val="204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hnschrift Light"/>
        <family val="2"/>
        <charset val="204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hnschrift Light"/>
        <family val="2"/>
        <charset val="204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hnschrift Light"/>
        <family val="2"/>
        <charset val="204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hnschrift Light"/>
        <family val="2"/>
        <charset val="204"/>
        <scheme val="none"/>
      </font>
      <numFmt numFmtId="19" formatCode="dd/mm/yyyy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hnschrift Light"/>
        <family val="2"/>
        <charset val="204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hnschrift Light"/>
        <family val="2"/>
        <charset val="204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hnschrift Light"/>
        <family val="2"/>
        <charset val="204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hnschrift Light"/>
        <family val="2"/>
        <charset val="204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hnschrift Light"/>
        <family val="2"/>
        <charset val="204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hnschrift Light"/>
        <family val="2"/>
        <charset val="204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hnschrift Light"/>
        <family val="2"/>
        <charset val="204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hnschrift Light"/>
        <family val="2"/>
        <charset val="204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Nova Cond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2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2"/>
        </patternFill>
      </fill>
    </dxf>
    <dxf>
      <numFmt numFmtId="0" formatCode="General"/>
    </dxf>
    <dxf>
      <numFmt numFmtId="19" formatCode="dd/mm/yyyy"/>
    </dxf>
    <dxf>
      <numFmt numFmtId="0" formatCode="General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numFmt numFmtId="3" formatCode="#,##0"/>
      <alignment horizontal="righ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2"/>
        </patternFill>
      </fill>
      <alignment horizontal="left" vertical="center" textRotation="0" wrapText="0" indent="0" justifyLastLine="0" shrinkToFit="0" readingOrder="0"/>
    </dxf>
    <dxf>
      <numFmt numFmtId="3" formatCode="#,##0"/>
      <alignment horizontal="right" vertical="center" textRotation="0" wrapText="0" indent="0" justifyLastLine="0" shrinkToFit="0" readingOrder="0"/>
    </dxf>
    <dxf>
      <numFmt numFmtId="3" formatCode="#,##0"/>
      <alignment horizontal="right" vertical="center" textRotation="0" wrapText="0" indent="0" justifyLastLine="0" shrinkToFit="0" readingOrder="0"/>
    </dxf>
    <dxf>
      <numFmt numFmtId="3" formatCode="#,##0"/>
      <alignment horizontal="right" vertical="center" textRotation="0" wrapText="0" indent="0" justifyLastLine="0" shrinkToFit="0" readingOrder="0"/>
    </dxf>
    <dxf>
      <numFmt numFmtId="3" formatCode="#,##0"/>
      <alignment horizontal="right" vertical="center" textRotation="0" wrapText="0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2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2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2"/>
        </patternFill>
      </fill>
      <alignment horizontal="left" vertical="center" textRotation="0" wrapText="0" indent="0" justifyLastLine="0" shrinkToFit="0" readingOrder="0"/>
    </dxf>
    <dxf>
      <alignment horizontal="right"/>
    </dxf>
    <dxf>
      <alignment horizontal="right"/>
    </dxf>
    <dxf>
      <numFmt numFmtId="3" formatCode="#,##0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right"/>
    </dxf>
    <dxf>
      <alignment horizontal="right"/>
    </dxf>
    <dxf>
      <numFmt numFmtId="3" formatCode="#,##0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wrapText="0"/>
    </dxf>
    <dxf>
      <alignment wrapText="0"/>
    </dxf>
    <dxf>
      <alignment wrapText="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border>
        <bottom style="thin">
          <color indexed="64"/>
        </bottom>
      </border>
    </dxf>
    <dxf>
      <numFmt numFmtId="3" formatCode="#,##0"/>
    </dxf>
    <dxf>
      <fill>
        <patternFill patternType="solid">
          <bgColor theme="2"/>
        </patternFill>
      </fill>
    </dxf>
    <dxf>
      <alignment horizontal="right"/>
    </dxf>
    <dxf>
      <alignment horizontal="right"/>
    </dxf>
    <dxf>
      <alignment horizontal="right"/>
    </dxf>
    <dxf>
      <alignment vertical="top"/>
    </dxf>
    <dxf>
      <alignment vertical="top"/>
    </dxf>
    <dxf>
      <alignment vertical="top"/>
    </dxf>
  </dxfs>
  <tableStyles count="0" defaultTableStyle="TableStyleLight1" defaultPivotStyle="PivotStyleLight16"/>
  <colors>
    <mruColors>
      <color rgb="FF007635"/>
      <color rgb="FFBBDBBE"/>
      <color rgb="FFB8A9D7"/>
      <color rgb="FFE3DDEF"/>
      <color rgb="FF8FC3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onnections" Target="connection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3.xml"/><Relationship Id="rId10" Type="http://schemas.openxmlformats.org/officeDocument/2006/relationships/sheetMetadata" Target="metadata.xml"/><Relationship Id="rId4" Type="http://schemas.openxmlformats.org/officeDocument/2006/relationships/pivotCacheDefinition" Target="pivotCache/pivotCacheDefinition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Данные!$L$11</c:f>
              <c:strCache>
                <c:ptCount val="1"/>
                <c:pt idx="0">
                  <c:v>Чистая выручка</c:v>
                </c:pt>
              </c:strCache>
            </c:strRef>
          </c:tx>
          <c:spPr>
            <a:ln w="22225" cap="rnd">
              <a:solidFill>
                <a:srgbClr val="B8A9D7"/>
              </a:solidFill>
              <a:round/>
            </a:ln>
            <a:effectLst/>
          </c:spPr>
          <c:marker>
            <c:symbol val="none"/>
          </c:marker>
          <c:cat>
            <c:numRef>
              <c:f>Данные!$K$12:$K$25</c:f>
              <c:numCache>
                <c:formatCode>m/d/yyyy</c:formatCode>
                <c:ptCount val="14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</c:numCache>
            </c:numRef>
          </c:cat>
          <c:val>
            <c:numRef>
              <c:f>Данные!$L$12:$L$25</c:f>
              <c:numCache>
                <c:formatCode>#,##0</c:formatCode>
                <c:ptCount val="14"/>
                <c:pt idx="0">
                  <c:v>477417.99</c:v>
                </c:pt>
                <c:pt idx="1">
                  <c:v>457417.23</c:v>
                </c:pt>
                <c:pt idx="2">
                  <c:v>540786.09</c:v>
                </c:pt>
                <c:pt idx="3">
                  <c:v>527045.55000000005</c:v>
                </c:pt>
                <c:pt idx="4">
                  <c:v>473509.46</c:v>
                </c:pt>
                <c:pt idx="5">
                  <c:v>480800.75</c:v>
                </c:pt>
                <c:pt idx="6">
                  <c:v>565194.02</c:v>
                </c:pt>
                <c:pt idx="7">
                  <c:v>481399.15</c:v>
                </c:pt>
                <c:pt idx="8">
                  <c:v>452385.45</c:v>
                </c:pt>
                <c:pt idx="9">
                  <c:v>435220.77</c:v>
                </c:pt>
                <c:pt idx="10">
                  <c:v>487648.31</c:v>
                </c:pt>
                <c:pt idx="11">
                  <c:v>434732.65</c:v>
                </c:pt>
                <c:pt idx="12">
                  <c:v>511640.34</c:v>
                </c:pt>
                <c:pt idx="13">
                  <c:v>456149.43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446-4976-9F03-634F64ECC5DD}"/>
            </c:ext>
          </c:extLst>
        </c:ser>
        <c:ser>
          <c:idx val="1"/>
          <c:order val="1"/>
          <c:tx>
            <c:strRef>
              <c:f>Данные!$M$11</c:f>
              <c:strCache>
                <c:ptCount val="1"/>
                <c:pt idx="0">
                  <c:v>Валовая прибыль</c:v>
                </c:pt>
              </c:strCache>
            </c:strRef>
          </c:tx>
          <c:spPr>
            <a:ln w="22225" cap="rnd">
              <a:solidFill>
                <a:srgbClr val="BBDBBE"/>
              </a:solidFill>
              <a:round/>
            </a:ln>
            <a:effectLst/>
          </c:spPr>
          <c:marker>
            <c:symbol val="none"/>
          </c:marker>
          <c:cat>
            <c:numRef>
              <c:f>Данные!$K$12:$K$25</c:f>
              <c:numCache>
                <c:formatCode>m/d/yyyy</c:formatCode>
                <c:ptCount val="14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</c:numCache>
            </c:numRef>
          </c:cat>
          <c:val>
            <c:numRef>
              <c:f>Данные!$M$12:$M$25</c:f>
              <c:numCache>
                <c:formatCode>#,##0</c:formatCode>
                <c:ptCount val="14"/>
                <c:pt idx="0">
                  <c:v>274303.94</c:v>
                </c:pt>
                <c:pt idx="1">
                  <c:v>267560.88</c:v>
                </c:pt>
                <c:pt idx="2">
                  <c:v>313030.34000000003</c:v>
                </c:pt>
                <c:pt idx="3">
                  <c:v>284616.90000000002</c:v>
                </c:pt>
                <c:pt idx="4">
                  <c:v>264130.76</c:v>
                </c:pt>
                <c:pt idx="5">
                  <c:v>272374.09999999998</c:v>
                </c:pt>
                <c:pt idx="6">
                  <c:v>317143.12</c:v>
                </c:pt>
                <c:pt idx="7">
                  <c:v>269888.3</c:v>
                </c:pt>
                <c:pt idx="8">
                  <c:v>255173.65</c:v>
                </c:pt>
                <c:pt idx="9">
                  <c:v>243035.12</c:v>
                </c:pt>
                <c:pt idx="10">
                  <c:v>265837.71000000002</c:v>
                </c:pt>
                <c:pt idx="11">
                  <c:v>244450.05</c:v>
                </c:pt>
                <c:pt idx="12">
                  <c:v>281654.94</c:v>
                </c:pt>
                <c:pt idx="13">
                  <c:v>255547.83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446-4976-9F03-634F64ECC5DD}"/>
            </c:ext>
          </c:extLst>
        </c:ser>
        <c:ser>
          <c:idx val="3"/>
          <c:order val="3"/>
          <c:tx>
            <c:strRef>
              <c:f>Данные!$O$11</c:f>
              <c:strCache>
                <c:ptCount val="1"/>
                <c:pt idx="0">
                  <c:v>План продаж</c:v>
                </c:pt>
              </c:strCache>
            </c:strRef>
          </c:tx>
          <c:spPr>
            <a:ln w="19050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Данные!$K$12:$K$25</c:f>
              <c:numCache>
                <c:formatCode>m/d/yyyy</c:formatCode>
                <c:ptCount val="14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</c:numCache>
            </c:numRef>
          </c:cat>
          <c:val>
            <c:numRef>
              <c:f>Данные!$O$12:$O$25</c:f>
              <c:numCache>
                <c:formatCode>#,##0</c:formatCode>
                <c:ptCount val="14"/>
                <c:pt idx="0">
                  <c:v>470615.53</c:v>
                </c:pt>
                <c:pt idx="1">
                  <c:v>470615.53</c:v>
                </c:pt>
                <c:pt idx="2">
                  <c:v>470615.53</c:v>
                </c:pt>
                <c:pt idx="3">
                  <c:v>470615.53</c:v>
                </c:pt>
                <c:pt idx="4">
                  <c:v>470615.53</c:v>
                </c:pt>
                <c:pt idx="5">
                  <c:v>470615.53</c:v>
                </c:pt>
                <c:pt idx="6">
                  <c:v>470615.53</c:v>
                </c:pt>
                <c:pt idx="7">
                  <c:v>470615.53</c:v>
                </c:pt>
                <c:pt idx="8">
                  <c:v>470615.53</c:v>
                </c:pt>
                <c:pt idx="9">
                  <c:v>470615.53</c:v>
                </c:pt>
                <c:pt idx="10">
                  <c:v>470615.53</c:v>
                </c:pt>
                <c:pt idx="11">
                  <c:v>470615.53</c:v>
                </c:pt>
                <c:pt idx="12">
                  <c:v>470615.53</c:v>
                </c:pt>
                <c:pt idx="13">
                  <c:v>470615.53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46-4976-9F03-634F64ECC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7916560"/>
        <c:axId val="1017934320"/>
      </c:lineChart>
      <c:lineChart>
        <c:grouping val="standard"/>
        <c:varyColors val="0"/>
        <c:ser>
          <c:idx val="2"/>
          <c:order val="2"/>
          <c:tx>
            <c:strRef>
              <c:f>Данные!$N$11</c:f>
              <c:strCache>
                <c:ptCount val="1"/>
                <c:pt idx="0">
                  <c:v>Заказы</c:v>
                </c:pt>
              </c:strCache>
            </c:strRef>
          </c:tx>
          <c:spPr>
            <a:ln w="22225" cap="rnd">
              <a:solidFill>
                <a:schemeClr val="accent5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Данные!$K$12:$K$25</c:f>
              <c:numCache>
                <c:formatCode>m/d/yyyy</c:formatCode>
                <c:ptCount val="14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</c:numCache>
            </c:numRef>
          </c:cat>
          <c:val>
            <c:numRef>
              <c:f>Данные!$N$12:$N$25</c:f>
              <c:numCache>
                <c:formatCode>#,##0</c:formatCode>
                <c:ptCount val="14"/>
                <c:pt idx="0">
                  <c:v>306</c:v>
                </c:pt>
                <c:pt idx="1">
                  <c:v>276</c:v>
                </c:pt>
                <c:pt idx="2">
                  <c:v>332</c:v>
                </c:pt>
                <c:pt idx="3">
                  <c:v>310</c:v>
                </c:pt>
                <c:pt idx="4">
                  <c:v>303</c:v>
                </c:pt>
                <c:pt idx="5">
                  <c:v>301</c:v>
                </c:pt>
                <c:pt idx="6">
                  <c:v>324</c:v>
                </c:pt>
                <c:pt idx="7">
                  <c:v>297</c:v>
                </c:pt>
                <c:pt idx="8">
                  <c:v>322</c:v>
                </c:pt>
                <c:pt idx="9">
                  <c:v>279</c:v>
                </c:pt>
                <c:pt idx="10">
                  <c:v>283</c:v>
                </c:pt>
                <c:pt idx="11">
                  <c:v>292</c:v>
                </c:pt>
                <c:pt idx="12">
                  <c:v>317</c:v>
                </c:pt>
                <c:pt idx="13">
                  <c:v>292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446-4976-9F03-634F64ECC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5534432"/>
        <c:axId val="1205539232"/>
      </c:lineChart>
      <c:dateAx>
        <c:axId val="1017916560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7934320"/>
        <c:crosses val="autoZero"/>
        <c:auto val="1"/>
        <c:lblOffset val="100"/>
        <c:baseTimeUnit val="days"/>
        <c:majorUnit val="1"/>
        <c:majorTimeUnit val="days"/>
      </c:dateAx>
      <c:valAx>
        <c:axId val="101793432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6350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7916560"/>
        <c:crosses val="autoZero"/>
        <c:crossBetween val="between"/>
      </c:valAx>
      <c:valAx>
        <c:axId val="1205539232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 w="6350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5534432"/>
        <c:crosses val="max"/>
        <c:crossBetween val="between"/>
      </c:valAx>
      <c:dateAx>
        <c:axId val="120553443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205539232"/>
        <c:crosses val="autoZero"/>
        <c:auto val="1"/>
        <c:lblOffset val="100"/>
        <c:baseTimeUnit val="days"/>
        <c:majorUnit val="1"/>
        <c:minorUnit val="1"/>
      </c:dateAx>
      <c:spPr>
        <a:noFill/>
        <a:ln w="6350">
          <a:solidFill>
            <a:schemeClr val="tx1">
              <a:lumMod val="15000"/>
              <a:lumOff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3.4847297742856644E-2"/>
          <c:y val="0.80657276247548704"/>
          <c:w val="0.9416607523066004"/>
          <c:h val="0.163085897448659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E3DDEF"/>
              </a:solidFill>
              <a:ln w="38100">
                <a:solidFill>
                  <a:srgbClr val="E3DDE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2C0-49AB-B8A0-A3103AC72138}"/>
              </c:ext>
            </c:extLst>
          </c:dPt>
          <c:dPt>
            <c:idx val="1"/>
            <c:bubble3D val="0"/>
            <c:spPr>
              <a:solidFill>
                <a:schemeClr val="bg2"/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2C0-49AB-B8A0-A3103AC72138}"/>
              </c:ext>
            </c:extLst>
          </c:dPt>
          <c:val>
            <c:numRef>
              <c:f>Данные!$G$9:$G$10</c:f>
              <c:numCache>
                <c:formatCode>0%</c:formatCode>
                <c:ptCount val="2"/>
                <c:pt idx="0">
                  <c:v>0.44609366731185929</c:v>
                </c:pt>
                <c:pt idx="1">
                  <c:v>0.55390633268814071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C0-49AB-B8A0-A3103AC72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9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282575</xdr:colOff>
      <xdr:row>21</xdr:row>
      <xdr:rowOff>79375</xdr:rowOff>
    </xdr:from>
    <xdr:to>
      <xdr:col>10</xdr:col>
      <xdr:colOff>31750</xdr:colOff>
      <xdr:row>35</xdr:row>
      <xdr:rowOff>57150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D5EA2D1-ADA2-B3C6-D4A9-85EAD5789B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368300</xdr:colOff>
      <xdr:row>20</xdr:row>
      <xdr:rowOff>196850</xdr:rowOff>
    </xdr:from>
    <xdr:to>
      <xdr:col>19</xdr:col>
      <xdr:colOff>127000</xdr:colOff>
      <xdr:row>28</xdr:row>
      <xdr:rowOff>50800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2B473CC9-7ABC-154F-0592-DAB90EF2C1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chinova" refreshedDate="46135.855646296295" backgroundQuery="1" createdVersion="8" refreshedVersion="8" minRefreshableVersion="3" recordCount="0" supportSubquery="1" supportAdvancedDrill="1" xr:uid="{307C1CC9-737D-4795-AA18-AACB9219DF23}">
  <cacheSource type="external" connectionId="1"/>
  <cacheFields count="3">
    <cacheField name="[public mart_plan_fact].[format].[format]" caption="format" numFmtId="0" hierarchy="13" level="1">
      <sharedItems count="4">
        <s v="Audiobook"/>
        <s v="eBook"/>
        <s v="Hardcover"/>
        <s v="Paperback"/>
      </sharedItems>
    </cacheField>
    <cacheField name="[Measures].[Сумма по столбцу fact_amount]" caption="Сумма по столбцу fact_amount" numFmtId="0" hierarchy="30" level="32767"/>
    <cacheField name="[Measures].[Сумма по столбцу plan_amount]" caption="Сумма по столбцу plan_amount" numFmtId="0" hierarchy="31" level="32767"/>
  </cacheFields>
  <cacheHierarchies count="32">
    <cacheHierarchy uniqueName="[public mart_daily_breakdown].[day_type]" caption="day_type" attribute="1" defaultMemberUniqueName="[public mart_daily_breakdown].[day_type].[All]" allUniqueName="[public mart_daily_breakdown].[day_type].[All]" dimensionUniqueName="[public mart_daily_breakdown]" displayFolder="" count="0" memberValueDatatype="130" unbalanced="0"/>
    <cacheHierarchy uniqueName="[public mart_daily_breakdown].[genre]" caption="genre" attribute="1" defaultMemberUniqueName="[public mart_daily_breakdown].[genre].[All]" allUniqueName="[public mart_daily_breakdown].[genre].[All]" dimensionUniqueName="[public mart_daily_breakdown]" displayFolder="" count="0" memberValueDatatype="130" unbalanced="0"/>
    <cacheHierarchy uniqueName="[public mart_daily_breakdown].[format]" caption="format" attribute="1" defaultMemberUniqueName="[public mart_daily_breakdown].[format].[All]" allUniqueName="[public mart_daily_breakdown].[format].[All]" dimensionUniqueName="[public mart_daily_breakdown]" displayFolder="" count="0" memberValueDatatype="130" unbalanced="0"/>
    <cacheHierarchy uniqueName="[public mart_daily_breakdown].[orders]" caption="orders" attribute="1" defaultMemberUniqueName="[public mart_daily_breakdown].[orders].[All]" allUniqueName="[public mart_daily_breakdown].[orders].[All]" dimensionUniqueName="[public mart_daily_breakdown]" displayFolder="" count="0" memberValueDatatype="20" unbalanced="0"/>
    <cacheHierarchy uniqueName="[public mart_daily_breakdown].[net_qty]" caption="net_qty" attribute="1" defaultMemberUniqueName="[public mart_daily_breakdown].[net_qty].[All]" allUniqueName="[public mart_daily_breakdown].[net_qty].[All]" dimensionUniqueName="[public mart_daily_breakdown]" displayFolder="" count="0" memberValueDatatype="20" unbalanced="0"/>
    <cacheHierarchy uniqueName="[public mart_daily_breakdown].[net_revenue]" caption="net_revenue" attribute="1" defaultMemberUniqueName="[public mart_daily_breakdown].[net_revenue].[All]" allUniqueName="[public mart_daily_breakdown].[net_revenue].[All]" dimensionUniqueName="[public mart_daily_breakdown]" displayFolder="" count="0" memberValueDatatype="5" unbalanced="0"/>
    <cacheHierarchy uniqueName="[public mart_daily_breakdown].[gross_profit]" caption="gross_profit" attribute="1" defaultMemberUniqueName="[public mart_daily_breakdown].[gross_profit].[All]" allUniqueName="[public mart_daily_breakdown].[gross_profit].[All]" dimensionUniqueName="[public mart_daily_breakdown]" displayFolder="" count="0" memberValueDatatype="5" unbalanced="0"/>
    <cacheHierarchy uniqueName="[public mart_daily_breakdown].[return_qty]" caption="return_qty" attribute="1" defaultMemberUniqueName="[public mart_daily_breakdown].[return_qty].[All]" allUniqueName="[public mart_daily_breakdown].[return_qty].[All]" dimensionUniqueName="[public mart_daily_breakdown]" displayFolder="" count="0" memberValueDatatype="20" unbalanced="0"/>
    <cacheHierarchy uniqueName="[public mart_daily_breakdown].[return_amount]" caption="return_amount" attribute="1" defaultMemberUniqueName="[public mart_daily_breakdown].[return_amount].[All]" allUniqueName="[public mart_daily_breakdown].[return_amount].[All]" dimensionUniqueName="[public mart_daily_breakdown]" displayFolder="" count="0" memberValueDatatype="5" unbalanced="0"/>
    <cacheHierarchy uniqueName="[public mart_daily_breakdown].[promo_orders]" caption="promo_orders" attribute="1" defaultMemberUniqueName="[public mart_daily_breakdown].[promo_orders].[All]" allUniqueName="[public mart_daily_breakdown].[promo_orders].[All]" dimensionUniqueName="[public mart_daily_breakdown]" displayFolder="" count="0" memberValueDatatype="20" unbalanced="0"/>
    <cacheHierarchy uniqueName="[public mart_daily_breakdown].[promo_revenue]" caption="promo_revenue" attribute="1" defaultMemberUniqueName="[public mart_daily_breakdown].[promo_revenue].[All]" allUniqueName="[public mart_daily_breakdown].[promo_revenue].[All]" dimensionUniqueName="[public mart_daily_breakdown]" displayFolder="" count="0" memberValueDatatype="5" unbalanced="0"/>
    <cacheHierarchy uniqueName="[public mart_daily_breakdown].[lost_sales_qty]" caption="lost_sales_qty" attribute="1" defaultMemberUniqueName="[public mart_daily_breakdown].[lost_sales_qty].[All]" allUniqueName="[public mart_daily_breakdown].[lost_sales_qty].[All]" dimensionUniqueName="[public mart_daily_breakdown]" displayFolder="" count="0" memberValueDatatype="20" unbalanced="0"/>
    <cacheHierarchy uniqueName="[public mart_plan_fact].[genre]" caption="genre" attribute="1" defaultMemberUniqueName="[public mart_plan_fact].[genre].[All]" allUniqueName="[public mart_plan_fact].[genre].[All]" dimensionUniqueName="[public mart_plan_fact]" displayFolder="" count="0" memberValueDatatype="130" unbalanced="0"/>
    <cacheHierarchy uniqueName="[public mart_plan_fact].[format]" caption="format" attribute="1" defaultMemberUniqueName="[public mart_plan_fact].[format].[All]" allUniqueName="[public mart_plan_fact].[format].[All]" dimensionUniqueName="[public mart_plan_fact]" displayFolder="" count="2" memberValueDatatype="130" unbalanced="0">
      <fieldsUsage count="2">
        <fieldUsage x="-1"/>
        <fieldUsage x="0"/>
      </fieldsUsage>
    </cacheHierarchy>
    <cacheHierarchy uniqueName="[public mart_plan_fact].[year]" caption="year" attribute="1" defaultMemberUniqueName="[public mart_plan_fact].[year].[All]" allUniqueName="[public mart_plan_fact].[year].[All]" dimensionUniqueName="[public mart_plan_fact]" displayFolder="" count="0" memberValueDatatype="20" unbalanced="0"/>
    <cacheHierarchy uniqueName="[public mart_plan_fact].[month]" caption="month" attribute="1" defaultMemberUniqueName="[public mart_plan_fact].[month].[All]" allUniqueName="[public mart_plan_fact].[month].[All]" dimensionUniqueName="[public mart_plan_fact]" displayFolder="" count="0" memberValueDatatype="20" unbalanced="0"/>
    <cacheHierarchy uniqueName="[public mart_plan_fact].[plan_qty]" caption="plan_qty" attribute="1" defaultMemberUniqueName="[public mart_plan_fact].[plan_qty].[All]" allUniqueName="[public mart_plan_fact].[plan_qty].[All]" dimensionUniqueName="[public mart_plan_fact]" displayFolder="" count="0" memberValueDatatype="20" unbalanced="0"/>
    <cacheHierarchy uniqueName="[public mart_plan_fact].[plan_amount]" caption="plan_amount" attribute="1" defaultMemberUniqueName="[public mart_plan_fact].[plan_amount].[All]" allUniqueName="[public mart_plan_fact].[plan_amount].[All]" dimensionUniqueName="[public mart_plan_fact]" displayFolder="" count="0" memberValueDatatype="5" unbalanced="0"/>
    <cacheHierarchy uniqueName="[public mart_plan_fact].[plan_qty_to_date]" caption="plan_qty_to_date" attribute="1" defaultMemberUniqueName="[public mart_plan_fact].[plan_qty_to_date].[All]" allUniqueName="[public mart_plan_fact].[plan_qty_to_date].[All]" dimensionUniqueName="[public mart_plan_fact]" displayFolder="" count="0" memberValueDatatype="5" unbalanced="0"/>
    <cacheHierarchy uniqueName="[public mart_plan_fact].[plan_amount_to_date]" caption="plan_amount_to_date" attribute="1" defaultMemberUniqueName="[public mart_plan_fact].[plan_amount_to_date].[All]" allUniqueName="[public mart_plan_fact].[plan_amount_to_date].[All]" dimensionUniqueName="[public mart_plan_fact]" displayFolder="" count="0" memberValueDatatype="5" unbalanced="0"/>
    <cacheHierarchy uniqueName="[public mart_plan_fact].[plan_margin_target]" caption="plan_margin_target" attribute="1" defaultMemberUniqueName="[public mart_plan_fact].[plan_margin_target].[All]" allUniqueName="[public mart_plan_fact].[plan_margin_target].[All]" dimensionUniqueName="[public mart_plan_fact]" displayFolder="" count="0" memberValueDatatype="5" unbalanced="0"/>
    <cacheHierarchy uniqueName="[public mart_plan_fact].[fact_qty]" caption="fact_qty" attribute="1" defaultMemberUniqueName="[public mart_plan_fact].[fact_qty].[All]" allUniqueName="[public mart_plan_fact].[fact_qty].[All]" dimensionUniqueName="[public mart_plan_fact]" displayFolder="" count="0" memberValueDatatype="20" unbalanced="0"/>
    <cacheHierarchy uniqueName="[public mart_plan_fact].[fact_amount]" caption="fact_amount" attribute="1" defaultMemberUniqueName="[public mart_plan_fact].[fact_amount].[All]" allUniqueName="[public mart_plan_fact].[fact_amount].[All]" dimensionUniqueName="[public mart_plan_fact]" displayFolder="" count="0" memberValueDatatype="5" unbalanced="0"/>
    <cacheHierarchy uniqueName="[public mart_plan_fact].[pct_of_plan_to_date]" caption="pct_of_plan_to_date" attribute="1" defaultMemberUniqueName="[public mart_plan_fact].[pct_of_plan_to_date].[All]" allUniqueName="[public mart_plan_fact].[pct_of_plan_to_date].[All]" dimensionUniqueName="[public mart_plan_fact]" displayFolder="" count="0" memberValueDatatype="5" unbalanced="0"/>
    <cacheHierarchy uniqueName="[public mart_plan_fact].[delta_amount_to_date]" caption="delta_amount_to_date" attribute="1" defaultMemberUniqueName="[public mart_plan_fact].[delta_amount_to_date].[All]" allUniqueName="[public mart_plan_fact].[delta_amount_to_date].[All]" dimensionUniqueName="[public mart_plan_fact]" displayFolder="" count="0" memberValueDatatype="5" unbalanced="0"/>
    <cacheHierarchy uniqueName="[public mart_plan_fact].[forecast_month_amount]" caption="forecast_month_amount" attribute="1" defaultMemberUniqueName="[public mart_plan_fact].[forecast_month_amount].[All]" allUniqueName="[public mart_plan_fact].[forecast_month_amount].[All]" dimensionUniqueName="[public mart_plan_fact]" displayFolder="" count="0" memberValueDatatype="5" unbalanced="0"/>
    <cacheHierarchy uniqueName="[public mart_plan_fact].[report_date]" caption="report_date" attribute="1" time="1" defaultMemberUniqueName="[public mart_plan_fact].[report_date].[All]" allUniqueName="[public mart_plan_fact].[report_date].[All]" dimensionUniqueName="[public mart_plan_fact]" displayFolder="" count="0" memberValueDatatype="7" unbalanced="0"/>
    <cacheHierarchy uniqueName="[Measures].[__XL_Count public mart_daily_breakdown]" caption="__XL_Count public mart_daily_breakdown" measure="1" displayFolder="" measureGroup="public mart_daily_breakdown" count="0" hidden="1"/>
    <cacheHierarchy uniqueName="[Measures].[__XL_Count public mart_plan_fact]" caption="__XL_Count public mart_plan_fact" measure="1" displayFolder="" measureGroup="public mart_plan_fact" count="0" hidden="1"/>
    <cacheHierarchy uniqueName="[Measures].[__No measures defined]" caption="__No measures defined" measure="1" displayFolder="" count="0" hidden="1"/>
    <cacheHierarchy uniqueName="[Measures].[Сумма по столбцу fact_amount]" caption="Сумма по столбцу fact_amount" measure="1" displayFolder="" measureGroup="public mart_plan_fac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ма по столбцу plan_amount]" caption="Сумма по столбцу plan_amount" measure="1" displayFolder="" measureGroup="public mart_plan_fac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3">
    <dimension measure="1" name="Measures" uniqueName="[Measures]" caption="Measures"/>
    <dimension name="public mart_daily_breakdown" uniqueName="[public mart_daily_breakdown]" caption="public mart_daily_breakdown"/>
    <dimension name="public mart_plan_fact" uniqueName="[public mart_plan_fact]" caption="public mart_plan_fact"/>
  </dimensions>
  <measureGroups count="2">
    <measureGroup name="public mart_daily_breakdown" caption="public mart_daily_breakdown"/>
    <measureGroup name="public mart_plan_fact" caption="public mart_plan_fact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chinova" refreshedDate="46135.855647685188" backgroundQuery="1" createdVersion="8" refreshedVersion="8" minRefreshableVersion="3" recordCount="0" supportSubquery="1" supportAdvancedDrill="1" xr:uid="{CDECFA69-8969-4728-BBD2-5F9BA342815C}">
  <cacheSource type="external" connectionId="1"/>
  <cacheFields count="3">
    <cacheField name="[Measures].[Сумма по столбцу fact_amount]" caption="Сумма по столбцу fact_amount" numFmtId="0" hierarchy="30" level="32767"/>
    <cacheField name="[Measures].[Сумма по столбцу plan_amount]" caption="Сумма по столбцу plan_amount" numFmtId="0" hierarchy="31" level="32767"/>
    <cacheField name="[public mart_plan_fact].[genre].[genre]" caption="genre" numFmtId="0" hierarchy="12" level="1">
      <sharedItems count="10">
        <s v="Biography"/>
        <s v="Business"/>
        <s v="Children"/>
        <s v="Fantasy"/>
        <s v="Fiction"/>
        <s v="History"/>
        <s v="Mystery"/>
        <s v="Poetry"/>
        <s v="Romance"/>
        <s v="Science"/>
      </sharedItems>
    </cacheField>
  </cacheFields>
  <cacheHierarchies count="32">
    <cacheHierarchy uniqueName="[public mart_daily_breakdown].[day_type]" caption="day_type" attribute="1" defaultMemberUniqueName="[public mart_daily_breakdown].[day_type].[All]" allUniqueName="[public mart_daily_breakdown].[day_type].[All]" dimensionUniqueName="[public mart_daily_breakdown]" displayFolder="" count="0" memberValueDatatype="130" unbalanced="0"/>
    <cacheHierarchy uniqueName="[public mart_daily_breakdown].[genre]" caption="genre" attribute="1" defaultMemberUniqueName="[public mart_daily_breakdown].[genre].[All]" allUniqueName="[public mart_daily_breakdown].[genre].[All]" dimensionUniqueName="[public mart_daily_breakdown]" displayFolder="" count="0" memberValueDatatype="130" unbalanced="0"/>
    <cacheHierarchy uniqueName="[public mart_daily_breakdown].[format]" caption="format" attribute="1" defaultMemberUniqueName="[public mart_daily_breakdown].[format].[All]" allUniqueName="[public mart_daily_breakdown].[format].[All]" dimensionUniqueName="[public mart_daily_breakdown]" displayFolder="" count="0" memberValueDatatype="130" unbalanced="0"/>
    <cacheHierarchy uniqueName="[public mart_daily_breakdown].[orders]" caption="orders" attribute="1" defaultMemberUniqueName="[public mart_daily_breakdown].[orders].[All]" allUniqueName="[public mart_daily_breakdown].[orders].[All]" dimensionUniqueName="[public mart_daily_breakdown]" displayFolder="" count="0" memberValueDatatype="20" unbalanced="0"/>
    <cacheHierarchy uniqueName="[public mart_daily_breakdown].[net_qty]" caption="net_qty" attribute="1" defaultMemberUniqueName="[public mart_daily_breakdown].[net_qty].[All]" allUniqueName="[public mart_daily_breakdown].[net_qty].[All]" dimensionUniqueName="[public mart_daily_breakdown]" displayFolder="" count="0" memberValueDatatype="20" unbalanced="0"/>
    <cacheHierarchy uniqueName="[public mart_daily_breakdown].[net_revenue]" caption="net_revenue" attribute="1" defaultMemberUniqueName="[public mart_daily_breakdown].[net_revenue].[All]" allUniqueName="[public mart_daily_breakdown].[net_revenue].[All]" dimensionUniqueName="[public mart_daily_breakdown]" displayFolder="" count="0" memberValueDatatype="5" unbalanced="0"/>
    <cacheHierarchy uniqueName="[public mart_daily_breakdown].[gross_profit]" caption="gross_profit" attribute="1" defaultMemberUniqueName="[public mart_daily_breakdown].[gross_profit].[All]" allUniqueName="[public mart_daily_breakdown].[gross_profit].[All]" dimensionUniqueName="[public mart_daily_breakdown]" displayFolder="" count="0" memberValueDatatype="5" unbalanced="0"/>
    <cacheHierarchy uniqueName="[public mart_daily_breakdown].[return_qty]" caption="return_qty" attribute="1" defaultMemberUniqueName="[public mart_daily_breakdown].[return_qty].[All]" allUniqueName="[public mart_daily_breakdown].[return_qty].[All]" dimensionUniqueName="[public mart_daily_breakdown]" displayFolder="" count="0" memberValueDatatype="20" unbalanced="0"/>
    <cacheHierarchy uniqueName="[public mart_daily_breakdown].[return_amount]" caption="return_amount" attribute="1" defaultMemberUniqueName="[public mart_daily_breakdown].[return_amount].[All]" allUniqueName="[public mart_daily_breakdown].[return_amount].[All]" dimensionUniqueName="[public mart_daily_breakdown]" displayFolder="" count="0" memberValueDatatype="5" unbalanced="0"/>
    <cacheHierarchy uniqueName="[public mart_daily_breakdown].[promo_orders]" caption="promo_orders" attribute="1" defaultMemberUniqueName="[public mart_daily_breakdown].[promo_orders].[All]" allUniqueName="[public mart_daily_breakdown].[promo_orders].[All]" dimensionUniqueName="[public mart_daily_breakdown]" displayFolder="" count="0" memberValueDatatype="20" unbalanced="0"/>
    <cacheHierarchy uniqueName="[public mart_daily_breakdown].[promo_revenue]" caption="promo_revenue" attribute="1" defaultMemberUniqueName="[public mart_daily_breakdown].[promo_revenue].[All]" allUniqueName="[public mart_daily_breakdown].[promo_revenue].[All]" dimensionUniqueName="[public mart_daily_breakdown]" displayFolder="" count="0" memberValueDatatype="5" unbalanced="0"/>
    <cacheHierarchy uniqueName="[public mart_daily_breakdown].[lost_sales_qty]" caption="lost_sales_qty" attribute="1" defaultMemberUniqueName="[public mart_daily_breakdown].[lost_sales_qty].[All]" allUniqueName="[public mart_daily_breakdown].[lost_sales_qty].[All]" dimensionUniqueName="[public mart_daily_breakdown]" displayFolder="" count="0" memberValueDatatype="20" unbalanced="0"/>
    <cacheHierarchy uniqueName="[public mart_plan_fact].[genre]" caption="genre" attribute="1" defaultMemberUniqueName="[public mart_plan_fact].[genre].[All]" allUniqueName="[public mart_plan_fact].[genre].[All]" dimensionUniqueName="[public mart_plan_fact]" displayFolder="" count="2" memberValueDatatype="130" unbalanced="0">
      <fieldsUsage count="2">
        <fieldUsage x="-1"/>
        <fieldUsage x="2"/>
      </fieldsUsage>
    </cacheHierarchy>
    <cacheHierarchy uniqueName="[public mart_plan_fact].[format]" caption="format" attribute="1" defaultMemberUniqueName="[public mart_plan_fact].[format].[All]" allUniqueName="[public mart_plan_fact].[format].[All]" dimensionUniqueName="[public mart_plan_fact]" displayFolder="" count="0" memberValueDatatype="130" unbalanced="0"/>
    <cacheHierarchy uniqueName="[public mart_plan_fact].[year]" caption="year" attribute="1" defaultMemberUniqueName="[public mart_plan_fact].[year].[All]" allUniqueName="[public mart_plan_fact].[year].[All]" dimensionUniqueName="[public mart_plan_fact]" displayFolder="" count="0" memberValueDatatype="20" unbalanced="0"/>
    <cacheHierarchy uniqueName="[public mart_plan_fact].[month]" caption="month" attribute="1" defaultMemberUniqueName="[public mart_plan_fact].[month].[All]" allUniqueName="[public mart_plan_fact].[month].[All]" dimensionUniqueName="[public mart_plan_fact]" displayFolder="" count="0" memberValueDatatype="20" unbalanced="0"/>
    <cacheHierarchy uniqueName="[public mart_plan_fact].[plan_qty]" caption="plan_qty" attribute="1" defaultMemberUniqueName="[public mart_plan_fact].[plan_qty].[All]" allUniqueName="[public mart_plan_fact].[plan_qty].[All]" dimensionUniqueName="[public mart_plan_fact]" displayFolder="" count="0" memberValueDatatype="20" unbalanced="0"/>
    <cacheHierarchy uniqueName="[public mart_plan_fact].[plan_amount]" caption="plan_amount" attribute="1" defaultMemberUniqueName="[public mart_plan_fact].[plan_amount].[All]" allUniqueName="[public mart_plan_fact].[plan_amount].[All]" dimensionUniqueName="[public mart_plan_fact]" displayFolder="" count="0" memberValueDatatype="5" unbalanced="0"/>
    <cacheHierarchy uniqueName="[public mart_plan_fact].[plan_qty_to_date]" caption="plan_qty_to_date" attribute="1" defaultMemberUniqueName="[public mart_plan_fact].[plan_qty_to_date].[All]" allUniqueName="[public mart_plan_fact].[plan_qty_to_date].[All]" dimensionUniqueName="[public mart_plan_fact]" displayFolder="" count="0" memberValueDatatype="5" unbalanced="0"/>
    <cacheHierarchy uniqueName="[public mart_plan_fact].[plan_amount_to_date]" caption="plan_amount_to_date" attribute="1" defaultMemberUniqueName="[public mart_plan_fact].[plan_amount_to_date].[All]" allUniqueName="[public mart_plan_fact].[plan_amount_to_date].[All]" dimensionUniqueName="[public mart_plan_fact]" displayFolder="" count="0" memberValueDatatype="5" unbalanced="0"/>
    <cacheHierarchy uniqueName="[public mart_plan_fact].[plan_margin_target]" caption="plan_margin_target" attribute="1" defaultMemberUniqueName="[public mart_plan_fact].[plan_margin_target].[All]" allUniqueName="[public mart_plan_fact].[plan_margin_target].[All]" dimensionUniqueName="[public mart_plan_fact]" displayFolder="" count="0" memberValueDatatype="5" unbalanced="0"/>
    <cacheHierarchy uniqueName="[public mart_plan_fact].[fact_qty]" caption="fact_qty" attribute="1" defaultMemberUniqueName="[public mart_plan_fact].[fact_qty].[All]" allUniqueName="[public mart_plan_fact].[fact_qty].[All]" dimensionUniqueName="[public mart_plan_fact]" displayFolder="" count="0" memberValueDatatype="20" unbalanced="0"/>
    <cacheHierarchy uniqueName="[public mart_plan_fact].[fact_amount]" caption="fact_amount" attribute="1" defaultMemberUniqueName="[public mart_plan_fact].[fact_amount].[All]" allUniqueName="[public mart_plan_fact].[fact_amount].[All]" dimensionUniqueName="[public mart_plan_fact]" displayFolder="" count="0" memberValueDatatype="5" unbalanced="0"/>
    <cacheHierarchy uniqueName="[public mart_plan_fact].[pct_of_plan_to_date]" caption="pct_of_plan_to_date" attribute="1" defaultMemberUniqueName="[public mart_plan_fact].[pct_of_plan_to_date].[All]" allUniqueName="[public mart_plan_fact].[pct_of_plan_to_date].[All]" dimensionUniqueName="[public mart_plan_fact]" displayFolder="" count="0" memberValueDatatype="5" unbalanced="0"/>
    <cacheHierarchy uniqueName="[public mart_plan_fact].[delta_amount_to_date]" caption="delta_amount_to_date" attribute="1" defaultMemberUniqueName="[public mart_plan_fact].[delta_amount_to_date].[All]" allUniqueName="[public mart_plan_fact].[delta_amount_to_date].[All]" dimensionUniqueName="[public mart_plan_fact]" displayFolder="" count="0" memberValueDatatype="5" unbalanced="0"/>
    <cacheHierarchy uniqueName="[public mart_plan_fact].[forecast_month_amount]" caption="forecast_month_amount" attribute="1" defaultMemberUniqueName="[public mart_plan_fact].[forecast_month_amount].[All]" allUniqueName="[public mart_plan_fact].[forecast_month_amount].[All]" dimensionUniqueName="[public mart_plan_fact]" displayFolder="" count="0" memberValueDatatype="5" unbalanced="0"/>
    <cacheHierarchy uniqueName="[public mart_plan_fact].[report_date]" caption="report_date" attribute="1" time="1" defaultMemberUniqueName="[public mart_plan_fact].[report_date].[All]" allUniqueName="[public mart_plan_fact].[report_date].[All]" dimensionUniqueName="[public mart_plan_fact]" displayFolder="" count="0" memberValueDatatype="7" unbalanced="0"/>
    <cacheHierarchy uniqueName="[Measures].[__XL_Count public mart_daily_breakdown]" caption="__XL_Count public mart_daily_breakdown" measure="1" displayFolder="" measureGroup="public mart_daily_breakdown" count="0" hidden="1"/>
    <cacheHierarchy uniqueName="[Measures].[__XL_Count public mart_plan_fact]" caption="__XL_Count public mart_plan_fact" measure="1" displayFolder="" measureGroup="public mart_plan_fact" count="0" hidden="1"/>
    <cacheHierarchy uniqueName="[Measures].[__No measures defined]" caption="__No measures defined" measure="1" displayFolder="" count="0" hidden="1"/>
    <cacheHierarchy uniqueName="[Measures].[Сумма по столбцу fact_amount]" caption="Сумма по столбцу fact_amount" measure="1" displayFolder="" measureGroup="public mart_plan_fac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ма по столбцу plan_amount]" caption="Сумма по столбцу plan_amount" measure="1" displayFolder="" measureGroup="public mart_plan_fac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3">
    <dimension measure="1" name="Measures" uniqueName="[Measures]" caption="Measures"/>
    <dimension name="public mart_daily_breakdown" uniqueName="[public mart_daily_breakdown]" caption="public mart_daily_breakdown"/>
    <dimension name="public mart_plan_fact" uniqueName="[public mart_plan_fact]" caption="public mart_plan_fact"/>
  </dimensions>
  <measureGroups count="2">
    <measureGroup name="public mart_daily_breakdown" caption="public mart_daily_breakdown"/>
    <measureGroup name="public mart_plan_fact" caption="public mart_plan_fact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chinova" refreshedDate="46135.855649074074" backgroundQuery="1" createdVersion="8" refreshedVersion="8" minRefreshableVersion="3" recordCount="0" supportSubquery="1" supportAdvancedDrill="1" xr:uid="{DA46016D-45D1-4A66-8748-CC8CF166F9E8}">
  <cacheSource type="external" connectionId="1"/>
  <cacheFields count="2">
    <cacheField name="[Measures].[Сумма по столбцу fact_amount]" caption="Сумма по столбцу fact_amount" numFmtId="0" hierarchy="30" level="32767"/>
    <cacheField name="[Measures].[Сумма по столбцу plan_amount]" caption="Сумма по столбцу plan_amount" numFmtId="0" hierarchy="31" level="32767"/>
  </cacheFields>
  <cacheHierarchies count="32">
    <cacheHierarchy uniqueName="[public mart_daily_breakdown].[day_type]" caption="day_type" attribute="1" defaultMemberUniqueName="[public mart_daily_breakdown].[day_type].[All]" allUniqueName="[public mart_daily_breakdown].[day_type].[All]" dimensionUniqueName="[public mart_daily_breakdown]" displayFolder="" count="0" memberValueDatatype="130" unbalanced="0"/>
    <cacheHierarchy uniqueName="[public mart_daily_breakdown].[genre]" caption="genre" attribute="1" defaultMemberUniqueName="[public mart_daily_breakdown].[genre].[All]" allUniqueName="[public mart_daily_breakdown].[genre].[All]" dimensionUniqueName="[public mart_daily_breakdown]" displayFolder="" count="0" memberValueDatatype="130" unbalanced="0"/>
    <cacheHierarchy uniqueName="[public mart_daily_breakdown].[format]" caption="format" attribute="1" defaultMemberUniqueName="[public mart_daily_breakdown].[format].[All]" allUniqueName="[public mart_daily_breakdown].[format].[All]" dimensionUniqueName="[public mart_daily_breakdown]" displayFolder="" count="0" memberValueDatatype="130" unbalanced="0"/>
    <cacheHierarchy uniqueName="[public mart_daily_breakdown].[orders]" caption="orders" attribute="1" defaultMemberUniqueName="[public mart_daily_breakdown].[orders].[All]" allUniqueName="[public mart_daily_breakdown].[orders].[All]" dimensionUniqueName="[public mart_daily_breakdown]" displayFolder="" count="0" memberValueDatatype="20" unbalanced="0"/>
    <cacheHierarchy uniqueName="[public mart_daily_breakdown].[net_qty]" caption="net_qty" attribute="1" defaultMemberUniqueName="[public mart_daily_breakdown].[net_qty].[All]" allUniqueName="[public mart_daily_breakdown].[net_qty].[All]" dimensionUniqueName="[public mart_daily_breakdown]" displayFolder="" count="0" memberValueDatatype="20" unbalanced="0"/>
    <cacheHierarchy uniqueName="[public mart_daily_breakdown].[net_revenue]" caption="net_revenue" attribute="1" defaultMemberUniqueName="[public mart_daily_breakdown].[net_revenue].[All]" allUniqueName="[public mart_daily_breakdown].[net_revenue].[All]" dimensionUniqueName="[public mart_daily_breakdown]" displayFolder="" count="0" memberValueDatatype="5" unbalanced="0"/>
    <cacheHierarchy uniqueName="[public mart_daily_breakdown].[gross_profit]" caption="gross_profit" attribute="1" defaultMemberUniqueName="[public mart_daily_breakdown].[gross_profit].[All]" allUniqueName="[public mart_daily_breakdown].[gross_profit].[All]" dimensionUniqueName="[public mart_daily_breakdown]" displayFolder="" count="0" memberValueDatatype="5" unbalanced="0"/>
    <cacheHierarchy uniqueName="[public mart_daily_breakdown].[return_qty]" caption="return_qty" attribute="1" defaultMemberUniqueName="[public mart_daily_breakdown].[return_qty].[All]" allUniqueName="[public mart_daily_breakdown].[return_qty].[All]" dimensionUniqueName="[public mart_daily_breakdown]" displayFolder="" count="0" memberValueDatatype="20" unbalanced="0"/>
    <cacheHierarchy uniqueName="[public mart_daily_breakdown].[return_amount]" caption="return_amount" attribute="1" defaultMemberUniqueName="[public mart_daily_breakdown].[return_amount].[All]" allUniqueName="[public mart_daily_breakdown].[return_amount].[All]" dimensionUniqueName="[public mart_daily_breakdown]" displayFolder="" count="0" memberValueDatatype="5" unbalanced="0"/>
    <cacheHierarchy uniqueName="[public mart_daily_breakdown].[promo_orders]" caption="promo_orders" attribute="1" defaultMemberUniqueName="[public mart_daily_breakdown].[promo_orders].[All]" allUniqueName="[public mart_daily_breakdown].[promo_orders].[All]" dimensionUniqueName="[public mart_daily_breakdown]" displayFolder="" count="0" memberValueDatatype="20" unbalanced="0"/>
    <cacheHierarchy uniqueName="[public mart_daily_breakdown].[promo_revenue]" caption="promo_revenue" attribute="1" defaultMemberUniqueName="[public mart_daily_breakdown].[promo_revenue].[All]" allUniqueName="[public mart_daily_breakdown].[promo_revenue].[All]" dimensionUniqueName="[public mart_daily_breakdown]" displayFolder="" count="0" memberValueDatatype="5" unbalanced="0"/>
    <cacheHierarchy uniqueName="[public mart_daily_breakdown].[lost_sales_qty]" caption="lost_sales_qty" attribute="1" defaultMemberUniqueName="[public mart_daily_breakdown].[lost_sales_qty].[All]" allUniqueName="[public mart_daily_breakdown].[lost_sales_qty].[All]" dimensionUniqueName="[public mart_daily_breakdown]" displayFolder="" count="0" memberValueDatatype="20" unbalanced="0"/>
    <cacheHierarchy uniqueName="[public mart_plan_fact].[genre]" caption="genre" attribute="1" defaultMemberUniqueName="[public mart_plan_fact].[genre].[All]" allUniqueName="[public mart_plan_fact].[genre].[All]" dimensionUniqueName="[public mart_plan_fact]" displayFolder="" count="0" memberValueDatatype="130" unbalanced="0"/>
    <cacheHierarchy uniqueName="[public mart_plan_fact].[format]" caption="format" attribute="1" defaultMemberUniqueName="[public mart_plan_fact].[format].[All]" allUniqueName="[public mart_plan_fact].[format].[All]" dimensionUniqueName="[public mart_plan_fact]" displayFolder="" count="0" memberValueDatatype="130" unbalanced="0"/>
    <cacheHierarchy uniqueName="[public mart_plan_fact].[year]" caption="year" attribute="1" defaultMemberUniqueName="[public mart_plan_fact].[year].[All]" allUniqueName="[public mart_plan_fact].[year].[All]" dimensionUniqueName="[public mart_plan_fact]" displayFolder="" count="0" memberValueDatatype="20" unbalanced="0"/>
    <cacheHierarchy uniqueName="[public mart_plan_fact].[month]" caption="month" attribute="1" defaultMemberUniqueName="[public mart_plan_fact].[month].[All]" allUniqueName="[public mart_plan_fact].[month].[All]" dimensionUniqueName="[public mart_plan_fact]" displayFolder="" count="0" memberValueDatatype="20" unbalanced="0"/>
    <cacheHierarchy uniqueName="[public mart_plan_fact].[plan_qty]" caption="plan_qty" attribute="1" defaultMemberUniqueName="[public mart_plan_fact].[plan_qty].[All]" allUniqueName="[public mart_plan_fact].[plan_qty].[All]" dimensionUniqueName="[public mart_plan_fact]" displayFolder="" count="0" memberValueDatatype="20" unbalanced="0"/>
    <cacheHierarchy uniqueName="[public mart_plan_fact].[plan_amount]" caption="plan_amount" attribute="1" defaultMemberUniqueName="[public mart_plan_fact].[plan_amount].[All]" allUniqueName="[public mart_plan_fact].[plan_amount].[All]" dimensionUniqueName="[public mart_plan_fact]" displayFolder="" count="0" memberValueDatatype="5" unbalanced="0"/>
    <cacheHierarchy uniqueName="[public mart_plan_fact].[plan_qty_to_date]" caption="plan_qty_to_date" attribute="1" defaultMemberUniqueName="[public mart_plan_fact].[plan_qty_to_date].[All]" allUniqueName="[public mart_plan_fact].[plan_qty_to_date].[All]" dimensionUniqueName="[public mart_plan_fact]" displayFolder="" count="0" memberValueDatatype="5" unbalanced="0"/>
    <cacheHierarchy uniqueName="[public mart_plan_fact].[plan_amount_to_date]" caption="plan_amount_to_date" attribute="1" defaultMemberUniqueName="[public mart_plan_fact].[plan_amount_to_date].[All]" allUniqueName="[public mart_plan_fact].[plan_amount_to_date].[All]" dimensionUniqueName="[public mart_plan_fact]" displayFolder="" count="0" memberValueDatatype="5" unbalanced="0"/>
    <cacheHierarchy uniqueName="[public mart_plan_fact].[plan_margin_target]" caption="plan_margin_target" attribute="1" defaultMemberUniqueName="[public mart_plan_fact].[plan_margin_target].[All]" allUniqueName="[public mart_plan_fact].[plan_margin_target].[All]" dimensionUniqueName="[public mart_plan_fact]" displayFolder="" count="0" memberValueDatatype="5" unbalanced="0"/>
    <cacheHierarchy uniqueName="[public mart_plan_fact].[fact_qty]" caption="fact_qty" attribute="1" defaultMemberUniqueName="[public mart_plan_fact].[fact_qty].[All]" allUniqueName="[public mart_plan_fact].[fact_qty].[All]" dimensionUniqueName="[public mart_plan_fact]" displayFolder="" count="0" memberValueDatatype="20" unbalanced="0"/>
    <cacheHierarchy uniqueName="[public mart_plan_fact].[fact_amount]" caption="fact_amount" attribute="1" defaultMemberUniqueName="[public mart_plan_fact].[fact_amount].[All]" allUniqueName="[public mart_plan_fact].[fact_amount].[All]" dimensionUniqueName="[public mart_plan_fact]" displayFolder="" count="0" memberValueDatatype="5" unbalanced="0"/>
    <cacheHierarchy uniqueName="[public mart_plan_fact].[pct_of_plan_to_date]" caption="pct_of_plan_to_date" attribute="1" defaultMemberUniqueName="[public mart_plan_fact].[pct_of_plan_to_date].[All]" allUniqueName="[public mart_plan_fact].[pct_of_plan_to_date].[All]" dimensionUniqueName="[public mart_plan_fact]" displayFolder="" count="0" memberValueDatatype="5" unbalanced="0"/>
    <cacheHierarchy uniqueName="[public mart_plan_fact].[delta_amount_to_date]" caption="delta_amount_to_date" attribute="1" defaultMemberUniqueName="[public mart_plan_fact].[delta_amount_to_date].[All]" allUniqueName="[public mart_plan_fact].[delta_amount_to_date].[All]" dimensionUniqueName="[public mart_plan_fact]" displayFolder="" count="0" memberValueDatatype="5" unbalanced="0"/>
    <cacheHierarchy uniqueName="[public mart_plan_fact].[forecast_month_amount]" caption="forecast_month_amount" attribute="1" defaultMemberUniqueName="[public mart_plan_fact].[forecast_month_amount].[All]" allUniqueName="[public mart_plan_fact].[forecast_month_amount].[All]" dimensionUniqueName="[public mart_plan_fact]" displayFolder="" count="0" memberValueDatatype="5" unbalanced="0"/>
    <cacheHierarchy uniqueName="[public mart_plan_fact].[report_date]" caption="report_date" attribute="1" time="1" defaultMemberUniqueName="[public mart_plan_fact].[report_date].[All]" allUniqueName="[public mart_plan_fact].[report_date].[All]" dimensionUniqueName="[public mart_plan_fact]" displayFolder="" count="0" memberValueDatatype="7" unbalanced="0"/>
    <cacheHierarchy uniqueName="[Measures].[__XL_Count public mart_daily_breakdown]" caption="__XL_Count public mart_daily_breakdown" measure="1" displayFolder="" measureGroup="public mart_daily_breakdown" count="0" hidden="1"/>
    <cacheHierarchy uniqueName="[Measures].[__XL_Count public mart_plan_fact]" caption="__XL_Count public mart_plan_fact" measure="1" displayFolder="" measureGroup="public mart_plan_fact" count="0" hidden="1"/>
    <cacheHierarchy uniqueName="[Measures].[__No measures defined]" caption="__No measures defined" measure="1" displayFolder="" count="0" hidden="1"/>
    <cacheHierarchy uniqueName="[Measures].[Сумма по столбцу fact_amount]" caption="Сумма по столбцу fact_amount" measure="1" displayFolder="" measureGroup="public mart_plan_fac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ма по столбцу plan_amount]" caption="Сумма по столбцу plan_amount" measure="1" displayFolder="" measureGroup="public mart_plan_fac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3">
    <dimension measure="1" name="Measures" uniqueName="[Measures]" caption="Measures"/>
    <dimension name="public mart_daily_breakdown" uniqueName="[public mart_daily_breakdown]" caption="public mart_daily_breakdown"/>
    <dimension name="public mart_plan_fact" uniqueName="[public mart_plan_fact]" caption="public mart_plan_fact"/>
  </dimensions>
  <measureGroups count="2">
    <measureGroup name="public mart_daily_breakdown" caption="public mart_daily_breakdown"/>
    <measureGroup name="public mart_plan_fact" caption="public mart_plan_fact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57D63D-1E95-45C2-BA57-66E6C3D964AB}" name="Сводная таблица5" cacheId="23" applyNumberFormats="0" applyBorderFormats="0" applyFontFormats="0" applyPatternFormats="0" applyAlignmentFormats="0" applyWidthHeightFormats="1" dataCaption="Значения" updatedVersion="8" minRefreshableVersion="3" subtotalHiddenItems="1" itemPrintTitles="1" createdVersion="8" indent="0" multipleFieldFilters="0" rowHeaderCaption="Жанр">
  <location ref="G28:I33" firstHeaderRow="0" firstDataRow="1" firstDataCol="1"/>
  <pivotFields count="3"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  <pivotField dataField="1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Факт" fld="1" baseField="0" baseItem="0"/>
    <dataField name="План" fld="2" baseField="0" baseItem="0"/>
  </dataFields>
  <formats count="5">
    <format dxfId="91">
      <pivotArea field="0" type="button" dataOnly="0" labelOnly="1" outline="0" axis="axisRow" fieldPosition="0"/>
    </format>
    <format dxfId="9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9">
      <pivotArea outline="0" collapsedLevelsAreSubtotals="1" fieldPosition="0"/>
    </format>
    <format dxfId="88">
      <pivotArea outline="0" collapsedLevelsAreSubtotals="1" fieldPosition="0"/>
    </format>
    <format dxfId="8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Факт"/>
    <pivotHierarchy dragToData="1" caption="План"/>
  </pivotHierarchies>
  <pivotTableStyleInfo name="PivotStyleLight1" showRowHeaders="1" showColHeaders="1" showRowStripes="0" showColStripes="0" showLastColumn="1"/>
  <rowHierarchiesUsage count="1">
    <rowHierarchyUsage hierarchyUsage="1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ublic mart_plan_fact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0C6442-E377-489D-BD0D-863C2A8143CC}" name="Сводная таблица4" cacheId="26" applyNumberFormats="0" applyBorderFormats="0" applyFontFormats="0" applyPatternFormats="0" applyAlignmentFormats="0" applyWidthHeightFormats="1" dataCaption="Значения" updatedVersion="8" minRefreshableVersion="3" subtotalHiddenItems="1" itemPrintTitles="1" createdVersion="8" indent="0" multipleFieldFilters="0" rowHeaderCaption="Жанр">
  <location ref="G14:I25" firstHeaderRow="0" firstDataRow="1" firstDataCol="1"/>
  <pivotFields count="3">
    <pivotField dataField="1" showAll="0"/>
    <pivotField dataField="1" showAll="0"/>
    <pivotField axis="axisRow" allDrilled="1" showAll="0" dataSourceSort="1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Факт" fld="0" baseField="0" baseItem="0"/>
    <dataField name="План" fld="1" baseField="0" baseItem="0"/>
  </dataFields>
  <formats count="5">
    <format dxfId="96">
      <pivotArea field="2" type="button" dataOnly="0" labelOnly="1" outline="0" axis="axisRow" fieldPosition="0"/>
    </format>
    <format dxfId="9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4">
      <pivotArea outline="0" collapsedLevelsAreSubtotals="1" fieldPosition="0"/>
    </format>
    <format dxfId="93">
      <pivotArea outline="0" collapsedLevelsAreSubtotals="1" fieldPosition="0"/>
    </format>
    <format dxfId="9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Факт"/>
    <pivotHierarchy dragToData="1" caption="План"/>
  </pivotHierarchies>
  <pivotTableStyleInfo name="PivotStyleLight1"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ublic mart_plan_fact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0B5725-1E8C-4BA7-8043-B32D02A0D712}" name="Сводная таблица3" cacheId="29" applyNumberFormats="0" applyBorderFormats="0" applyFontFormats="0" applyPatternFormats="0" applyAlignmentFormats="0" applyWidthHeightFormats="1" dataCaption="Значения" updatedVersion="8" minRefreshableVersion="3" subtotalHiddenItems="1" itemPrintTitles="1" createdVersion="8" indent="0" multipleFieldFilters="0">
  <location ref="G5:H6" firstHeaderRow="0" firstDataRow="1" firstDataCol="0"/>
  <pivotFields count="2">
    <pivotField dataField="1"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Факт" fld="0" baseField="0" baseItem="0"/>
    <dataField name="План" fld="1" baseField="0" baseItem="0"/>
  </dataFields>
  <formats count="18">
    <format dxfId="114">
      <pivotArea type="all" dataOnly="0" outline="0" fieldPosition="0"/>
    </format>
    <format dxfId="113">
      <pivotArea outline="0" collapsedLevelsAreSubtotals="1" fieldPosition="0"/>
    </format>
    <format dxfId="1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1">
      <pivotArea type="all" dataOnly="0" outline="0" fieldPosition="0"/>
    </format>
    <format dxfId="110">
      <pivotArea outline="0" collapsedLevelsAreSubtotals="1" fieldPosition="0"/>
    </format>
    <format dxfId="10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7">
      <pivotArea outline="0" collapsedLevelsAreSubtotals="1" fieldPosition="0"/>
    </format>
    <format dxfId="106">
      <pivotArea outline="0" collapsedLevelsAreSubtotals="1" fieldPosition="0"/>
    </format>
    <format dxfId="105">
      <pivotArea type="all" dataOnly="0" outline="0" fieldPosition="0"/>
    </format>
    <format dxfId="104">
      <pivotArea outline="0" collapsedLevelsAreSubtotals="1" fieldPosition="0"/>
    </format>
    <format dxfId="10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2">
      <pivotArea type="all" dataOnly="0" outline="0" fieldPosition="0"/>
    </format>
    <format dxfId="101">
      <pivotArea outline="0" collapsedLevelsAreSubtotals="1" fieldPosition="0"/>
    </format>
    <format dxfId="10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9">
      <pivotArea type="all" dataOnly="0" outline="0" fieldPosition="0"/>
    </format>
    <format dxfId="98">
      <pivotArea outline="0" collapsedLevelsAreSubtotals="1" fieldPosition="0"/>
    </format>
    <format dxfId="9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Факт"/>
    <pivotHierarchy dragToData="1" caption="План"/>
  </pivotHierarchies>
  <pivotTableStyleInfo name="PivotStyleLight1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ublic mart_plan_fact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5" xr16:uid="{BF7B49F1-FE5A-4AE7-AB8D-7735A6EA495D}" autoFormatId="16" applyNumberFormats="0" applyBorderFormats="0" applyFontFormats="0" applyPatternFormats="0" applyAlignmentFormats="0" applyWidthHeightFormats="0">
  <queryTableRefresh nextId="16">
    <queryTableFields count="15">
      <queryTableField id="1" name="day_type" tableColumnId="1"/>
      <queryTableField id="2" name="report_date" tableColumnId="2"/>
      <queryTableField id="3" name="prev_date" tableColumnId="3"/>
      <queryTableField id="4" name="total_revenue" tableColumnId="4"/>
      <queryTableField id="5" name="total_orders" tableColumnId="5"/>
      <queryTableField id="6" name="avg_order_value" tableColumnId="6"/>
      <queryTableField id="7" name="total_gross_profit" tableColumnId="7"/>
      <queryTableField id="8" name="gross_margin" tableColumnId="8"/>
      <queryTableField id="9" name="return_qty" tableColumnId="9"/>
      <queryTableField id="10" name="return_amount" tableColumnId="10"/>
      <queryTableField id="11" name="return_rate_pct" tableColumnId="11"/>
      <queryTableField id="12" name="promo_orders" tableColumnId="12"/>
      <queryTableField id="13" name="promo_revenue" tableColumnId="13"/>
      <queryTableField id="14" name="promo_orders_pct" tableColumnId="14"/>
      <queryTableField id="15" name="lost_sales_qty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082230-828A-493D-BFBC-895348C0E34B}" name="public_mart_inventory_alerts" displayName="public_mart_inventory_alerts" ref="B38:O39" totalsRowShown="0" headerRowDxfId="37" dataDxfId="22">
  <autoFilter ref="B38:O39" xr:uid="{80082230-828A-493D-BFBC-895348C0E34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617626D6-6E04-4472-AC4C-C590D4D752DC}" name="product_id" dataDxfId="36"/>
    <tableColumn id="2" xr3:uid="{4D2D0127-651D-46F3-9475-16B47C27E6A7}" name="title" dataDxfId="35"/>
    <tableColumn id="3" xr3:uid="{46610069-3387-473C-B36B-025C2695C5C2}" name="format" dataDxfId="34"/>
    <tableColumn id="4" xr3:uid="{8FCA53EE-4BF7-4312-8D56-C1EBD77F7CE1}" name="genre" dataDxfId="33"/>
    <tableColumn id="5" xr3:uid="{5221BF0C-0B94-4193-86DD-D3685BB44645}" name="publisher" dataDxfId="32"/>
    <tableColumn id="6" xr3:uid="{11407B0F-7737-4764-AF11-F5820E917AAE}" name="price_rub" dataDxfId="31"/>
    <tableColumn id="7" xr3:uid="{140485EA-3D18-451D-9078-88060F50F35E}" name="closing_stock" dataDxfId="30"/>
    <tableColumn id="8" xr3:uid="{319853F2-5D00-4763-9360-C4651CDCF025}" name="is_low_stock" dataDxfId="29"/>
    <tableColumn id="9" xr3:uid="{F3563E40-33D4-4C78-8828-F2C9AD775E9E}" name="stock_date" dataDxfId="28"/>
    <tableColumn id="10" xr3:uid="{B1B01F7C-5CCC-42BC-B239-9616D2B43A28}" name="avg_daily_sales_30d" dataDxfId="27"/>
    <tableColumn id="11" xr3:uid="{3AB991AB-F8F4-4CAA-9AC2-83B9C0338DC3}" name="days_until_stockout" dataDxfId="26"/>
    <tableColumn id="12" xr3:uid="{56F615BF-C7C0-4449-BB41-18A94618E8D0}" name="recommended_order_qty" dataDxfId="25"/>
    <tableColumn id="13" xr3:uid="{C2E7EE1F-60BF-442C-9264-9A1D4B19CBAE}" name="recommended_order_cost" dataDxfId="24"/>
    <tableColumn id="14" xr3:uid="{DB1401CA-E363-4EEA-B90A-F166EF749955}" name="alert_level" dataDxfId="23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CCE1BC-49BD-4395-A771-968CEC0DF21A}" name="public_mart_daily_pulse" displayName="public_mart_daily_pulse" ref="S3:AG5" tableType="queryTable" totalsRowShown="0" headerRowDxfId="86" dataDxfId="85">
  <autoFilter ref="S3:AG5" xr:uid="{DDCCE1BC-49BD-4395-A771-968CEC0DF21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15">
    <tableColumn id="1" xr3:uid="{05303D7D-4F5E-4EBC-AC9E-B6536AA3B811}" uniqueName="1" name="day_type" queryTableFieldId="1" dataDxfId="45"/>
    <tableColumn id="2" xr3:uid="{091A62B7-D7CB-4ED3-9CB3-54A7CDDE19A1}" uniqueName="2" name="report_date" queryTableFieldId="2" dataDxfId="44"/>
    <tableColumn id="3" xr3:uid="{EA3D475F-DAC8-4AF8-8B78-BC30CFCF4910}" uniqueName="3" name="prev_date" queryTableFieldId="3" dataDxfId="43"/>
    <tableColumn id="4" xr3:uid="{0DBBCE57-C22D-4D61-B9BD-93C0B8ACAA0D}" uniqueName="4" name="total_revenue" queryTableFieldId="4" dataDxfId="42"/>
    <tableColumn id="5" xr3:uid="{35549319-CFDB-45E9-BADD-3E62801252CA}" uniqueName="5" name="total_orders" queryTableFieldId="5" dataDxfId="41"/>
    <tableColumn id="6" xr3:uid="{E8C9E3A1-EF8F-488B-9A03-BE6D4F22E401}" uniqueName="6" name="avg_order_value" queryTableFieldId="6" dataDxfId="40"/>
    <tableColumn id="7" xr3:uid="{BAF0285D-E907-48CF-AF2B-A2C838F9BDCA}" uniqueName="7" name="total_gross_profit" queryTableFieldId="7" dataDxfId="39"/>
    <tableColumn id="8" xr3:uid="{D8DBBCCD-1753-430A-8227-AF3498BC80B4}" uniqueName="8" name="gross_margin" queryTableFieldId="8" dataDxfId="38"/>
    <tableColumn id="9" xr3:uid="{911E0166-E147-485D-9014-D0364C2C7FB4}" uniqueName="9" name="return_qty" queryTableFieldId="9"/>
    <tableColumn id="10" xr3:uid="{D22BBEF0-D373-405E-A055-CAB4C3342B42}" uniqueName="10" name="return_amount" queryTableFieldId="10"/>
    <tableColumn id="11" xr3:uid="{23DB9868-A95A-47AD-AA99-EDD3B42EB18B}" uniqueName="11" name="return_rate_pct" queryTableFieldId="11"/>
    <tableColumn id="12" xr3:uid="{14E3E032-B4BB-458D-BCA4-90D71231CEC6}" uniqueName="12" name="promo_orders" queryTableFieldId="12"/>
    <tableColumn id="13" xr3:uid="{4668DA4F-E6E9-4FDC-8F72-BE2C4A4D3EDC}" uniqueName="13" name="promo_revenue" queryTableFieldId="13"/>
    <tableColumn id="14" xr3:uid="{798076ED-7542-4A6B-9348-AB40EA888334}" uniqueName="14" name="promo_orders_pct" queryTableFieldId="14"/>
    <tableColumn id="15" xr3:uid="{F3C08B4A-A929-47F9-B103-E50FE5A77CC6}" uniqueName="15" name="lost_sales_qty" queryTableFieldId="15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4CCEAB3-BEA1-43BE-A122-9C50FB4A70FA}" name="public_mart_mtd_pulse" displayName="public_mart_mtd_pulse" ref="S8:AF9" totalsRowShown="0" headerRowDxfId="84" dataDxfId="83">
  <autoFilter ref="S8:AF9" xr:uid="{C4CCEAB3-BEA1-43BE-A122-9C50FB4A70F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6A49B454-342A-4E21-8D66-21CB2D743421}" name="month_start" dataDxfId="82"/>
    <tableColumn id="2" xr3:uid="{4FDFB818-0503-460E-B0D8-90229F5BCFAF}" name="month_to_date" dataDxfId="81"/>
    <tableColumn id="3" xr3:uid="{56840D9C-4486-44F3-B592-9B6708D8400F}" name="mtd_revenue" dataDxfId="80"/>
    <tableColumn id="4" xr3:uid="{D71BB7C8-F135-42A4-915B-27B1FB213309}" name="mtd_orders" dataDxfId="79"/>
    <tableColumn id="5" xr3:uid="{5D3D5759-4C17-4037-AC9F-E1DF01115E96}" name="mtd_net_qty" dataDxfId="78"/>
    <tableColumn id="6" xr3:uid="{7E2F24F1-B768-4410-AB2C-D6BD6882674E}" name="mtd_gross_profit" dataDxfId="77"/>
    <tableColumn id="7" xr3:uid="{FD29C29F-063E-435F-8138-C8654E70FD74}" name="mtd_gross_margin" dataDxfId="76"/>
    <tableColumn id="8" xr3:uid="{AA3A0260-C1E3-4DDC-8424-BC7B24605442}" name="mtd_avg_order_value" dataDxfId="75"/>
    <tableColumn id="9" xr3:uid="{CEF4B5C2-05D1-4BD8-B1D3-E5380F3A5E7E}" name="prev_mtd_revenue" dataDxfId="74"/>
    <tableColumn id="10" xr3:uid="{49372E1A-C776-4C79-A29F-78CD9162CE7F}" name="prev_mtd_orders" dataDxfId="73"/>
    <tableColumn id="11" xr3:uid="{8BD10473-6FA1-43A3-98DF-BF2CB1E039F3}" name="prev_mtd_net_qty" dataDxfId="72"/>
    <tableColumn id="12" xr3:uid="{4AD4438A-19B3-4242-8E6F-33837A90451D}" name="prev_mtd_gross_profit" dataDxfId="71"/>
    <tableColumn id="13" xr3:uid="{5F58D1F2-9DEC-40AA-8615-2C645A8960F1}" name="prev_mtd_gross_margin" dataDxfId="70"/>
    <tableColumn id="14" xr3:uid="{04BB14B5-5C9C-4743-B39D-B3D36BE7F61B}" name="prev_mtd_avg_order_value" dataDxfId="69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28C2E53-D4E4-4C5A-B255-B8FF12332BB5}" name="public_mart_daily_revenue_mtd" displayName="public_mart_daily_revenue_mtd" ref="K11:O25" totalsRowShown="0" headerRowDxfId="68" dataDxfId="67">
  <autoFilter ref="K11:O25" xr:uid="{E28C2E53-D4E4-4C5A-B255-B8FF12332BB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F8F518D8-B8B6-4798-9A96-722FBDCF958E}" name="Дата" dataDxfId="66"/>
    <tableColumn id="2" xr3:uid="{2E1B9791-C926-426E-BBDC-73E24688D006}" name="Чистая выручка" dataDxfId="65"/>
    <tableColumn id="3" xr3:uid="{2B7167FB-2A1E-4FD6-9FB6-8C8D6593EE0A}" name="Валовая прибыль" dataDxfId="64"/>
    <tableColumn id="4" xr3:uid="{F3DF68A6-A219-487F-B6FA-357098A193B3}" name="Заказы" dataDxfId="63"/>
    <tableColumn id="5" xr3:uid="{37F527C1-425B-4FA2-BF73-7D9F645B9739}" name="План продаж" dataDxfId="62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6D033C1-1C29-465D-9A67-62F6A7F9B066}" name="public_mart_daily_top5" displayName="public_mart_daily_top5" ref="K3:Q8" totalsRowShown="0" headerRowDxfId="61" dataDxfId="60">
  <autoFilter ref="K3:Q8" xr:uid="{76D033C1-1C29-465D-9A67-62F6A7F9B06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C3BB15AB-38F5-4FC2-9498-837F5451CFCD}" name="product_id" dataDxfId="59"/>
    <tableColumn id="2" xr3:uid="{800113D1-EBD6-4365-82D4-F3BA54563397}" name="title" dataDxfId="58"/>
    <tableColumn id="3" xr3:uid="{BBADDED4-AA6D-4F07-B066-C5115AC40962}" name="format" dataDxfId="57"/>
    <tableColumn id="4" xr3:uid="{3B0453EF-2237-49F7-8EAA-8460D5C43219}" name="genre" dataDxfId="56"/>
    <tableColumn id="5" xr3:uid="{98A89245-15D4-4C95-B542-926E0950DBBD}" name="revenue" dataDxfId="55"/>
    <tableColumn id="6" xr3:uid="{FF582410-FBD3-4D4F-BE5B-1B74295E9D53}" name="net_qty" dataDxfId="54"/>
    <tableColumn id="7" xr3:uid="{0F5AF0DA-C782-428F-ABE1-45FF0E37F9EF}" name="rnk" dataDxfId="53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FAFCC6E-A837-459E-AAD6-EB1E6AEF4E29}" name="public_mart_daily_channels" displayName="public_mart_daily_channels" ref="S12:AC18" totalsRowShown="0" headerRowDxfId="49">
  <autoFilter ref="S12:AC18" xr:uid="{0FAFCC6E-A837-459E-AAD6-EB1E6AEF4E29}"/>
  <tableColumns count="11">
    <tableColumn id="1" xr3:uid="{BC033F09-F760-440B-942C-7355EEE5D204}" name="day_type" dataDxfId="52"/>
    <tableColumn id="2" xr3:uid="{189A36F6-117A-4C1D-88A1-BBA7A0AD1806}" name="report_date" dataDxfId="51"/>
    <tableColumn id="3" xr3:uid="{0D13C40E-FF99-4080-801F-D2C69E89BDCE}" name="channel" dataDxfId="50"/>
    <tableColumn id="4" xr3:uid="{5ACC7330-6009-436B-9FCB-F58D0F72008D}" name="orders"/>
    <tableColumn id="5" xr3:uid="{DDF7C783-7B1B-4F38-BDFB-C6574B693C69}" name="net_qty"/>
    <tableColumn id="6" xr3:uid="{1AE90678-0801-42DA-A430-589B2B7D9F37}" name="net_revenue"/>
    <tableColumn id="7" xr3:uid="{197E28A5-1FAA-4289-85C9-14D57ED5FF14}" name="gross_profit"/>
    <tableColumn id="8" xr3:uid="{2B7D2BB8-A26F-4E94-B3CC-CF3FECE4248F}" name="gross_margin"/>
    <tableColumn id="9" xr3:uid="{3CDF959C-458F-4D74-A8CF-C95A80F43B5A}" name="promo_orders"/>
    <tableColumn id="10" xr3:uid="{62FB2827-B223-4D00-9AF4-6C2B37A20486}" name="promo_revenue"/>
    <tableColumn id="11" xr3:uid="{14FDD52A-35CE-4A66-8E74-457F85404E23}" name="promo_orders_pct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9E4A704-8823-4E9F-BC0B-1D57DCD48130}" name="public_mart_daily_format_pulse" displayName="public_mart_daily_format_pulse" ref="S21:AD29" totalsRowShown="0" headerRowDxfId="46">
  <autoFilter ref="S21:AD29" xr:uid="{B9E4A704-8823-4E9F-BC0B-1D57DCD48130}"/>
  <tableColumns count="12">
    <tableColumn id="1" xr3:uid="{10DB145F-AF88-434E-A80F-B851550C1AA6}" name="day_type" dataDxfId="48"/>
    <tableColumn id="2" xr3:uid="{91160F63-0C8F-4A45-8A3E-D78610EC3980}" name="format" dataDxfId="47"/>
    <tableColumn id="3" xr3:uid="{FA5EBD23-C0C9-4274-B16A-BFE199048A73}" name="orders"/>
    <tableColumn id="4" xr3:uid="{A129F2F4-B83E-45AD-8A51-F6C073837F52}" name="net_qty"/>
    <tableColumn id="5" xr3:uid="{94BFA5E1-29AF-48BC-A8E7-AD54C8A03393}" name="net_revenue"/>
    <tableColumn id="6" xr3:uid="{D8ADC5CF-CB5C-4286-99AD-DDB0EC84551B}" name="gross_profit"/>
    <tableColumn id="7" xr3:uid="{1A58A53F-57C4-407F-9F9C-DC2439E7BD56}" name="gross_margin"/>
    <tableColumn id="8" xr3:uid="{2F1EEFDC-19D3-4371-BFB8-703E75D93212}" name="return_qty"/>
    <tableColumn id="9" xr3:uid="{F5AB8CDE-C1D6-422D-968B-B5EC160DE2CF}" name="return_amount"/>
    <tableColumn id="10" xr3:uid="{4B4EB1B8-BBC5-4262-8E9D-A0C199A150C3}" name="promo_orders"/>
    <tableColumn id="11" xr3:uid="{8F13D4C0-817E-4908-B8BE-32B52784E696}" name="promo_revenue"/>
    <tableColumn id="12" xr3:uid="{1AB0D6CF-0B63-4BD6-B784-ED6F6FC10773}" name="lost_sales_qty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5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D41"/>
  <sheetViews>
    <sheetView showGridLines="0" zoomScaleNormal="100" workbookViewId="0">
      <pane ySplit="1" topLeftCell="A2" activePane="bottomLeft" state="frozen"/>
      <selection pane="bottomLeft" activeCell="AB34" sqref="AB34"/>
    </sheetView>
  </sheetViews>
  <sheetFormatPr defaultRowHeight="14.5" x14ac:dyDescent="0.35"/>
  <cols>
    <col min="1" max="1" width="4.6328125" style="2" customWidth="1"/>
    <col min="2" max="2" width="4.36328125" style="2" customWidth="1"/>
    <col min="3" max="3" width="10.453125" style="2" customWidth="1"/>
    <col min="4" max="4" width="12.08984375" style="2" customWidth="1"/>
    <col min="5" max="5" width="8" style="2" customWidth="1"/>
    <col min="6" max="6" width="3.26953125" style="2" customWidth="1"/>
    <col min="7" max="7" width="7.08984375" style="2" customWidth="1"/>
    <col min="8" max="8" width="7.26953125" style="2" customWidth="1"/>
    <col min="9" max="9" width="6.453125" style="2" customWidth="1"/>
    <col min="10" max="10" width="4" style="2" customWidth="1"/>
    <col min="11" max="11" width="7.08984375" style="2" customWidth="1"/>
    <col min="12" max="12" width="10.453125" style="2" customWidth="1"/>
    <col min="13" max="13" width="6.54296875" style="2" customWidth="1"/>
    <col min="14" max="14" width="3.36328125" style="2" customWidth="1"/>
    <col min="15" max="15" width="8.453125" style="2" customWidth="1"/>
    <col min="16" max="16" width="2.26953125" style="2" customWidth="1"/>
    <col min="17" max="17" width="9.453125" style="2" customWidth="1"/>
    <col min="18" max="18" width="7.81640625" style="2" customWidth="1"/>
    <col min="19" max="19" width="3.90625" style="2" customWidth="1"/>
    <col min="20" max="20" width="5.36328125" style="2" customWidth="1"/>
    <col min="21" max="21" width="10.08984375" style="2" customWidth="1"/>
    <col min="22" max="22" width="8" style="2" customWidth="1"/>
    <col min="23" max="23" width="2.81640625" style="2" customWidth="1"/>
    <col min="24" max="24" width="9.6328125" style="2" customWidth="1"/>
    <col min="25" max="25" width="12" style="2" customWidth="1"/>
    <col min="26" max="26" width="8" style="2" customWidth="1"/>
    <col min="27" max="27" width="12.453125" customWidth="1"/>
    <col min="28" max="28" width="3.6328125" customWidth="1"/>
    <col min="29" max="29" width="18.1796875" customWidth="1"/>
    <col min="30" max="30" width="28.1796875" customWidth="1"/>
    <col min="31" max="16384" width="8.7265625" style="2"/>
  </cols>
  <sheetData>
    <row r="1" spans="2:30" ht="31" customHeight="1" x14ac:dyDescent="0.35">
      <c r="B1" s="57" t="s">
        <v>149</v>
      </c>
      <c r="Z1" s="58" t="s">
        <v>57</v>
      </c>
      <c r="AA1" s="87">
        <f>Данные!T4</f>
        <v>46126</v>
      </c>
    </row>
    <row r="2" spans="2:30" ht="21" x14ac:dyDescent="0.55000000000000004">
      <c r="B2" s="108" t="s">
        <v>150</v>
      </c>
    </row>
    <row r="3" spans="2:30" ht="26" x14ac:dyDescent="0.35">
      <c r="B3" s="107" t="str">
        <f>Данные!E8&amp;" "&amp;Данные!E3</f>
        <v>Apr' 2026</v>
      </c>
      <c r="C3" s="5"/>
      <c r="P3" s="3"/>
      <c r="Q3" s="3"/>
      <c r="R3" s="3"/>
      <c r="S3" s="4"/>
      <c r="AB3" s="59"/>
    </row>
    <row r="4" spans="2:30" x14ac:dyDescent="0.35">
      <c r="P4" s="3"/>
      <c r="Q4" s="3"/>
      <c r="R4" s="3"/>
      <c r="S4" s="4"/>
    </row>
    <row r="5" spans="2:30" ht="17.5" x14ac:dyDescent="0.35">
      <c r="B5" s="51" t="s">
        <v>129</v>
      </c>
      <c r="D5" s="50"/>
      <c r="F5" s="51" t="s">
        <v>130</v>
      </c>
      <c r="G5" s="52"/>
      <c r="H5" s="52"/>
      <c r="J5" s="51" t="s">
        <v>131</v>
      </c>
      <c r="K5" s="5"/>
      <c r="L5" s="50"/>
      <c r="N5" s="51" t="s">
        <v>132</v>
      </c>
      <c r="O5" s="5"/>
      <c r="S5" s="51" t="s">
        <v>133</v>
      </c>
      <c r="T5" s="5"/>
      <c r="W5" s="51" t="s">
        <v>134</v>
      </c>
      <c r="AB5" s="2"/>
      <c r="AC5" s="2"/>
      <c r="AD5" s="2"/>
    </row>
    <row r="6" spans="2:30" x14ac:dyDescent="0.35">
      <c r="B6" s="57" t="s">
        <v>89</v>
      </c>
      <c r="F6" s="57" t="s">
        <v>89</v>
      </c>
      <c r="J6" s="57" t="s">
        <v>89</v>
      </c>
      <c r="K6" s="9"/>
      <c r="N6" s="57" t="s">
        <v>89</v>
      </c>
      <c r="O6" s="9"/>
      <c r="S6" s="57" t="s">
        <v>89</v>
      </c>
      <c r="T6" s="9"/>
      <c r="W6" s="57" t="s">
        <v>89</v>
      </c>
    </row>
    <row r="7" spans="2:30" ht="10" customHeight="1" x14ac:dyDescent="0.35">
      <c r="B7" s="102"/>
      <c r="C7" s="26"/>
      <c r="D7" s="103"/>
      <c r="F7" s="104"/>
      <c r="G7" s="104"/>
      <c r="H7" s="26"/>
      <c r="I7" s="44"/>
      <c r="J7" s="104"/>
      <c r="K7" s="104"/>
      <c r="L7" s="26"/>
      <c r="M7" s="44"/>
      <c r="N7" s="104"/>
      <c r="O7" s="26"/>
      <c r="P7" s="44"/>
      <c r="Q7" s="44"/>
      <c r="R7" s="44"/>
      <c r="S7" s="104"/>
      <c r="T7" s="104"/>
      <c r="U7" s="26"/>
      <c r="V7" s="44"/>
      <c r="W7" s="105"/>
      <c r="X7" s="26"/>
      <c r="Y7" s="26"/>
    </row>
    <row r="8" spans="2:30" ht="10" customHeight="1" x14ac:dyDescent="0.35">
      <c r="B8" s="48"/>
      <c r="C8" s="44"/>
      <c r="D8" s="42"/>
      <c r="F8" s="43"/>
      <c r="G8" s="43"/>
      <c r="H8" s="44"/>
      <c r="I8" s="44"/>
      <c r="J8" s="43"/>
      <c r="K8" s="43"/>
      <c r="L8" s="44"/>
      <c r="M8" s="44"/>
      <c r="N8" s="43"/>
      <c r="O8" s="44"/>
      <c r="P8" s="110"/>
      <c r="Q8" s="110"/>
      <c r="R8" s="44"/>
      <c r="S8" s="43"/>
      <c r="T8" s="43"/>
      <c r="U8" s="44"/>
      <c r="V8" s="44"/>
      <c r="W8" s="45"/>
      <c r="X8" s="44"/>
      <c r="Y8" s="44"/>
    </row>
    <row r="9" spans="2:30" ht="18.5" x14ac:dyDescent="0.35">
      <c r="B9" s="54">
        <f>Данные!V4</f>
        <v>456149.43</v>
      </c>
      <c r="C9" s="54"/>
      <c r="D9" s="54"/>
      <c r="F9" s="54">
        <f>Данные!W4</f>
        <v>434</v>
      </c>
      <c r="G9" s="54"/>
      <c r="H9" s="44"/>
      <c r="I9" s="46"/>
      <c r="J9" s="54">
        <f>Данные!X4</f>
        <v>1051.04</v>
      </c>
      <c r="K9" s="54"/>
      <c r="L9" s="44"/>
      <c r="M9" s="46"/>
      <c r="N9" s="54">
        <f>Данные!Y4</f>
        <v>255547.83</v>
      </c>
      <c r="O9" s="54"/>
      <c r="P9" s="54"/>
      <c r="Q9" s="40"/>
      <c r="R9" s="40"/>
      <c r="S9" s="53">
        <f>Данные!Z4</f>
        <v>0.56020000000000003</v>
      </c>
      <c r="T9" s="53"/>
      <c r="U9" s="53"/>
      <c r="V9" s="46"/>
      <c r="W9" s="125" t="str">
        <f>TEXT(Данные!AB4,"# ##0")&amp;" / "&amp;Данные!AA4&amp;" ед."</f>
        <v>22 416 / 13 ед.</v>
      </c>
      <c r="X9" s="125"/>
      <c r="Y9" s="44"/>
    </row>
    <row r="10" spans="2:30" x14ac:dyDescent="0.35">
      <c r="B10" s="39" t="str">
        <f>IF(C10&gt;0,"k","l")</f>
        <v>l</v>
      </c>
      <c r="C10" s="55">
        <f>Данные!V4/Данные!V5-1</f>
        <v>-0.10845687030854534</v>
      </c>
      <c r="D10" s="56">
        <f>Данные!V4-Данные!V5</f>
        <v>-55490.910000000033</v>
      </c>
      <c r="F10" s="39" t="str">
        <f>IF(G10&gt;0,"k","l")</f>
        <v>l</v>
      </c>
      <c r="G10" s="55">
        <f>Данные!W4/Данные!W5-1</f>
        <v>-7.0663811563169143E-2</v>
      </c>
      <c r="H10" s="56">
        <f>Данные!W4-Данные!W5</f>
        <v>-33</v>
      </c>
      <c r="I10" s="47"/>
      <c r="J10" s="49" t="str">
        <f>IF(K10&gt;0,"k","l")</f>
        <v>l</v>
      </c>
      <c r="K10" s="55">
        <f>Данные!X4/Данные!X5-1</f>
        <v>-4.0663021750837358E-2</v>
      </c>
      <c r="L10" s="56">
        <f>Данные!X4-Данные!X5</f>
        <v>-44.549999999999955</v>
      </c>
      <c r="N10" s="49" t="str">
        <f>IF(O10&gt;0,"k","l")</f>
        <v>l</v>
      </c>
      <c r="O10" s="55">
        <f>Данные!Y4/Данные!Y5-1</f>
        <v>-9.2691823548346153E-2</v>
      </c>
      <c r="P10" s="109">
        <f>Данные!Y4-Данные!Y5</f>
        <v>-26107.110000000015</v>
      </c>
      <c r="Q10" s="109"/>
      <c r="S10" s="49" t="str">
        <f>IF(T10&gt;0,"k","l")</f>
        <v>k</v>
      </c>
      <c r="T10" s="106">
        <f>Данные!Z4-Данные!Z5</f>
        <v>9.7000000000000419E-3</v>
      </c>
      <c r="U10" s="106"/>
      <c r="V10" s="48"/>
      <c r="W10" s="39" t="str">
        <f>IF(X10&gt;0,"k","l")</f>
        <v>k</v>
      </c>
      <c r="X10" s="55">
        <f>Данные!AB4/Данные!AB5-1</f>
        <v>4.3332238876992628</v>
      </c>
      <c r="Y10" s="56">
        <f>Данные!AB4-Данные!AB5</f>
        <v>18212.54</v>
      </c>
    </row>
    <row r="11" spans="2:30" x14ac:dyDescent="0.35">
      <c r="C11" s="41"/>
      <c r="G11" s="44"/>
      <c r="H11" s="44"/>
      <c r="I11" s="44"/>
      <c r="K11" s="44"/>
      <c r="L11" s="44"/>
      <c r="M11" s="44"/>
      <c r="O11" s="44"/>
      <c r="P11" s="44"/>
      <c r="Q11" s="44"/>
      <c r="R11" s="44"/>
      <c r="S11" s="44"/>
      <c r="T11" s="44"/>
      <c r="U11" s="44"/>
      <c r="V11" s="44"/>
    </row>
    <row r="13" spans="2:30" ht="16" x14ac:dyDescent="0.35">
      <c r="B13" s="60" t="s">
        <v>4</v>
      </c>
      <c r="L13" s="60" t="s">
        <v>90</v>
      </c>
      <c r="S13"/>
      <c r="U13" s="60" t="s">
        <v>103</v>
      </c>
      <c r="X13"/>
      <c r="Y13"/>
    </row>
    <row r="14" spans="2:30" x14ac:dyDescent="0.35">
      <c r="B14" s="62" t="s">
        <v>91</v>
      </c>
      <c r="C14" s="63" t="s">
        <v>92</v>
      </c>
      <c r="D14" s="63" t="s">
        <v>93</v>
      </c>
      <c r="E14" s="63" t="s">
        <v>81</v>
      </c>
      <c r="F14" s="63"/>
      <c r="G14" s="63"/>
      <c r="H14" s="64" t="s">
        <v>61</v>
      </c>
      <c r="I14" s="65" t="s">
        <v>94</v>
      </c>
      <c r="J14" s="65" t="s">
        <v>95</v>
      </c>
      <c r="L14" s="62" t="s">
        <v>0</v>
      </c>
      <c r="M14" s="62"/>
      <c r="N14" s="62"/>
      <c r="O14" s="64" t="s">
        <v>96</v>
      </c>
      <c r="P14" s="67"/>
      <c r="Q14" s="67" t="s">
        <v>97</v>
      </c>
      <c r="R14" s="67" t="s">
        <v>98</v>
      </c>
      <c r="S14"/>
      <c r="U14" s="62" t="s">
        <v>93</v>
      </c>
      <c r="V14" s="62"/>
      <c r="W14" s="64" t="s">
        <v>64</v>
      </c>
      <c r="X14" s="64" t="s">
        <v>65</v>
      </c>
      <c r="Y14" s="64" t="s">
        <v>99</v>
      </c>
    </row>
    <row r="15" spans="2:30" x14ac:dyDescent="0.35">
      <c r="B15" s="68">
        <f>Данные!K4</f>
        <v>952</v>
      </c>
      <c r="C15" s="69" t="str">
        <f>Данные!L4</f>
        <v>Annual Subscription</v>
      </c>
      <c r="D15" s="69" t="str">
        <f>Данные!M4</f>
        <v>Subscription</v>
      </c>
      <c r="E15" s="69" t="str">
        <f>Данные!N4</f>
        <v>Subscription</v>
      </c>
      <c r="G15" s="69"/>
      <c r="H15" s="70">
        <f>Данные!O4</f>
        <v>19950</v>
      </c>
      <c r="I15" s="71">
        <f>Данные!P4</f>
        <v>5</v>
      </c>
      <c r="J15" s="71">
        <f>Данные!Q4</f>
        <v>1</v>
      </c>
      <c r="L15" s="69" t="s">
        <v>61</v>
      </c>
      <c r="M15" s="69"/>
      <c r="N15" s="88" cm="1">
        <f t="array" ref="N15">public_mart_mtd_pulse[mtd_revenue]</f>
        <v>6781347.1900000004</v>
      </c>
      <c r="O15" s="88"/>
      <c r="P15" s="93" t="str">
        <f>IF(Q15&lt;0,Данные!$O$30,Данные!$O$29)</f>
        <v>∨</v>
      </c>
      <c r="Q15" s="77" cm="1">
        <f t="array" ref="Q15">public_mart_mtd_pulse[mtd_revenue]/public_mart_mtd_pulse[prev_mtd_revenue]-1</f>
        <v>-8.445253042985712E-4</v>
      </c>
      <c r="R15" s="111" cm="1">
        <f t="array" ref="R15">public_mart_mtd_pulse[mtd_revenue]-public_mart_mtd_pulse[prev_mtd_revenue]</f>
        <v>-5731.859999999404</v>
      </c>
      <c r="S15"/>
      <c r="U15" s="69" t="str">
        <f>Данные!G29</f>
        <v>Audiobook</v>
      </c>
      <c r="V15" s="114">
        <f>Данные!H29</f>
        <v>3385419.52</v>
      </c>
      <c r="W15" s="114"/>
      <c r="X15" s="79">
        <f>Данные!I29</f>
        <v>7128427.3799999999</v>
      </c>
      <c r="Y15" s="80">
        <f>V15/X15</f>
        <v>0.47491814667262555</v>
      </c>
    </row>
    <row r="16" spans="2:30" x14ac:dyDescent="0.35">
      <c r="B16" s="72">
        <f>Данные!K5</f>
        <v>789</v>
      </c>
      <c r="C16" s="73" t="str">
        <f>Данные!L5</f>
        <v>Падаль конструкция (History)</v>
      </c>
      <c r="D16" s="73" t="str">
        <f>Данные!M5</f>
        <v>Hardcover</v>
      </c>
      <c r="E16" s="73" t="str">
        <f>Данные!N5</f>
        <v>History</v>
      </c>
      <c r="F16" s="73"/>
      <c r="G16" s="73"/>
      <c r="H16" s="74">
        <f>Данные!O5</f>
        <v>9796</v>
      </c>
      <c r="I16" s="75">
        <f>Данные!P5</f>
        <v>4</v>
      </c>
      <c r="J16" s="75">
        <f>Данные!Q5</f>
        <v>2</v>
      </c>
      <c r="L16" s="73" t="s">
        <v>62</v>
      </c>
      <c r="M16" s="73"/>
      <c r="N16" s="89" cm="1">
        <f t="array" ref="N16">public_mart_mtd_pulse[mtd_orders]</f>
        <v>4234</v>
      </c>
      <c r="O16" s="89"/>
      <c r="P16" s="94" t="str">
        <f>IF(Q16&lt;0,Данные!$O$30,Данные!$O$29)</f>
        <v>∧</v>
      </c>
      <c r="Q16" s="78" cm="1">
        <f t="array" ref="Q16">public_mart_mtd_pulse[mtd_orders]/public_mart_mtd_pulse[prev_mtd_orders]-1</f>
        <v>2.6175472612699924E-2</v>
      </c>
      <c r="R16" s="112" cm="1">
        <f t="array" ref="R16">public_mart_mtd_pulse[mtd_orders]-public_mart_mtd_pulse[prev_mtd_orders]</f>
        <v>108</v>
      </c>
      <c r="S16"/>
      <c r="U16" s="73" t="str">
        <f>Данные!G30</f>
        <v>eBook</v>
      </c>
      <c r="V16" s="115">
        <f>Данные!H30</f>
        <v>327</v>
      </c>
      <c r="W16" s="115"/>
      <c r="X16" s="81">
        <f>Данные!I30</f>
        <v>3658.98</v>
      </c>
      <c r="Y16" s="82">
        <f>V16/X16</f>
        <v>8.9369168456783041E-2</v>
      </c>
    </row>
    <row r="17" spans="2:27" x14ac:dyDescent="0.35">
      <c r="B17" s="68">
        <f>Данные!K6</f>
        <v>888</v>
      </c>
      <c r="C17" s="69" t="str">
        <f>Данные!L6</f>
        <v>Пастух ночь тысяча (Science)</v>
      </c>
      <c r="D17" s="69" t="str">
        <f>Данные!M6</f>
        <v>Audiobook</v>
      </c>
      <c r="E17" s="69" t="str">
        <f>Данные!N6</f>
        <v>Science</v>
      </c>
      <c r="F17" s="73"/>
      <c r="G17" s="69"/>
      <c r="H17" s="70">
        <f>Данные!O6</f>
        <v>8838.08</v>
      </c>
      <c r="I17" s="71">
        <f>Данные!P6</f>
        <v>12</v>
      </c>
      <c r="J17" s="71">
        <f>Данные!Q6</f>
        <v>3</v>
      </c>
      <c r="L17" s="69" t="s">
        <v>87</v>
      </c>
      <c r="M17" s="69"/>
      <c r="N17" s="89" cm="1">
        <f t="array" ref="N17">public_mart_mtd_pulse[mtd_avg_order_value]</f>
        <v>1601.64</v>
      </c>
      <c r="O17" s="89"/>
      <c r="P17" s="93" t="str">
        <f>IF(Q17&lt;0,Данные!$O$30,Данные!$O$29)</f>
        <v>∨</v>
      </c>
      <c r="Q17" s="77" cm="1">
        <f t="array" ref="Q17">public_mart_mtd_pulse[mtd_avg_order_value]/public_mart_mtd_pulse[prev_mtd_avg_order_value]-1</f>
        <v>-2.632906775281918E-2</v>
      </c>
      <c r="R17" s="111" cm="1">
        <f t="array" ref="R17">public_mart_mtd_pulse[mtd_avg_order_value]-public_mart_mtd_pulse[prev_mtd_avg_order_value]</f>
        <v>-43.309999999999945</v>
      </c>
      <c r="S17"/>
      <c r="U17" s="73" t="str">
        <f>Данные!G31</f>
        <v>Hardcover</v>
      </c>
      <c r="V17" s="115">
        <f>Данные!H31</f>
        <v>2673599.34</v>
      </c>
      <c r="W17" s="115"/>
      <c r="X17" s="81">
        <f>Данные!I31</f>
        <v>6395943.5499999998</v>
      </c>
      <c r="Y17" s="82">
        <f>V17/X17</f>
        <v>0.41801484317352988</v>
      </c>
    </row>
    <row r="18" spans="2:27" x14ac:dyDescent="0.35">
      <c r="B18" s="72">
        <f>Данные!K7</f>
        <v>749</v>
      </c>
      <c r="C18" s="73" t="str">
        <f>Данные!L7</f>
        <v>Нож скользить (Science)</v>
      </c>
      <c r="D18" s="73" t="str">
        <f>Данные!M7</f>
        <v>Hardcover</v>
      </c>
      <c r="E18" s="73" t="str">
        <f>Данные!N7</f>
        <v>Science</v>
      </c>
      <c r="F18" s="73"/>
      <c r="G18" s="73"/>
      <c r="H18" s="74">
        <f>Данные!O7</f>
        <v>8365</v>
      </c>
      <c r="I18" s="75">
        <f>Данные!P7</f>
        <v>5</v>
      </c>
      <c r="J18" s="75">
        <f>Данные!Q7</f>
        <v>4</v>
      </c>
      <c r="L18" s="73" t="s">
        <v>109</v>
      </c>
      <c r="M18" s="73"/>
      <c r="N18" s="89" cm="1">
        <f t="array" ref="N18">public_mart_mtd_pulse[mtd_net_qty]</f>
        <v>9446</v>
      </c>
      <c r="O18" s="89"/>
      <c r="P18" s="94" t="str">
        <f>IF(Q18&lt;0,Данные!$O$30,Данные!$O$29)</f>
        <v>∧</v>
      </c>
      <c r="Q18" s="78" cm="1">
        <f t="array" ref="Q18">public_mart_mtd_pulse[mtd_net_qty]/public_mart_mtd_pulse[prev_mtd_net_qty]-1</f>
        <v>2.2073144341051787E-2</v>
      </c>
      <c r="R18" s="112" cm="1">
        <f t="array" ref="R18">public_mart_mtd_pulse[mtd_net_qty]-public_mart_mtd_pulse[prev_mtd_net_qty]</f>
        <v>204</v>
      </c>
      <c r="S18"/>
      <c r="U18" s="76" t="str">
        <f>Данные!G32</f>
        <v>Paperback</v>
      </c>
      <c r="V18" s="116">
        <f>Данные!H32</f>
        <v>238812.33</v>
      </c>
      <c r="W18" s="116"/>
      <c r="X18" s="83">
        <f>Данные!I32</f>
        <v>590435.9</v>
      </c>
      <c r="Y18" s="84">
        <f>V18/X18</f>
        <v>0.40446783469636582</v>
      </c>
    </row>
    <row r="19" spans="2:27" x14ac:dyDescent="0.35">
      <c r="B19" s="100">
        <f>Данные!K8</f>
        <v>755</v>
      </c>
      <c r="C19" s="95" t="str">
        <f>Данные!L8</f>
        <v>Роскошный добиться (Mystery)</v>
      </c>
      <c r="D19" s="95" t="str">
        <f>Данные!M8</f>
        <v>Hardcover</v>
      </c>
      <c r="E19" s="95" t="str">
        <f>Данные!N8</f>
        <v>Mystery</v>
      </c>
      <c r="F19" s="95"/>
      <c r="G19" s="95"/>
      <c r="H19" s="98">
        <f>Данные!O8</f>
        <v>7413</v>
      </c>
      <c r="I19" s="101">
        <f>Данные!P8</f>
        <v>6</v>
      </c>
      <c r="J19" s="101">
        <f>Данные!Q8</f>
        <v>5</v>
      </c>
      <c r="L19" s="73" t="s">
        <v>58</v>
      </c>
      <c r="M19" s="73"/>
      <c r="N19" s="89" cm="1">
        <f t="array" ref="N19">public_mart_mtd_pulse[mtd_gross_profit]</f>
        <v>3808747.64</v>
      </c>
      <c r="O19" s="89"/>
      <c r="P19" s="94" t="str">
        <f>IF(Q19&lt;0,Данные!$O$30,Данные!$O$29)</f>
        <v>∧</v>
      </c>
      <c r="Q19" s="78" cm="1">
        <f t="array" ref="Q19">public_mart_mtd_pulse[mtd_gross_profit]/public_mart_mtd_pulse[prev_mtd_gross_profit]-1</f>
        <v>2.9812135675981732E-3</v>
      </c>
      <c r="R19" s="112" cm="1">
        <f t="array" ref="R19">public_mart_mtd_pulse[mtd_gross_profit]-public_mart_mtd_pulse[prev_mtd_gross_profit]</f>
        <v>11320.939999999944</v>
      </c>
      <c r="S19"/>
      <c r="V19" s="91"/>
    </row>
    <row r="20" spans="2:27" x14ac:dyDescent="0.35">
      <c r="L20" s="95" t="s">
        <v>88</v>
      </c>
      <c r="M20" s="95"/>
      <c r="N20" s="90" cm="1">
        <f t="array" ref="N20">public_mart_mtd_pulse[mtd_gross_margin]</f>
        <v>0.56169999999999998</v>
      </c>
      <c r="O20" s="90"/>
      <c r="P20" s="96" t="str">
        <f>IF(Q20&lt;0,Данные!$O$30,Данные!$O$29)</f>
        <v>∧</v>
      </c>
      <c r="Q20" s="97" cm="1">
        <f t="array" ref="Q20">public_mart_mtd_pulse[mtd_gross_margin]-public_mart_mtd_pulse[prev_mtd_gross_margin]</f>
        <v>2.1999999999999797E-3</v>
      </c>
      <c r="R20" s="113"/>
      <c r="S20"/>
      <c r="V20" s="91"/>
      <c r="X20" s="69"/>
      <c r="Y20" s="69"/>
      <c r="Z20" s="69"/>
      <c r="AA20" s="69"/>
    </row>
    <row r="21" spans="2:27" ht="16.5" x14ac:dyDescent="0.35">
      <c r="B21" s="60" t="s">
        <v>2</v>
      </c>
      <c r="S21"/>
      <c r="U21" s="60" t="s">
        <v>102</v>
      </c>
      <c r="Y21"/>
      <c r="AA21" s="51" t="s">
        <v>151</v>
      </c>
    </row>
    <row r="22" spans="2:27" x14ac:dyDescent="0.35">
      <c r="U22" s="62" t="s">
        <v>81</v>
      </c>
      <c r="V22" s="62"/>
      <c r="W22" s="64" t="s">
        <v>64</v>
      </c>
      <c r="X22" s="64" t="s">
        <v>65</v>
      </c>
      <c r="Y22" s="64" t="s">
        <v>99</v>
      </c>
      <c r="AA22" s="31">
        <f>Данные!AB4/Данные!V4</f>
        <v>4.9140782659752531E-2</v>
      </c>
    </row>
    <row r="23" spans="2:27" ht="16" x14ac:dyDescent="0.35">
      <c r="L23" s="60" t="s">
        <v>110</v>
      </c>
      <c r="U23" s="69" t="str">
        <f>Данные!G15</f>
        <v>Biography</v>
      </c>
      <c r="V23" s="114">
        <f>Данные!H15</f>
        <v>570899.41</v>
      </c>
      <c r="W23" s="114"/>
      <c r="X23" s="70">
        <f>Данные!I15</f>
        <v>1180062.5</v>
      </c>
      <c r="Y23" s="85">
        <f>V23/X23</f>
        <v>0.48378743498755367</v>
      </c>
    </row>
    <row r="24" spans="2:27" ht="17.5" x14ac:dyDescent="0.35">
      <c r="S24" s="117"/>
      <c r="U24" s="73" t="str">
        <f>Данные!G16</f>
        <v>Business</v>
      </c>
      <c r="V24" s="115">
        <f>Данные!H16</f>
        <v>387079.23</v>
      </c>
      <c r="W24" s="115"/>
      <c r="X24" s="74">
        <f>Данные!I16</f>
        <v>857437.08</v>
      </c>
      <c r="Y24" s="86">
        <f>V24/X24</f>
        <v>0.45143747457247824</v>
      </c>
    </row>
    <row r="25" spans="2:27" ht="17.5" x14ac:dyDescent="0.35">
      <c r="G25"/>
      <c r="L25" s="118" t="s">
        <v>64</v>
      </c>
      <c r="M25" s="123">
        <f>GETPIVOTDATA("[Measures].[Сумма по столбцу fact_amount]",Данные!$G$5)</f>
        <v>6298158.1900000004</v>
      </c>
      <c r="N25" s="123"/>
      <c r="Q25" s="61">
        <f>Данные!G9</f>
        <v>0.44609366731185929</v>
      </c>
      <c r="R25" s="61"/>
      <c r="U25" s="69" t="str">
        <f>Данные!G17</f>
        <v>Children</v>
      </c>
      <c r="V25" s="115">
        <f>Данные!H17</f>
        <v>835334.01</v>
      </c>
      <c r="W25" s="115"/>
      <c r="X25" s="70">
        <f>Данные!I17</f>
        <v>1863203.44</v>
      </c>
      <c r="Y25" s="85">
        <f>V25/X25</f>
        <v>0.4483321531437276</v>
      </c>
    </row>
    <row r="26" spans="2:27" x14ac:dyDescent="0.35">
      <c r="G26"/>
      <c r="L26" s="118" t="s">
        <v>65</v>
      </c>
      <c r="M26" s="122">
        <f>GETPIVOTDATA("[Measures].[Сумма по столбцу plan_amount]",Данные!$G$5)</f>
        <v>14118465.810000001</v>
      </c>
      <c r="N26" s="122"/>
      <c r="Q26" s="28"/>
      <c r="U26" s="73" t="str">
        <f>Данные!G18</f>
        <v>Fantasy</v>
      </c>
      <c r="V26" s="115">
        <f>Данные!H18</f>
        <v>740545.76</v>
      </c>
      <c r="W26" s="115"/>
      <c r="X26" s="74">
        <f>Данные!I18</f>
        <v>1708479.68</v>
      </c>
      <c r="Y26" s="86">
        <f>V26/X26</f>
        <v>0.43345306863702354</v>
      </c>
    </row>
    <row r="27" spans="2:27" x14ac:dyDescent="0.35">
      <c r="C27"/>
      <c r="G27"/>
      <c r="L27" s="119" t="s">
        <v>100</v>
      </c>
      <c r="M27" s="122">
        <f>M26-M25</f>
        <v>7820307.6200000001</v>
      </c>
      <c r="N27" s="122"/>
      <c r="U27" s="69" t="str">
        <f>Данные!G19</f>
        <v>Fiction</v>
      </c>
      <c r="V27" s="115">
        <f>Данные!H19</f>
        <v>589200.25</v>
      </c>
      <c r="W27" s="115"/>
      <c r="X27" s="70">
        <f>Данные!I19</f>
        <v>1335500.68</v>
      </c>
      <c r="Y27" s="85">
        <f>V27/X27</f>
        <v>0.44118304005655767</v>
      </c>
    </row>
    <row r="28" spans="2:27" x14ac:dyDescent="0.35">
      <c r="C28"/>
      <c r="F28"/>
      <c r="G28"/>
      <c r="J28" s="6"/>
      <c r="K28" s="6"/>
      <c r="U28" s="73" t="str">
        <f>Данные!G20</f>
        <v>History</v>
      </c>
      <c r="V28" s="115">
        <f>Данные!H20</f>
        <v>479000.99</v>
      </c>
      <c r="W28" s="115"/>
      <c r="X28" s="74">
        <f>Данные!I20</f>
        <v>1072567.98</v>
      </c>
      <c r="Y28" s="86">
        <f>V28/X28</f>
        <v>0.44659266259281766</v>
      </c>
    </row>
    <row r="29" spans="2:27" x14ac:dyDescent="0.35">
      <c r="F29"/>
      <c r="G29"/>
      <c r="U29" s="69" t="str">
        <f>Данные!G21</f>
        <v>Mystery</v>
      </c>
      <c r="V29" s="115">
        <f>Данные!H21</f>
        <v>597056.37</v>
      </c>
      <c r="W29" s="115"/>
      <c r="X29" s="70">
        <f>Данные!I21</f>
        <v>1385769.67</v>
      </c>
      <c r="Y29" s="85">
        <f>V29/X29</f>
        <v>0.43084820149080044</v>
      </c>
    </row>
    <row r="30" spans="2:27" x14ac:dyDescent="0.35">
      <c r="F30"/>
      <c r="G30"/>
      <c r="L30" s="118" t="s">
        <v>1</v>
      </c>
      <c r="M30" s="69"/>
      <c r="N30" s="69"/>
      <c r="O30" s="69"/>
      <c r="P30" s="123">
        <f>M25/Данные!E5*Данные!E6</f>
        <v>13496053.264285715</v>
      </c>
      <c r="Q30" s="123"/>
      <c r="R30" s="120">
        <f>P30/M26</f>
        <v>0.9559150013825557</v>
      </c>
      <c r="U30" s="73" t="str">
        <f>Данные!G22</f>
        <v>Poetry</v>
      </c>
      <c r="V30" s="115">
        <f>Данные!H22</f>
        <v>667693.18000000005</v>
      </c>
      <c r="W30" s="115"/>
      <c r="X30" s="74">
        <f>Данные!I22</f>
        <v>1571101.24</v>
      </c>
      <c r="Y30" s="86">
        <f>V30/X30</f>
        <v>0.42498418497842955</v>
      </c>
    </row>
    <row r="31" spans="2:27" x14ac:dyDescent="0.35">
      <c r="L31" s="119" t="s">
        <v>101</v>
      </c>
      <c r="M31" s="69"/>
      <c r="N31" s="69"/>
      <c r="O31" s="69"/>
      <c r="P31" s="122">
        <f>M26-P30</f>
        <v>622412.54571428522</v>
      </c>
      <c r="Q31" s="122"/>
      <c r="R31" s="121"/>
      <c r="U31" s="73" t="str">
        <f>Данные!G23</f>
        <v>Romance</v>
      </c>
      <c r="V31" s="115">
        <f>Данные!H23</f>
        <v>728848.48</v>
      </c>
      <c r="W31" s="115"/>
      <c r="X31" s="74">
        <f>Данные!I23</f>
        <v>1714514.23</v>
      </c>
      <c r="Y31" s="86">
        <f>V31/X31</f>
        <v>0.42510494648971214</v>
      </c>
    </row>
    <row r="32" spans="2:27" x14ac:dyDescent="0.35">
      <c r="H32"/>
      <c r="I32"/>
      <c r="U32" s="95" t="str">
        <f>Данные!G24</f>
        <v>Science</v>
      </c>
      <c r="V32" s="116">
        <f>Данные!H24</f>
        <v>702500.51</v>
      </c>
      <c r="W32" s="116"/>
      <c r="X32" s="98">
        <f>Данные!I24</f>
        <v>1429829.31</v>
      </c>
      <c r="Y32" s="99">
        <f>V32/X32</f>
        <v>0.49131774337455703</v>
      </c>
    </row>
    <row r="34" spans="2:30" x14ac:dyDescent="0.35">
      <c r="L34" s="57" t="s">
        <v>106</v>
      </c>
      <c r="U34" s="27"/>
      <c r="V34" s="27"/>
    </row>
    <row r="36" spans="2:30" x14ac:dyDescent="0.35">
      <c r="F36"/>
      <c r="L36" s="1"/>
      <c r="M36" s="1"/>
    </row>
    <row r="37" spans="2:30" ht="16" x14ac:dyDescent="0.35">
      <c r="B37" s="60" t="s">
        <v>108</v>
      </c>
      <c r="E37"/>
    </row>
    <row r="38" spans="2:30" x14ac:dyDescent="0.35">
      <c r="B38" s="66" t="s">
        <v>29</v>
      </c>
      <c r="C38" s="66" t="s">
        <v>30</v>
      </c>
      <c r="D38" s="66" t="s">
        <v>31</v>
      </c>
      <c r="E38" s="66" t="s">
        <v>32</v>
      </c>
      <c r="F38" s="66" t="s">
        <v>47</v>
      </c>
      <c r="G38" s="66" t="s">
        <v>48</v>
      </c>
      <c r="H38" s="66" t="s">
        <v>49</v>
      </c>
      <c r="I38" s="66" t="s">
        <v>50</v>
      </c>
      <c r="J38" s="66" t="s">
        <v>51</v>
      </c>
      <c r="K38" s="66" t="s">
        <v>52</v>
      </c>
      <c r="L38" s="66" t="s">
        <v>53</v>
      </c>
      <c r="M38" s="66" t="s">
        <v>54</v>
      </c>
      <c r="N38" s="66" t="s">
        <v>55</v>
      </c>
      <c r="O38" s="66" t="s">
        <v>56</v>
      </c>
    </row>
    <row r="39" spans="2:30" x14ac:dyDescent="0.35">
      <c r="B39" s="68"/>
      <c r="C39" s="68"/>
      <c r="D39" s="68"/>
      <c r="E39" s="68"/>
      <c r="F39" s="68"/>
      <c r="G39" s="68"/>
      <c r="H39" s="68"/>
      <c r="I39" s="68"/>
      <c r="J39" s="124"/>
      <c r="K39" s="68"/>
      <c r="L39" s="68"/>
      <c r="M39" s="68"/>
      <c r="N39" s="68"/>
      <c r="O39" s="68"/>
      <c r="U39"/>
      <c r="V39"/>
    </row>
    <row r="40" spans="2:30" x14ac:dyDescent="0.35">
      <c r="X40"/>
      <c r="Y40"/>
      <c r="Z40"/>
      <c r="AB40" s="2"/>
      <c r="AC40" s="2"/>
      <c r="AD40" s="2"/>
    </row>
    <row r="41" spans="2:30" x14ac:dyDescent="0.35">
      <c r="X41"/>
      <c r="Y41"/>
      <c r="Z41"/>
      <c r="AB41" s="2"/>
      <c r="AC41" s="2"/>
      <c r="AD41" s="2"/>
    </row>
  </sheetData>
  <mergeCells count="34">
    <mergeCell ref="V32:W32"/>
    <mergeCell ref="P31:Q31"/>
    <mergeCell ref="M27:N27"/>
    <mergeCell ref="V23:W23"/>
    <mergeCell ref="V24:W24"/>
    <mergeCell ref="V25:W25"/>
    <mergeCell ref="V26:W26"/>
    <mergeCell ref="V27:W27"/>
    <mergeCell ref="V28:W28"/>
    <mergeCell ref="V29:W29"/>
    <mergeCell ref="V30:W30"/>
    <mergeCell ref="V31:W31"/>
    <mergeCell ref="P30:Q30"/>
    <mergeCell ref="M25:N25"/>
    <mergeCell ref="M26:N26"/>
    <mergeCell ref="Q25:R25"/>
    <mergeCell ref="N16:O16"/>
    <mergeCell ref="N17:O17"/>
    <mergeCell ref="N18:O18"/>
    <mergeCell ref="N19:O19"/>
    <mergeCell ref="N20:O20"/>
    <mergeCell ref="P10:Q10"/>
    <mergeCell ref="P8:Q8"/>
    <mergeCell ref="V15:W15"/>
    <mergeCell ref="V16:W16"/>
    <mergeCell ref="V17:W17"/>
    <mergeCell ref="V18:W18"/>
    <mergeCell ref="N15:O15"/>
    <mergeCell ref="T10:U10"/>
    <mergeCell ref="B9:D9"/>
    <mergeCell ref="N9:P9"/>
    <mergeCell ref="S9:U9"/>
    <mergeCell ref="F9:G9"/>
    <mergeCell ref="J9:K9"/>
  </mergeCells>
  <conditionalFormatting sqref="H15:H19">
    <cfRule type="dataBar" priority="38">
      <dataBar>
        <cfvo type="min"/>
        <cfvo type="max"/>
        <color rgb="FFBBDBBE"/>
      </dataBar>
      <extLst>
        <ext xmlns:x14="http://schemas.microsoft.com/office/spreadsheetml/2009/9/main" uri="{B025F937-C7B1-47D3-B67F-A62EFF666E3E}">
          <x14:id>{20C22862-9214-41CB-9C1F-9FE0042424C4}</x14:id>
        </ext>
      </extLst>
    </cfRule>
  </conditionalFormatting>
  <conditionalFormatting sqref="Y15:Y18">
    <cfRule type="dataBar" priority="27">
      <dataBar>
        <cfvo type="min"/>
        <cfvo type="num" val="1"/>
        <color rgb="FFE3DDEF"/>
      </dataBar>
      <extLst>
        <ext xmlns:x14="http://schemas.microsoft.com/office/spreadsheetml/2009/9/main" uri="{B025F937-C7B1-47D3-B67F-A62EFF666E3E}">
          <x14:id>{D9FF87F7-62BC-494F-8CC3-481AECBCDA2F}</x14:id>
        </ext>
      </extLst>
    </cfRule>
  </conditionalFormatting>
  <conditionalFormatting sqref="Y23:Y32">
    <cfRule type="dataBar" priority="28">
      <dataBar>
        <cfvo type="min"/>
        <cfvo type="num" val="1"/>
        <color rgb="FFE3DDEF"/>
      </dataBar>
      <extLst>
        <ext xmlns:x14="http://schemas.microsoft.com/office/spreadsheetml/2009/9/main" uri="{B025F937-C7B1-47D3-B67F-A62EFF666E3E}">
          <x14:id>{8072EC1E-0B07-4DAF-8051-1967CED319E4}</x14:id>
        </ext>
      </extLst>
    </cfRule>
  </conditionalFormatting>
  <conditionalFormatting sqref="B10:C10">
    <cfRule type="expression" dxfId="19" priority="13">
      <formula>$C$10&gt;0</formula>
    </cfRule>
    <cfRule type="expression" dxfId="18" priority="18">
      <formula>$C$10&lt;0</formula>
    </cfRule>
  </conditionalFormatting>
  <conditionalFormatting sqref="I10:K10">
    <cfRule type="expression" dxfId="17" priority="45">
      <formula>$K$10&gt;0</formula>
    </cfRule>
    <cfRule type="expression" dxfId="16" priority="46">
      <formula>$K$10&lt;0</formula>
    </cfRule>
  </conditionalFormatting>
  <conditionalFormatting sqref="F10:G10">
    <cfRule type="expression" dxfId="15" priority="47">
      <formula>$G$10&gt;0</formula>
    </cfRule>
    <cfRule type="expression" dxfId="14" priority="48">
      <formula>$G$10&lt;0</formula>
    </cfRule>
  </conditionalFormatting>
  <conditionalFormatting sqref="N10:O10">
    <cfRule type="expression" dxfId="13" priority="49">
      <formula>$O$10&gt;0</formula>
    </cfRule>
    <cfRule type="expression" dxfId="12" priority="50">
      <formula>$O$10&lt;0</formula>
    </cfRule>
  </conditionalFormatting>
  <conditionalFormatting sqref="S10:T10">
    <cfRule type="expression" dxfId="11" priority="51">
      <formula>$T$10&gt;0</formula>
    </cfRule>
    <cfRule type="expression" dxfId="10" priority="52">
      <formula>$T$10&lt;0</formula>
    </cfRule>
  </conditionalFormatting>
  <conditionalFormatting sqref="W10:X10">
    <cfRule type="expression" dxfId="9" priority="53">
      <formula>$X$10&lt;=0</formula>
    </cfRule>
    <cfRule type="expression" dxfId="8" priority="54">
      <formula>$X$10&gt;=0</formula>
    </cfRule>
  </conditionalFormatting>
  <conditionalFormatting sqref="M27:N27">
    <cfRule type="cellIs" dxfId="5" priority="3" operator="lessThanOrEqual">
      <formula>0</formula>
    </cfRule>
    <cfRule type="cellIs" dxfId="4" priority="4" operator="greaterThan">
      <formula>0</formula>
    </cfRule>
  </conditionalFormatting>
  <conditionalFormatting sqref="P31:Q31">
    <cfRule type="cellIs" dxfId="3" priority="1" operator="lessThanOrEqual">
      <formula>0</formula>
    </cfRule>
    <cfRule type="cellIs" dxfId="2" priority="2" operator="greaterThan">
      <formula>0</formula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C22862-9214-41CB-9C1F-9FE0042424C4}">
            <x14:dataBar minLength="0" maxLength="100" border="1" gradient="0" direction="rightToLeft">
              <x14:cfvo type="autoMin"/>
              <x14:cfvo type="autoMax"/>
              <x14:borderColor theme="0" tint="-0.499984740745262"/>
              <x14:negativeFillColor rgb="FFFF0000"/>
              <x14:axisColor rgb="FF000000"/>
            </x14:dataBar>
          </x14:cfRule>
          <xm:sqref>H15:H19</xm:sqref>
        </x14:conditionalFormatting>
        <x14:conditionalFormatting xmlns:xm="http://schemas.microsoft.com/office/excel/2006/main">
          <x14:cfRule type="dataBar" id="{D9FF87F7-62BC-494F-8CC3-481AECBCDA2F}">
            <x14:dataBar minLength="0" maxLength="100" border="1" gradient="0" direction="rightToLeft">
              <x14:cfvo type="autoMin"/>
              <x14:cfvo type="num">
                <xm:f>1</xm:f>
              </x14:cfvo>
              <x14:borderColor theme="0" tint="-0.499984740745262"/>
              <x14:negativeFillColor rgb="FFFF0000"/>
              <x14:axisColor rgb="FF000000"/>
            </x14:dataBar>
          </x14:cfRule>
          <xm:sqref>Y15:Y18</xm:sqref>
        </x14:conditionalFormatting>
        <x14:conditionalFormatting xmlns:xm="http://schemas.microsoft.com/office/excel/2006/main">
          <x14:cfRule type="dataBar" id="{8072EC1E-0B07-4DAF-8051-1967CED319E4}">
            <x14:dataBar minLength="0" maxLength="100" border="1" gradient="0" direction="rightToLeft">
              <x14:cfvo type="autoMin"/>
              <x14:cfvo type="num">
                <xm:f>1</xm:f>
              </x14:cfvo>
              <x14:borderColor theme="0" tint="-0.499984740745262"/>
              <x14:negativeFillColor rgb="FFFF0000"/>
              <x14:axisColor rgb="FF000000"/>
            </x14:dataBar>
          </x14:cfRule>
          <xm:sqref>Y23:Y32</xm:sqref>
        </x14:conditionalFormatting>
        <x14:conditionalFormatting xmlns:xm="http://schemas.microsoft.com/office/excel/2006/main">
          <x14:cfRule type="cellIs" priority="5" operator="equal" id="{31C647B8-8317-4476-97F4-D92E146EEE81}">
            <xm:f>Данные!$O$30</xm:f>
            <x14:dxf>
              <font>
                <color rgb="FFC00000"/>
              </font>
            </x14:dxf>
          </x14:cfRule>
          <x14:cfRule type="cellIs" priority="6" operator="equal" id="{79A9B03B-93F2-41E7-8C1D-F1C2CD34A40E}">
            <xm:f>Данные!$O$29</xm:f>
            <x14:dxf>
              <font>
                <color rgb="FF007635"/>
              </font>
            </x14:dxf>
          </x14:cfRule>
          <xm:sqref>P15:P20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35664-4A2A-4F6C-928C-ED51BC161E06}">
  <dimension ref="B2:AM44"/>
  <sheetViews>
    <sheetView showGridLines="0" tabSelected="1" topLeftCell="Q1" workbookViewId="0">
      <selection activeCell="Z37" sqref="Z37"/>
    </sheetView>
  </sheetViews>
  <sheetFormatPr defaultRowHeight="14.5" x14ac:dyDescent="0.35"/>
  <cols>
    <col min="1" max="1" width="3.6328125" style="10" customWidth="1"/>
    <col min="2" max="2" width="13.08984375" style="10" customWidth="1"/>
    <col min="3" max="3" width="3.6328125" style="10" customWidth="1"/>
    <col min="4" max="4" width="11.36328125" style="10" customWidth="1"/>
    <col min="5" max="5" width="9.7265625" style="10" customWidth="1"/>
    <col min="6" max="6" width="3.6328125" style="10" customWidth="1"/>
    <col min="7" max="7" width="10.90625" style="10" customWidth="1"/>
    <col min="8" max="8" width="11.36328125" style="10" customWidth="1"/>
    <col min="9" max="9" width="10.7265625" style="10" customWidth="1"/>
    <col min="10" max="10" width="3.6328125" style="10" customWidth="1"/>
    <col min="11" max="11" width="11" style="10" customWidth="1"/>
    <col min="12" max="12" width="11.36328125" style="10" customWidth="1"/>
    <col min="13" max="13" width="10.90625" style="10" customWidth="1"/>
    <col min="14" max="14" width="7.81640625" style="10" customWidth="1"/>
    <col min="15" max="15" width="14.90625" style="10" customWidth="1"/>
    <col min="16" max="16" width="8.453125" style="10" customWidth="1"/>
    <col min="17" max="17" width="5.08984375" style="10" customWidth="1"/>
    <col min="18" max="18" width="3.6328125" style="10" customWidth="1"/>
    <col min="19" max="19" width="11.6328125" style="10" customWidth="1"/>
    <col min="20" max="20" width="11.7265625" style="10" customWidth="1"/>
    <col min="21" max="21" width="12.90625" style="10" customWidth="1"/>
    <col min="22" max="22" width="13.1796875" style="10" customWidth="1"/>
    <col min="23" max="23" width="11.7265625" style="10" customWidth="1"/>
    <col min="24" max="24" width="16.90625" style="10" customWidth="1"/>
    <col min="25" max="25" width="17" style="10" customWidth="1"/>
    <col min="26" max="26" width="19" style="10" customWidth="1"/>
    <col min="27" max="27" width="17.7265625" style="10" customWidth="1"/>
    <col min="28" max="28" width="16.08984375" style="10" customWidth="1"/>
    <col min="29" max="29" width="17.54296875" style="10" customWidth="1"/>
    <col min="30" max="30" width="20.08984375" style="10" customWidth="1"/>
    <col min="31" max="31" width="21.54296875" style="10" customWidth="1"/>
    <col min="32" max="32" width="23.6328125" style="10" customWidth="1"/>
    <col min="33" max="33" width="20.90625" style="10" customWidth="1"/>
    <col min="34" max="34" width="18.36328125" style="10" customWidth="1"/>
    <col min="35" max="35" width="16.26953125" style="10" customWidth="1"/>
    <col min="36" max="36" width="17.453125" style="10" customWidth="1"/>
    <col min="37" max="37" width="21.08984375" style="10" customWidth="1"/>
    <col min="38" max="38" width="22.7265625" style="10" customWidth="1"/>
    <col min="39" max="39" width="24.36328125" style="10" customWidth="1"/>
    <col min="40" max="40" width="11.90625" style="10" customWidth="1"/>
    <col min="41" max="41" width="13.453125" style="10" customWidth="1"/>
    <col min="42" max="42" width="10.08984375" style="10" customWidth="1"/>
    <col min="43" max="43" width="9.453125" style="10" customWidth="1"/>
    <col min="44" max="44" width="9.90625" style="10" customWidth="1"/>
    <col min="45" max="45" width="11.1796875" style="10" customWidth="1"/>
    <col min="46" max="46" width="9.81640625" style="10" customWidth="1"/>
    <col min="47" max="47" width="8.1796875" style="10" customWidth="1"/>
    <col min="48" max="16384" width="8.7265625" style="10"/>
  </cols>
  <sheetData>
    <row r="2" spans="2:39" x14ac:dyDescent="0.35">
      <c r="B2" s="9" t="s">
        <v>70</v>
      </c>
      <c r="D2" s="9" t="s">
        <v>69</v>
      </c>
      <c r="E2" s="23">
        <f>T4</f>
        <v>46126</v>
      </c>
      <c r="G2" s="9" t="s">
        <v>71</v>
      </c>
      <c r="K2" s="9" t="s">
        <v>4</v>
      </c>
      <c r="S2" s="9" t="s">
        <v>85</v>
      </c>
    </row>
    <row r="3" spans="2:39" x14ac:dyDescent="0.35">
      <c r="B3" s="19" cm="1">
        <f t="array" ref="B3:B32">DATE(E3,E4,1)+_xlfn.SEQUENCE(DAY(EOMONTH(DATE(E3,E4,1),0)),,0)</f>
        <v>46113</v>
      </c>
      <c r="D3" s="12" t="s">
        <v>67</v>
      </c>
      <c r="E3" s="18">
        <f>YEAR(E2)</f>
        <v>2026</v>
      </c>
      <c r="K3" s="15" t="s">
        <v>29</v>
      </c>
      <c r="L3" s="15" t="s">
        <v>30</v>
      </c>
      <c r="M3" s="15" t="s">
        <v>31</v>
      </c>
      <c r="N3" s="15" t="s">
        <v>32</v>
      </c>
      <c r="O3" s="11" t="s">
        <v>33</v>
      </c>
      <c r="P3" s="11" t="s">
        <v>34</v>
      </c>
      <c r="Q3" s="11" t="s">
        <v>35</v>
      </c>
      <c r="S3" s="15" t="s">
        <v>5</v>
      </c>
      <c r="T3" s="15" t="s">
        <v>6</v>
      </c>
      <c r="U3" s="15" t="s">
        <v>7</v>
      </c>
      <c r="V3" s="15" t="s">
        <v>8</v>
      </c>
      <c r="W3" s="15" t="s">
        <v>9</v>
      </c>
      <c r="X3" s="15" t="s">
        <v>10</v>
      </c>
      <c r="Y3" s="15" t="s">
        <v>11</v>
      </c>
      <c r="Z3" s="15" t="s">
        <v>12</v>
      </c>
      <c r="AA3" s="22" t="s">
        <v>111</v>
      </c>
      <c r="AB3" s="22" t="s">
        <v>112</v>
      </c>
      <c r="AC3" s="22" t="s">
        <v>113</v>
      </c>
      <c r="AD3" s="22" t="s">
        <v>114</v>
      </c>
      <c r="AE3" s="22" t="s">
        <v>115</v>
      </c>
      <c r="AF3" s="22" t="s">
        <v>116</v>
      </c>
      <c r="AG3" s="22" t="s">
        <v>117</v>
      </c>
    </row>
    <row r="4" spans="2:39" x14ac:dyDescent="0.35">
      <c r="B4" s="20">
        <v>46114</v>
      </c>
      <c r="D4" s="10" t="s">
        <v>60</v>
      </c>
      <c r="E4" s="3">
        <f>MONTH(E2)</f>
        <v>4</v>
      </c>
      <c r="G4" s="9" t="s">
        <v>72</v>
      </c>
      <c r="K4" s="10">
        <v>952</v>
      </c>
      <c r="L4" s="10" t="s">
        <v>36</v>
      </c>
      <c r="M4" s="10" t="s">
        <v>37</v>
      </c>
      <c r="N4" s="10" t="s">
        <v>37</v>
      </c>
      <c r="O4" s="25">
        <v>19950</v>
      </c>
      <c r="P4" s="3">
        <v>5</v>
      </c>
      <c r="Q4" s="3">
        <v>1</v>
      </c>
      <c r="S4" s="10" t="s">
        <v>13</v>
      </c>
      <c r="T4" s="17">
        <v>46126</v>
      </c>
      <c r="U4" s="17">
        <v>46125</v>
      </c>
      <c r="V4" s="10">
        <v>456149.43</v>
      </c>
      <c r="W4" s="10">
        <v>434</v>
      </c>
      <c r="X4" s="10">
        <v>1051.04</v>
      </c>
      <c r="Y4" s="10">
        <v>255547.83</v>
      </c>
      <c r="Z4" s="10">
        <v>0.56020000000000003</v>
      </c>
      <c r="AA4">
        <v>13</v>
      </c>
      <c r="AB4">
        <v>22415.54</v>
      </c>
      <c r="AC4">
        <v>4.7</v>
      </c>
      <c r="AD4">
        <v>59</v>
      </c>
      <c r="AE4">
        <v>61295.78</v>
      </c>
      <c r="AF4">
        <v>13.6</v>
      </c>
      <c r="AG4">
        <v>0</v>
      </c>
    </row>
    <row r="5" spans="2:39" x14ac:dyDescent="0.35">
      <c r="B5" s="20">
        <v>46115</v>
      </c>
      <c r="D5" s="10" t="s">
        <v>59</v>
      </c>
      <c r="E5" s="3">
        <f>DAY(E2)</f>
        <v>14</v>
      </c>
      <c r="G5" s="15" t="s">
        <v>64</v>
      </c>
      <c r="H5" s="15" t="s">
        <v>65</v>
      </c>
      <c r="K5" s="10">
        <v>789</v>
      </c>
      <c r="L5" s="10" t="s">
        <v>38</v>
      </c>
      <c r="M5" s="10" t="s">
        <v>39</v>
      </c>
      <c r="N5" s="10" t="s">
        <v>40</v>
      </c>
      <c r="O5" s="25">
        <v>9796</v>
      </c>
      <c r="P5" s="3">
        <v>4</v>
      </c>
      <c r="Q5" s="3">
        <v>2</v>
      </c>
      <c r="S5" s="10" t="s">
        <v>14</v>
      </c>
      <c r="T5" s="17">
        <v>46125</v>
      </c>
      <c r="U5" s="17">
        <v>46124</v>
      </c>
      <c r="V5" s="10">
        <v>511640.34</v>
      </c>
      <c r="W5" s="10">
        <v>467</v>
      </c>
      <c r="X5" s="10">
        <v>1095.5899999999999</v>
      </c>
      <c r="Y5" s="10">
        <v>281654.94</v>
      </c>
      <c r="Z5" s="10">
        <v>0.55049999999999999</v>
      </c>
      <c r="AA5">
        <v>3</v>
      </c>
      <c r="AB5">
        <v>4203</v>
      </c>
      <c r="AC5">
        <v>0.8</v>
      </c>
      <c r="AD5">
        <v>59</v>
      </c>
      <c r="AE5">
        <v>90005.34</v>
      </c>
      <c r="AF5">
        <v>12.6</v>
      </c>
      <c r="AG5">
        <v>0</v>
      </c>
    </row>
    <row r="6" spans="2:39" x14ac:dyDescent="0.35">
      <c r="B6" s="20">
        <v>46116</v>
      </c>
      <c r="D6" s="13" t="s">
        <v>68</v>
      </c>
      <c r="E6" s="14">
        <f>COUNT(B3:B33)</f>
        <v>30</v>
      </c>
      <c r="G6" s="16">
        <v>6298158.1900000004</v>
      </c>
      <c r="H6" s="16">
        <v>14118465.810000001</v>
      </c>
      <c r="K6" s="10">
        <v>888</v>
      </c>
      <c r="L6" s="10" t="s">
        <v>41</v>
      </c>
      <c r="M6" s="10" t="s">
        <v>42</v>
      </c>
      <c r="N6" s="10" t="s">
        <v>43</v>
      </c>
      <c r="O6" s="25">
        <v>8838.08</v>
      </c>
      <c r="P6" s="3">
        <v>12</v>
      </c>
      <c r="Q6" s="3">
        <v>3</v>
      </c>
    </row>
    <row r="7" spans="2:39" x14ac:dyDescent="0.35">
      <c r="B7" s="20">
        <v>46117</v>
      </c>
      <c r="J7" s="9"/>
      <c r="K7" s="10">
        <v>749</v>
      </c>
      <c r="L7" s="10" t="s">
        <v>44</v>
      </c>
      <c r="M7" s="10" t="s">
        <v>39</v>
      </c>
      <c r="N7" s="10" t="s">
        <v>43</v>
      </c>
      <c r="O7" s="25">
        <v>8365</v>
      </c>
      <c r="P7" s="3">
        <v>5</v>
      </c>
      <c r="Q7" s="3">
        <v>4</v>
      </c>
      <c r="S7" s="9" t="s">
        <v>86</v>
      </c>
    </row>
    <row r="8" spans="2:39" x14ac:dyDescent="0.35">
      <c r="B8" s="20">
        <v>46118</v>
      </c>
      <c r="D8" s="9" t="s">
        <v>60</v>
      </c>
      <c r="E8" s="9" t="str">
        <f>VLOOKUP(E4,D9:E20,2,0)</f>
        <v>Apr'</v>
      </c>
      <c r="G8" s="24" t="s">
        <v>99</v>
      </c>
      <c r="H8"/>
      <c r="K8" s="10">
        <v>755</v>
      </c>
      <c r="L8" s="10" t="s">
        <v>45</v>
      </c>
      <c r="M8" s="10" t="s">
        <v>39</v>
      </c>
      <c r="N8" s="10" t="s">
        <v>46</v>
      </c>
      <c r="O8" s="25">
        <v>7413</v>
      </c>
      <c r="P8" s="3">
        <v>6</v>
      </c>
      <c r="Q8" s="3">
        <v>5</v>
      </c>
      <c r="S8" s="15" t="s">
        <v>15</v>
      </c>
      <c r="T8" s="15" t="s">
        <v>16</v>
      </c>
      <c r="U8" s="15" t="s">
        <v>17</v>
      </c>
      <c r="V8" s="15" t="s">
        <v>18</v>
      </c>
      <c r="W8" s="15" t="s">
        <v>19</v>
      </c>
      <c r="X8" s="15" t="s">
        <v>20</v>
      </c>
      <c r="Y8" s="15" t="s">
        <v>21</v>
      </c>
      <c r="Z8" s="15" t="s">
        <v>22</v>
      </c>
      <c r="AA8" s="15" t="s">
        <v>23</v>
      </c>
      <c r="AB8" s="15" t="s">
        <v>24</v>
      </c>
      <c r="AC8" s="15" t="s">
        <v>25</v>
      </c>
      <c r="AD8" s="15" t="s">
        <v>26</v>
      </c>
      <c r="AE8" s="15" t="s">
        <v>27</v>
      </c>
      <c r="AF8" s="15" t="s">
        <v>28</v>
      </c>
    </row>
    <row r="9" spans="2:39" x14ac:dyDescent="0.35">
      <c r="B9" s="20">
        <v>46119</v>
      </c>
      <c r="D9" s="12">
        <v>1</v>
      </c>
      <c r="E9" s="12" t="s">
        <v>137</v>
      </c>
      <c r="G9" s="34">
        <f>GETPIVOTDATA("[Measures].[Сумма по столбцу fact_amount]",$G$5)/GETPIVOTDATA("[Measures].[Сумма по столбцу plan_amount]",$G$5)</f>
        <v>0.44609366731185929</v>
      </c>
      <c r="H9" s="35" t="s">
        <v>107</v>
      </c>
      <c r="S9" s="17">
        <v>46113</v>
      </c>
      <c r="T9" s="17">
        <v>46126</v>
      </c>
      <c r="U9" s="10">
        <v>6781347.1900000004</v>
      </c>
      <c r="V9" s="10">
        <v>4234</v>
      </c>
      <c r="W9" s="10">
        <v>9446</v>
      </c>
      <c r="X9" s="10">
        <v>3808747.64</v>
      </c>
      <c r="Y9" s="10">
        <v>0.56169999999999998</v>
      </c>
      <c r="Z9" s="10">
        <v>1601.64</v>
      </c>
      <c r="AA9" s="10">
        <v>6787079.0499999998</v>
      </c>
      <c r="AB9" s="10">
        <v>4126</v>
      </c>
      <c r="AC9" s="10">
        <v>9242</v>
      </c>
      <c r="AD9" s="10">
        <v>3797426.7</v>
      </c>
      <c r="AE9" s="10">
        <v>0.5595</v>
      </c>
      <c r="AF9" s="10">
        <v>1644.95</v>
      </c>
    </row>
    <row r="10" spans="2:39" x14ac:dyDescent="0.35">
      <c r="B10" s="20">
        <v>46120</v>
      </c>
      <c r="D10" s="10">
        <v>2</v>
      </c>
      <c r="E10" s="10" t="s">
        <v>138</v>
      </c>
      <c r="G10" s="32">
        <f>1-G9</f>
        <v>0.55390633268814071</v>
      </c>
      <c r="H10" s="33" t="s">
        <v>100</v>
      </c>
      <c r="K10" s="9" t="s">
        <v>3</v>
      </c>
    </row>
    <row r="11" spans="2:39" x14ac:dyDescent="0.35">
      <c r="B11" s="20">
        <v>46121</v>
      </c>
      <c r="D11" s="10">
        <v>3</v>
      </c>
      <c r="E11" s="10" t="s">
        <v>139</v>
      </c>
      <c r="K11" s="15" t="s">
        <v>66</v>
      </c>
      <c r="L11" s="11" t="s">
        <v>104</v>
      </c>
      <c r="M11" s="11" t="s">
        <v>58</v>
      </c>
      <c r="N11" s="11" t="s">
        <v>62</v>
      </c>
      <c r="O11" s="11" t="s">
        <v>105</v>
      </c>
      <c r="S11" s="38" t="s">
        <v>125</v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</row>
    <row r="12" spans="2:39" x14ac:dyDescent="0.35">
      <c r="B12" s="20">
        <v>46122</v>
      </c>
      <c r="D12" s="10">
        <v>4</v>
      </c>
      <c r="E12" s="10" t="s">
        <v>140</v>
      </c>
      <c r="K12" s="17">
        <v>46113</v>
      </c>
      <c r="L12" s="25">
        <v>477417.99</v>
      </c>
      <c r="M12" s="25">
        <v>274303.94</v>
      </c>
      <c r="N12" s="25">
        <v>306</v>
      </c>
      <c r="O12" s="25">
        <v>470615.53</v>
      </c>
      <c r="S12" s="22" t="s">
        <v>5</v>
      </c>
      <c r="T12" s="22" t="s">
        <v>6</v>
      </c>
      <c r="U12" s="22" t="s">
        <v>118</v>
      </c>
      <c r="V12" s="22" t="s">
        <v>119</v>
      </c>
      <c r="W12" s="22" t="s">
        <v>34</v>
      </c>
      <c r="X12" s="22" t="s">
        <v>120</v>
      </c>
      <c r="Y12" s="22" t="s">
        <v>121</v>
      </c>
      <c r="Z12" s="22" t="s">
        <v>12</v>
      </c>
      <c r="AA12" s="22" t="s">
        <v>114</v>
      </c>
      <c r="AB12" s="22" t="s">
        <v>115</v>
      </c>
      <c r="AC12" s="22" t="s">
        <v>116</v>
      </c>
      <c r="AD12"/>
      <c r="AE12"/>
      <c r="AF12"/>
      <c r="AG12"/>
      <c r="AH12"/>
      <c r="AI12"/>
      <c r="AJ12"/>
      <c r="AK12"/>
      <c r="AL12"/>
      <c r="AM12"/>
    </row>
    <row r="13" spans="2:39" x14ac:dyDescent="0.35">
      <c r="B13" s="20">
        <v>46123</v>
      </c>
      <c r="D13" s="10">
        <v>5</v>
      </c>
      <c r="E13" s="10" t="s">
        <v>141</v>
      </c>
      <c r="G13" s="9" t="s">
        <v>73</v>
      </c>
      <c r="K13" s="17">
        <v>46114</v>
      </c>
      <c r="L13" s="25">
        <v>457417.23</v>
      </c>
      <c r="M13" s="25">
        <v>267560.88</v>
      </c>
      <c r="N13" s="25">
        <v>276</v>
      </c>
      <c r="O13" s="25">
        <v>470615.53</v>
      </c>
      <c r="S13" s="36" t="s">
        <v>14</v>
      </c>
      <c r="T13" s="37">
        <v>46125</v>
      </c>
      <c r="U13" s="36" t="s">
        <v>122</v>
      </c>
      <c r="V13">
        <v>47</v>
      </c>
      <c r="W13">
        <v>79</v>
      </c>
      <c r="X13">
        <v>50227.73</v>
      </c>
      <c r="Y13">
        <v>28293.93</v>
      </c>
      <c r="Z13">
        <v>0.56330000000000002</v>
      </c>
      <c r="AA13">
        <v>5</v>
      </c>
      <c r="AB13">
        <v>4906.7299999999996</v>
      </c>
      <c r="AC13">
        <v>10.6</v>
      </c>
      <c r="AD13"/>
      <c r="AE13"/>
      <c r="AF13"/>
      <c r="AG13"/>
      <c r="AH13"/>
      <c r="AI13"/>
      <c r="AJ13"/>
      <c r="AK13"/>
      <c r="AL13"/>
      <c r="AM13"/>
    </row>
    <row r="14" spans="2:39" x14ac:dyDescent="0.35">
      <c r="B14" s="20">
        <v>46124</v>
      </c>
      <c r="D14" s="10">
        <v>6</v>
      </c>
      <c r="E14" s="10" t="s">
        <v>142</v>
      </c>
      <c r="G14" s="22" t="s">
        <v>81</v>
      </c>
      <c r="H14" s="29" t="s">
        <v>64</v>
      </c>
      <c r="I14" s="29" t="s">
        <v>65</v>
      </c>
      <c r="K14" s="17">
        <v>46115</v>
      </c>
      <c r="L14" s="25">
        <v>540786.09</v>
      </c>
      <c r="M14" s="25">
        <v>313030.34000000003</v>
      </c>
      <c r="N14" s="25">
        <v>332</v>
      </c>
      <c r="O14" s="25">
        <v>470615.53</v>
      </c>
      <c r="S14" s="36" t="s">
        <v>14</v>
      </c>
      <c r="T14" s="37">
        <v>46125</v>
      </c>
      <c r="U14" s="36" t="s">
        <v>123</v>
      </c>
      <c r="V14">
        <v>141</v>
      </c>
      <c r="W14">
        <v>254</v>
      </c>
      <c r="X14">
        <v>181660.08</v>
      </c>
      <c r="Y14">
        <v>99002.38</v>
      </c>
      <c r="Z14">
        <v>0.54500000000000004</v>
      </c>
      <c r="AA14">
        <v>22</v>
      </c>
      <c r="AB14">
        <v>24852.080000000002</v>
      </c>
      <c r="AC14">
        <v>15.6</v>
      </c>
    </row>
    <row r="15" spans="2:39" x14ac:dyDescent="0.35">
      <c r="B15" s="20">
        <v>46125</v>
      </c>
      <c r="D15" s="10">
        <v>7</v>
      </c>
      <c r="E15" s="10" t="s">
        <v>143</v>
      </c>
      <c r="G15" s="7" t="s">
        <v>74</v>
      </c>
      <c r="H15" s="30">
        <v>570899.41</v>
      </c>
      <c r="I15" s="30">
        <v>1180062.5</v>
      </c>
      <c r="K15" s="17">
        <v>46116</v>
      </c>
      <c r="L15" s="25">
        <v>527045.55000000005</v>
      </c>
      <c r="M15" s="25">
        <v>284616.90000000002</v>
      </c>
      <c r="N15" s="25">
        <v>310</v>
      </c>
      <c r="O15" s="25">
        <v>470615.53</v>
      </c>
      <c r="S15" s="36" t="s">
        <v>14</v>
      </c>
      <c r="T15" s="37">
        <v>46125</v>
      </c>
      <c r="U15" s="36" t="s">
        <v>124</v>
      </c>
      <c r="V15">
        <v>200</v>
      </c>
      <c r="W15">
        <v>373</v>
      </c>
      <c r="X15">
        <v>279752.53000000003</v>
      </c>
      <c r="Y15">
        <v>154358.63</v>
      </c>
      <c r="Z15">
        <v>0.55179999999999996</v>
      </c>
      <c r="AA15">
        <v>32</v>
      </c>
      <c r="AB15">
        <v>60246.53</v>
      </c>
      <c r="AC15">
        <v>16</v>
      </c>
    </row>
    <row r="16" spans="2:39" x14ac:dyDescent="0.35">
      <c r="B16" s="20">
        <v>46126</v>
      </c>
      <c r="D16" s="10">
        <v>8</v>
      </c>
      <c r="E16" s="10" t="s">
        <v>144</v>
      </c>
      <c r="G16" s="7" t="s">
        <v>75</v>
      </c>
      <c r="H16" s="30">
        <v>387079.23</v>
      </c>
      <c r="I16" s="30">
        <v>857437.08</v>
      </c>
      <c r="K16" s="17">
        <v>46117</v>
      </c>
      <c r="L16" s="25">
        <v>473509.46</v>
      </c>
      <c r="M16" s="25">
        <v>264130.76</v>
      </c>
      <c r="N16" s="25">
        <v>303</v>
      </c>
      <c r="O16" s="25">
        <v>470615.53</v>
      </c>
      <c r="S16" s="36" t="s">
        <v>13</v>
      </c>
      <c r="T16" s="37">
        <v>46126</v>
      </c>
      <c r="U16" s="36" t="s">
        <v>122</v>
      </c>
      <c r="V16">
        <v>35</v>
      </c>
      <c r="W16">
        <v>57</v>
      </c>
      <c r="X16">
        <v>29538.46</v>
      </c>
      <c r="Y16">
        <v>16759.66</v>
      </c>
      <c r="Z16">
        <v>0.56740000000000002</v>
      </c>
      <c r="AA16">
        <v>7</v>
      </c>
      <c r="AB16">
        <v>8111.46</v>
      </c>
      <c r="AC16">
        <v>20</v>
      </c>
    </row>
    <row r="17" spans="2:30" x14ac:dyDescent="0.35">
      <c r="B17" s="20">
        <v>46127</v>
      </c>
      <c r="D17" s="10">
        <v>9</v>
      </c>
      <c r="E17" s="10" t="s">
        <v>145</v>
      </c>
      <c r="G17" s="7" t="s">
        <v>76</v>
      </c>
      <c r="H17" s="30">
        <v>835334.01</v>
      </c>
      <c r="I17" s="30">
        <v>1863203.44</v>
      </c>
      <c r="K17" s="17">
        <v>46118</v>
      </c>
      <c r="L17" s="25">
        <v>480800.75</v>
      </c>
      <c r="M17" s="25">
        <v>272374.09999999998</v>
      </c>
      <c r="N17" s="25">
        <v>301</v>
      </c>
      <c r="O17" s="25">
        <v>470615.53</v>
      </c>
      <c r="S17" s="36" t="s">
        <v>13</v>
      </c>
      <c r="T17" s="37">
        <v>46126</v>
      </c>
      <c r="U17" s="36" t="s">
        <v>123</v>
      </c>
      <c r="V17">
        <v>138</v>
      </c>
      <c r="W17">
        <v>227</v>
      </c>
      <c r="X17">
        <v>179215.48</v>
      </c>
      <c r="Y17">
        <v>103344.18</v>
      </c>
      <c r="Z17">
        <v>0.5766</v>
      </c>
      <c r="AA17">
        <v>17</v>
      </c>
      <c r="AB17">
        <v>20597.48</v>
      </c>
      <c r="AC17">
        <v>12.3</v>
      </c>
    </row>
    <row r="18" spans="2:30" x14ac:dyDescent="0.35">
      <c r="B18" s="20">
        <v>46128</v>
      </c>
      <c r="D18" s="10">
        <v>10</v>
      </c>
      <c r="E18" s="10" t="s">
        <v>146</v>
      </c>
      <c r="G18" s="7" t="s">
        <v>77</v>
      </c>
      <c r="H18" s="30">
        <v>740545.76</v>
      </c>
      <c r="I18" s="30">
        <v>1708479.68</v>
      </c>
      <c r="K18" s="17">
        <v>46119</v>
      </c>
      <c r="L18" s="25">
        <v>565194.02</v>
      </c>
      <c r="M18" s="25">
        <v>317143.12</v>
      </c>
      <c r="N18" s="25">
        <v>324</v>
      </c>
      <c r="O18" s="25">
        <v>470615.53</v>
      </c>
      <c r="S18" s="36" t="s">
        <v>13</v>
      </c>
      <c r="T18" s="37">
        <v>46126</v>
      </c>
      <c r="U18" s="36" t="s">
        <v>124</v>
      </c>
      <c r="V18">
        <v>187</v>
      </c>
      <c r="W18">
        <v>381</v>
      </c>
      <c r="X18">
        <v>247395.49</v>
      </c>
      <c r="Y18">
        <v>135443.99</v>
      </c>
      <c r="Z18">
        <v>0.54749999999999999</v>
      </c>
      <c r="AA18">
        <v>35</v>
      </c>
      <c r="AB18">
        <v>32586.84</v>
      </c>
      <c r="AC18">
        <v>18.7</v>
      </c>
    </row>
    <row r="19" spans="2:30" x14ac:dyDescent="0.35">
      <c r="B19" s="20">
        <v>46129</v>
      </c>
      <c r="D19" s="10">
        <v>11</v>
      </c>
      <c r="E19" s="10" t="s">
        <v>147</v>
      </c>
      <c r="G19" s="7" t="s">
        <v>78</v>
      </c>
      <c r="H19" s="30">
        <v>589200.25</v>
      </c>
      <c r="I19" s="30">
        <v>1335500.68</v>
      </c>
      <c r="K19" s="17">
        <v>46120</v>
      </c>
      <c r="L19" s="25">
        <v>481399.15</v>
      </c>
      <c r="M19" s="25">
        <v>269888.3</v>
      </c>
      <c r="N19" s="25">
        <v>297</v>
      </c>
      <c r="O19" s="25">
        <v>470615.53</v>
      </c>
    </row>
    <row r="20" spans="2:30" x14ac:dyDescent="0.35">
      <c r="B20" s="20">
        <v>46130</v>
      </c>
      <c r="D20" s="13">
        <v>12</v>
      </c>
      <c r="E20" s="13" t="s">
        <v>148</v>
      </c>
      <c r="G20" s="7" t="s">
        <v>40</v>
      </c>
      <c r="H20" s="30">
        <v>479000.99</v>
      </c>
      <c r="I20" s="30">
        <v>1072567.98</v>
      </c>
      <c r="K20" s="17">
        <v>46121</v>
      </c>
      <c r="L20" s="25">
        <v>452385.45</v>
      </c>
      <c r="M20" s="25">
        <v>255173.65</v>
      </c>
      <c r="N20" s="25">
        <v>322</v>
      </c>
      <c r="O20" s="25">
        <v>470615.53</v>
      </c>
      <c r="S20" s="9" t="s">
        <v>126</v>
      </c>
    </row>
    <row r="21" spans="2:30" x14ac:dyDescent="0.35">
      <c r="B21" s="20">
        <v>46131</v>
      </c>
      <c r="G21" s="7" t="s">
        <v>46</v>
      </c>
      <c r="H21" s="30">
        <v>597056.37</v>
      </c>
      <c r="I21" s="30">
        <v>1385769.67</v>
      </c>
      <c r="K21" s="17">
        <v>46122</v>
      </c>
      <c r="L21" s="25">
        <v>435220.77</v>
      </c>
      <c r="M21" s="25">
        <v>243035.12</v>
      </c>
      <c r="N21" s="25">
        <v>279</v>
      </c>
      <c r="O21" s="25">
        <v>470615.53</v>
      </c>
      <c r="S21" s="22" t="s">
        <v>5</v>
      </c>
      <c r="T21" s="22" t="s">
        <v>31</v>
      </c>
      <c r="U21" s="22" t="s">
        <v>119</v>
      </c>
      <c r="V21" s="22" t="s">
        <v>34</v>
      </c>
      <c r="W21" s="22" t="s">
        <v>120</v>
      </c>
      <c r="X21" s="22" t="s">
        <v>121</v>
      </c>
      <c r="Y21" s="22" t="s">
        <v>12</v>
      </c>
      <c r="Z21" s="22" t="s">
        <v>111</v>
      </c>
      <c r="AA21" s="22" t="s">
        <v>112</v>
      </c>
      <c r="AB21" s="22" t="s">
        <v>114</v>
      </c>
      <c r="AC21" s="22" t="s">
        <v>115</v>
      </c>
      <c r="AD21" s="22" t="s">
        <v>117</v>
      </c>
    </row>
    <row r="22" spans="2:30" x14ac:dyDescent="0.35">
      <c r="B22" s="20">
        <v>46132</v>
      </c>
      <c r="D22" s="39" t="s">
        <v>127</v>
      </c>
      <c r="G22" s="7" t="s">
        <v>79</v>
      </c>
      <c r="H22" s="30">
        <v>667693.18000000005</v>
      </c>
      <c r="I22" s="30">
        <v>1571101.24</v>
      </c>
      <c r="K22" s="17">
        <v>46123</v>
      </c>
      <c r="L22" s="25">
        <v>487648.31</v>
      </c>
      <c r="M22" s="25">
        <v>265837.71000000002</v>
      </c>
      <c r="N22" s="25">
        <v>283</v>
      </c>
      <c r="O22" s="25">
        <v>470615.53</v>
      </c>
      <c r="S22" s="36" t="s">
        <v>13</v>
      </c>
      <c r="T22" s="36" t="s">
        <v>42</v>
      </c>
      <c r="U22">
        <v>242</v>
      </c>
      <c r="V22">
        <v>518</v>
      </c>
      <c r="W22">
        <v>242151.33</v>
      </c>
      <c r="X22">
        <v>153416.53</v>
      </c>
      <c r="Y22">
        <v>0.63360000000000005</v>
      </c>
      <c r="Z22">
        <v>0</v>
      </c>
      <c r="AA22">
        <v>0</v>
      </c>
      <c r="AB22">
        <v>50</v>
      </c>
      <c r="AC22">
        <v>44542.68</v>
      </c>
      <c r="AD22">
        <v>0</v>
      </c>
    </row>
    <row r="23" spans="2:30" x14ac:dyDescent="0.35">
      <c r="B23" s="20">
        <v>46133</v>
      </c>
      <c r="D23" s="39" t="s">
        <v>128</v>
      </c>
      <c r="G23" s="7" t="s">
        <v>80</v>
      </c>
      <c r="H23" s="30">
        <v>728848.48</v>
      </c>
      <c r="I23" s="30">
        <v>1714514.23</v>
      </c>
      <c r="K23" s="17">
        <v>46124</v>
      </c>
      <c r="L23" s="25">
        <v>434732.65</v>
      </c>
      <c r="M23" s="25">
        <v>244450.05</v>
      </c>
      <c r="N23" s="25">
        <v>292</v>
      </c>
      <c r="O23" s="25">
        <v>470615.53</v>
      </c>
      <c r="S23" s="36" t="s">
        <v>13</v>
      </c>
      <c r="T23" s="36" t="s">
        <v>39</v>
      </c>
      <c r="U23">
        <v>76</v>
      </c>
      <c r="V23">
        <v>117</v>
      </c>
      <c r="W23">
        <v>177725.1</v>
      </c>
      <c r="X23">
        <v>77208.2</v>
      </c>
      <c r="Y23">
        <v>0.43440000000000001</v>
      </c>
      <c r="Z23">
        <v>13</v>
      </c>
      <c r="AA23">
        <v>22415.54</v>
      </c>
      <c r="AB23">
        <v>9</v>
      </c>
      <c r="AC23">
        <v>16753.099999999999</v>
      </c>
      <c r="AD23">
        <v>0</v>
      </c>
    </row>
    <row r="24" spans="2:30" x14ac:dyDescent="0.35">
      <c r="B24" s="20">
        <v>46134</v>
      </c>
      <c r="G24" s="7" t="s">
        <v>43</v>
      </c>
      <c r="H24" s="30">
        <v>702500.51</v>
      </c>
      <c r="I24" s="30">
        <v>1429829.31</v>
      </c>
      <c r="K24" s="17">
        <v>46125</v>
      </c>
      <c r="L24" s="25">
        <v>511640.34</v>
      </c>
      <c r="M24" s="25">
        <v>281654.94</v>
      </c>
      <c r="N24" s="25">
        <v>317</v>
      </c>
      <c r="O24" s="25">
        <v>470615.53</v>
      </c>
      <c r="S24" s="36" t="s">
        <v>13</v>
      </c>
      <c r="T24" s="36" t="s">
        <v>84</v>
      </c>
      <c r="U24">
        <v>11</v>
      </c>
      <c r="V24">
        <v>17</v>
      </c>
      <c r="W24">
        <v>13131</v>
      </c>
      <c r="X24">
        <v>5252.4</v>
      </c>
      <c r="Y24">
        <v>0.4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2:30" x14ac:dyDescent="0.35">
      <c r="B25" s="20">
        <v>46135</v>
      </c>
      <c r="G25" s="7" t="s">
        <v>63</v>
      </c>
      <c r="H25" s="30">
        <v>6298158.1900000004</v>
      </c>
      <c r="I25" s="30">
        <v>14118465.810000001</v>
      </c>
      <c r="K25" s="17">
        <v>46126</v>
      </c>
      <c r="L25" s="25">
        <v>456149.43</v>
      </c>
      <c r="M25" s="25">
        <v>255547.83</v>
      </c>
      <c r="N25" s="25">
        <v>292</v>
      </c>
      <c r="O25" s="25">
        <v>470615.53</v>
      </c>
      <c r="S25" s="36" t="s">
        <v>13</v>
      </c>
      <c r="T25" s="36" t="s">
        <v>37</v>
      </c>
      <c r="U25">
        <v>8</v>
      </c>
      <c r="V25">
        <v>13</v>
      </c>
      <c r="W25">
        <v>23142</v>
      </c>
      <c r="X25">
        <v>19670.7</v>
      </c>
      <c r="Y25">
        <v>0.85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2:30" x14ac:dyDescent="0.35">
      <c r="B26" s="20">
        <v>46136</v>
      </c>
      <c r="G26"/>
      <c r="H26" s="8"/>
      <c r="I26" s="8"/>
      <c r="S26" s="36" t="s">
        <v>14</v>
      </c>
      <c r="T26" s="36" t="s">
        <v>42</v>
      </c>
      <c r="U26">
        <v>258</v>
      </c>
      <c r="V26">
        <v>522</v>
      </c>
      <c r="W26">
        <v>248689.46</v>
      </c>
      <c r="X26">
        <v>157827.01</v>
      </c>
      <c r="Y26">
        <v>0.63460000000000005</v>
      </c>
      <c r="Z26">
        <v>0</v>
      </c>
      <c r="AA26">
        <v>0</v>
      </c>
      <c r="AB26">
        <v>41</v>
      </c>
      <c r="AC26">
        <v>40969.46</v>
      </c>
      <c r="AD26">
        <v>0</v>
      </c>
    </row>
    <row r="27" spans="2:30" x14ac:dyDescent="0.35">
      <c r="B27" s="20">
        <v>46137</v>
      </c>
      <c r="G27" s="24" t="s">
        <v>82</v>
      </c>
      <c r="H27" s="8"/>
      <c r="I27" s="8"/>
      <c r="K27"/>
      <c r="L27"/>
      <c r="M27"/>
      <c r="S27" s="36" t="s">
        <v>14</v>
      </c>
      <c r="T27" s="36" t="s">
        <v>39</v>
      </c>
      <c r="U27">
        <v>85</v>
      </c>
      <c r="V27">
        <v>134</v>
      </c>
      <c r="W27">
        <v>209502.69</v>
      </c>
      <c r="X27">
        <v>89574.64</v>
      </c>
      <c r="Y27">
        <v>0.42759999999999998</v>
      </c>
      <c r="Z27">
        <v>1</v>
      </c>
      <c r="AA27">
        <v>2366</v>
      </c>
      <c r="AB27">
        <v>14</v>
      </c>
      <c r="AC27">
        <v>34140.69</v>
      </c>
      <c r="AD27">
        <v>0</v>
      </c>
    </row>
    <row r="28" spans="2:30" x14ac:dyDescent="0.35">
      <c r="B28" s="20">
        <v>46138</v>
      </c>
      <c r="G28" s="22" t="s">
        <v>81</v>
      </c>
      <c r="H28" s="29" t="s">
        <v>64</v>
      </c>
      <c r="I28" s="29" t="s">
        <v>65</v>
      </c>
      <c r="K28"/>
      <c r="L28"/>
      <c r="M28"/>
      <c r="S28" s="36" t="s">
        <v>14</v>
      </c>
      <c r="T28" s="36" t="s">
        <v>84</v>
      </c>
      <c r="U28">
        <v>20</v>
      </c>
      <c r="V28">
        <v>30</v>
      </c>
      <c r="W28">
        <v>23922.19</v>
      </c>
      <c r="X28">
        <v>9156.19</v>
      </c>
      <c r="Y28">
        <v>0.38269999999999998</v>
      </c>
      <c r="Z28">
        <v>2</v>
      </c>
      <c r="AA28">
        <v>1837</v>
      </c>
      <c r="AB28">
        <v>3</v>
      </c>
      <c r="AC28">
        <v>2925.19</v>
      </c>
      <c r="AD28">
        <v>0</v>
      </c>
    </row>
    <row r="29" spans="2:30" x14ac:dyDescent="0.35">
      <c r="B29" s="20">
        <v>46139</v>
      </c>
      <c r="G29" s="7" t="s">
        <v>42</v>
      </c>
      <c r="H29" s="30">
        <v>3385419.52</v>
      </c>
      <c r="I29" s="30">
        <v>7128427.3799999999</v>
      </c>
      <c r="K29"/>
      <c r="L29"/>
      <c r="M29"/>
      <c r="O29" s="92" t="s">
        <v>135</v>
      </c>
      <c r="S29" s="36" t="s">
        <v>14</v>
      </c>
      <c r="T29" s="36" t="s">
        <v>37</v>
      </c>
      <c r="U29">
        <v>12</v>
      </c>
      <c r="V29">
        <v>20</v>
      </c>
      <c r="W29">
        <v>29526</v>
      </c>
      <c r="X29">
        <v>25097.1</v>
      </c>
      <c r="Y29">
        <v>0.85</v>
      </c>
      <c r="Z29">
        <v>0</v>
      </c>
      <c r="AA29">
        <v>0</v>
      </c>
      <c r="AB29">
        <v>1</v>
      </c>
      <c r="AC29">
        <v>11970</v>
      </c>
      <c r="AD29">
        <v>0</v>
      </c>
    </row>
    <row r="30" spans="2:30" x14ac:dyDescent="0.35">
      <c r="B30" s="20">
        <v>46140</v>
      </c>
      <c r="G30" s="7" t="s">
        <v>83</v>
      </c>
      <c r="H30" s="30">
        <v>327</v>
      </c>
      <c r="I30" s="30">
        <v>3658.98</v>
      </c>
      <c r="M30"/>
      <c r="O30" s="92" t="s">
        <v>136</v>
      </c>
    </row>
    <row r="31" spans="2:30" x14ac:dyDescent="0.35">
      <c r="B31" s="20">
        <v>46141</v>
      </c>
      <c r="G31" s="7" t="s">
        <v>39</v>
      </c>
      <c r="H31" s="30">
        <v>2673599.34</v>
      </c>
      <c r="I31" s="30">
        <v>6395943.5499999998</v>
      </c>
      <c r="M31"/>
    </row>
    <row r="32" spans="2:30" x14ac:dyDescent="0.35">
      <c r="B32" s="20">
        <v>46142</v>
      </c>
      <c r="G32" s="7" t="s">
        <v>84</v>
      </c>
      <c r="H32" s="30">
        <v>238812.33</v>
      </c>
      <c r="I32" s="30">
        <v>590435.9</v>
      </c>
      <c r="M32"/>
    </row>
    <row r="33" spans="2:13" x14ac:dyDescent="0.35">
      <c r="B33" s="21"/>
      <c r="G33" s="7" t="s">
        <v>63</v>
      </c>
      <c r="H33" s="30">
        <v>6298158.1900000004</v>
      </c>
      <c r="I33" s="30">
        <v>14118465.810000001</v>
      </c>
      <c r="K33"/>
      <c r="L33"/>
      <c r="M33"/>
    </row>
    <row r="34" spans="2:13" x14ac:dyDescent="0.35">
      <c r="G34"/>
      <c r="H34"/>
      <c r="I34"/>
      <c r="K34"/>
      <c r="L34"/>
      <c r="M34"/>
    </row>
    <row r="35" spans="2:13" x14ac:dyDescent="0.35">
      <c r="G35"/>
      <c r="H35"/>
      <c r="I35"/>
      <c r="K35"/>
      <c r="L35"/>
      <c r="M35"/>
    </row>
    <row r="36" spans="2:13" x14ac:dyDescent="0.35">
      <c r="G36"/>
      <c r="H36"/>
      <c r="I36"/>
      <c r="K36"/>
      <c r="L36"/>
      <c r="M36"/>
    </row>
    <row r="37" spans="2:13" x14ac:dyDescent="0.35">
      <c r="G37"/>
      <c r="H37"/>
      <c r="I37"/>
      <c r="K37"/>
      <c r="L37"/>
      <c r="M37"/>
    </row>
    <row r="38" spans="2:13" x14ac:dyDescent="0.35">
      <c r="G38"/>
      <c r="H38"/>
      <c r="I38"/>
      <c r="K38"/>
      <c r="L38"/>
      <c r="M38"/>
    </row>
    <row r="39" spans="2:13" x14ac:dyDescent="0.35">
      <c r="G39"/>
      <c r="H39"/>
      <c r="I39"/>
      <c r="K39"/>
      <c r="L39"/>
      <c r="M39"/>
    </row>
    <row r="40" spans="2:13" x14ac:dyDescent="0.35">
      <c r="G40"/>
      <c r="H40"/>
      <c r="I40"/>
      <c r="K40"/>
      <c r="L40"/>
      <c r="M40"/>
    </row>
    <row r="41" spans="2:13" x14ac:dyDescent="0.35">
      <c r="K41"/>
      <c r="L41"/>
      <c r="M41"/>
    </row>
    <row r="42" spans="2:13" x14ac:dyDescent="0.35">
      <c r="K42"/>
      <c r="L42"/>
      <c r="M42"/>
    </row>
    <row r="43" spans="2:13" x14ac:dyDescent="0.35">
      <c r="K43"/>
      <c r="L43"/>
      <c r="M43"/>
    </row>
    <row r="44" spans="2:13" x14ac:dyDescent="0.35">
      <c r="K44"/>
      <c r="L44"/>
      <c r="M44"/>
    </row>
  </sheetData>
  <phoneticPr fontId="3" type="noConversion"/>
  <conditionalFormatting sqref="B3:B33">
    <cfRule type="cellIs" dxfId="1" priority="2" operator="equal">
      <formula>$E$2</formula>
    </cfRule>
  </conditionalFormatting>
  <conditionalFormatting sqref="E9:E20">
    <cfRule type="cellIs" dxfId="0" priority="1" operator="equal">
      <formula>$E$8</formula>
    </cfRule>
  </conditionalFormatting>
  <pageMargins left="0.7" right="0.7" top="0.75" bottom="0.75" header="0.3" footer="0.3"/>
  <tableParts count="6">
    <tablePart r:id="rId4"/>
    <tablePart r:id="rId5"/>
    <tablePart r:id="rId6"/>
    <tablePart r:id="rId7"/>
    <tablePart r:id="rId8"/>
    <tablePart r:id="rId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16B3D1-BABE-465C-9E66-8C0BD3264D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Сегодня</vt:lpstr>
      <vt:lpstr>Данные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 Ts</dc:creator>
  <cp:lastModifiedBy>Shchinova</cp:lastModifiedBy>
  <dcterms:created xsi:type="dcterms:W3CDTF">2015-06-05T18:19:34Z</dcterms:created>
  <dcterms:modified xsi:type="dcterms:W3CDTF">2026-04-24T17:39:50Z</dcterms:modified>
</cp:coreProperties>
</file>