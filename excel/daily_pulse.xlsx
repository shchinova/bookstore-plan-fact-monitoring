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Lev Ts\Documents\Analytics\GitHub\bookstore-plan-fact-monitoring\excel\"/>
    </mc:Choice>
  </mc:AlternateContent>
  <xr:revisionPtr revIDLastSave="0" documentId="13_ncr:1_{5B289C4E-26D9-413A-A3A0-CA681149EF6F}" xr6:coauthVersionLast="47" xr6:coauthVersionMax="47" xr10:uidLastSave="{00000000-0000-0000-0000-000000000000}"/>
  <bookViews>
    <workbookView xWindow="-110" yWindow="-110" windowWidth="25820" windowHeight="15620" tabRatio="877" activeTab="3" xr2:uid="{00000000-000D-0000-FFFF-FFFF00000000}"/>
  </bookViews>
  <sheets>
    <sheet name="Сегодня" sheetId="1" r:id="rId1"/>
    <sheet name="public mart_daily_pulse" sheetId="2" r:id="rId2"/>
    <sheet name="public mart_plan_fact" sheetId="3" r:id="rId3"/>
    <sheet name="public mart_sales_trends" sheetId="8" r:id="rId4"/>
    <sheet name="Технический лист" sheetId="6" r:id="rId5"/>
  </sheets>
  <definedNames>
    <definedName name="ExternalData_1" localSheetId="1" hidden="1">'public mart_daily_pulse'!$A$1:$R$3</definedName>
    <definedName name="ExternalData_1" localSheetId="0" hidden="1">Сегодня!$H$40:$S$41</definedName>
    <definedName name="ExternalData_2" localSheetId="2" hidden="1">'public mart_plan_fact'!$A$1:$N$41</definedName>
    <definedName name="ExternalData_2" localSheetId="0" hidden="1">Сегодня!$B$40:$F$45</definedName>
    <definedName name="ExternalData_3" localSheetId="3" hidden="1">'public mart_sales_trends'!$A$1:$U$2174</definedName>
  </definedNames>
  <calcPr calcId="191029"/>
  <pivotCaches>
    <pivotCache cacheId="17" r:id="rId6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14" i="1" l="1"/>
  <c r="H13" i="1"/>
  <c r="F14" i="1"/>
  <c r="F13" i="1"/>
  <c r="D14" i="1"/>
  <c r="D13" i="1"/>
  <c r="B14" i="1"/>
  <c r="B13" i="1"/>
  <c r="H12" i="1"/>
  <c r="F12" i="1"/>
  <c r="D12" i="1"/>
  <c r="B12" i="1"/>
  <c r="H8" i="1"/>
  <c r="H7" i="1"/>
  <c r="H6" i="1"/>
  <c r="F8" i="1"/>
  <c r="F7" i="1"/>
  <c r="F6" i="1"/>
  <c r="D8" i="1"/>
  <c r="D7" i="1"/>
  <c r="D6" i="1"/>
  <c r="B8" i="1"/>
  <c r="B7" i="1"/>
  <c r="B6" i="1"/>
  <c r="C3" i="1"/>
  <c r="C2" i="6" s="1"/>
  <c r="C4" i="6" s="1"/>
  <c r="B21" i="1"/>
  <c r="B20" i="1"/>
  <c r="C5" i="6" l="1"/>
  <c r="C3" i="6"/>
  <c r="C8" i="6" s="1" a="1"/>
  <c r="C8" i="6" s="1"/>
  <c r="C6" i="6" s="1"/>
  <c r="E18" i="1"/>
  <c r="E19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72D7F691-6DFA-4F2C-95F3-D2BA0BC6BB3B}" keepAlive="1" name="Запрос — public mart_daily_pulse" description="Соединение с запросом &quot;public mart_daily_pulse&quot; в книге." type="5" refreshedVersion="8" background="1" saveData="1">
    <dbPr connection="Provider=Microsoft.Mashup.OleDb.1;Data Source=$Workbook$;Location=&quot;public mart_daily_pulse&quot;;Extended Properties=&quot;&quot;" command="SELECT * FROM [public mart_daily_pulse]"/>
  </connection>
  <connection id="2" xr16:uid="{19101873-4190-41C6-A42D-F10B647908C1}" keepAlive="1" name="Запрос — public mart_daily_top5" description="Соединение с запросом &quot;public mart_daily_top5&quot; в книге." type="5" refreshedVersion="0" background="1">
    <dbPr connection="Provider=Microsoft.Mashup.OleDb.1;Data Source=$Workbook$;Location=&quot;public mart_daily_top5&quot;;Extended Properties=&quot;&quot;" command="SELECT * FROM [public mart_daily_top5]"/>
  </connection>
  <connection id="3" xr16:uid="{B8D037D2-4ACB-4CB7-85F2-B5DF8CD84E2E}" keepAlive="1" name="Запрос — public mart_daily_top5 (2)" description="Соединение с запросом &quot;public mart_daily_top5 (2)&quot; в книге." type="5" refreshedVersion="8" background="1" saveData="1">
    <dbPr connection="Provider=Microsoft.Mashup.OleDb.1;Data Source=$Workbook$;Location=&quot;public mart_daily_top5 (2)&quot;;Extended Properties=&quot;&quot;" command="SELECT * FROM [public mart_daily_top5 (2)]"/>
  </connection>
  <connection id="4" xr16:uid="{15BDA5AC-4A95-421A-8F9C-9AAF3A3DDFBD}" keepAlive="1" name="Запрос — public mart_inventory_alerts" description="Соединение с запросом &quot;public mart_inventory_alerts&quot; в книге." type="5" refreshedVersion="8" background="1" saveData="1">
    <dbPr connection="Provider=Microsoft.Mashup.OleDb.1;Data Source=$Workbook$;Location=&quot;public mart_inventory_alerts&quot;;Extended Properties=&quot;&quot;" command="SELECT * FROM [public mart_inventory_alerts]"/>
  </connection>
  <connection id="5" xr16:uid="{8D30DC83-2060-42CE-BB5B-4DEC1854D62E}" keepAlive="1" name="Запрос — public mart_plan_fact" description="Соединение с запросом &quot;public mart_plan_fact&quot; в книге." type="5" refreshedVersion="8" background="1" saveData="1">
    <dbPr connection="Provider=Microsoft.Mashup.OleDb.1;Data Source=$Workbook$;Location=&quot;public mart_plan_fact&quot;;Extended Properties=&quot;&quot;" command="SELECT * FROM [public mart_plan_fact]"/>
  </connection>
  <connection id="6" xr16:uid="{75118DBF-5810-49F0-BB5F-985831435636}" keepAlive="1" name="Запрос — public mart_sales_trends" description="Соединение с запросом &quot;public mart_sales_trends&quot; в книге." type="5" refreshedVersion="8" background="1" saveData="1">
    <dbPr connection="Provider=Microsoft.Mashup.OleDb.1;Data Source=$Workbook$;Location=&quot;public mart_sales_trends&quot;;Extended Properties=&quot;&quot;" command="SELECT * FROM [public mart_sales_trends]"/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<sst xmlns="http://schemas.openxmlformats.org/spreadsheetml/2006/main" count="6728" uniqueCount="112">
  <si>
    <t>day_type</t>
  </si>
  <si>
    <t>report_date</t>
  </si>
  <si>
    <t>prev_date</t>
  </si>
  <si>
    <t>total_revenue</t>
  </si>
  <si>
    <t>total_orders</t>
  </si>
  <si>
    <t>avg_order_value</t>
  </si>
  <si>
    <t>total_gross_profit</t>
  </si>
  <si>
    <t>gross_margin</t>
  </si>
  <si>
    <t>today</t>
  </si>
  <si>
    <t>yesterday</t>
  </si>
  <si>
    <t>genre</t>
  </si>
  <si>
    <t>format</t>
  </si>
  <si>
    <t>year</t>
  </si>
  <si>
    <t>month</t>
  </si>
  <si>
    <t>plan_qty</t>
  </si>
  <si>
    <t>plan_amount</t>
  </si>
  <si>
    <t>plan_qty_to_date</t>
  </si>
  <si>
    <t>plan_amount_to_date</t>
  </si>
  <si>
    <t>plan_margin_target</t>
  </si>
  <si>
    <t>fact_qty</t>
  </si>
  <si>
    <t>fact_amount</t>
  </si>
  <si>
    <t>pct_of_plan_to_date</t>
  </si>
  <si>
    <t>delta_amount_to_date</t>
  </si>
  <si>
    <t>History</t>
  </si>
  <si>
    <t>Hardcover</t>
  </si>
  <si>
    <t>Mystery</t>
  </si>
  <si>
    <t>Paperback</t>
  </si>
  <si>
    <t>Children</t>
  </si>
  <si>
    <t>Audiobook</t>
  </si>
  <si>
    <t>Poetry</t>
  </si>
  <si>
    <t>Science</t>
  </si>
  <si>
    <t>Romance</t>
  </si>
  <si>
    <t>Business</t>
  </si>
  <si>
    <t>Biography</t>
  </si>
  <si>
    <t>Fantasy</t>
  </si>
  <si>
    <t>eBook</t>
  </si>
  <si>
    <t>Fiction</t>
  </si>
  <si>
    <t>Оперативный отчёт</t>
  </si>
  <si>
    <t>Дата:</t>
  </si>
  <si>
    <t>mtd_revenue</t>
  </si>
  <si>
    <t>mtd_orders</t>
  </si>
  <si>
    <t>mtd_net_qty</t>
  </si>
  <si>
    <t>mtd_gross_profit</t>
  </si>
  <si>
    <t>mtd_gross_margin</t>
  </si>
  <si>
    <t>prev_mtd_revenue</t>
  </si>
  <si>
    <t>prev_mtd_orders</t>
  </si>
  <si>
    <t>prev_mtd_net_qty</t>
  </si>
  <si>
    <t>prev_mtd_gross_profit</t>
  </si>
  <si>
    <t>prev_mtd_gross_margin</t>
  </si>
  <si>
    <t>Выручка (день)</t>
  </si>
  <si>
    <t>Заказы (день)</t>
  </si>
  <si>
    <t>Средний чек (день)</t>
  </si>
  <si>
    <t>Маржа (день)</t>
  </si>
  <si>
    <t>Выручка MTD</t>
  </si>
  <si>
    <t>Заказы MTD</t>
  </si>
  <si>
    <t>Валовая прибыль MTD</t>
  </si>
  <si>
    <t>Маржа MTD</t>
  </si>
  <si>
    <t>Выполнение плана на дату</t>
  </si>
  <si>
    <t>Общий итог</t>
  </si>
  <si>
    <t>Факт</t>
  </si>
  <si>
    <t>План</t>
  </si>
  <si>
    <t>Прогноз закрытия месяца</t>
  </si>
  <si>
    <t>Дата</t>
  </si>
  <si>
    <t>Дни месяца</t>
  </si>
  <si>
    <t>Год</t>
  </si>
  <si>
    <t>Месяц</t>
  </si>
  <si>
    <t>День</t>
  </si>
  <si>
    <t>Дней в месяце</t>
  </si>
  <si>
    <t>Разбивка по жанрам — план/факт</t>
  </si>
  <si>
    <t>Жанр</t>
  </si>
  <si>
    <t>Разбивка по форматам — план/факт</t>
  </si>
  <si>
    <t>Формат</t>
  </si>
  <si>
    <t>Топ-5 товаров дня</t>
  </si>
  <si>
    <t>product_id</t>
  </si>
  <si>
    <t>title</t>
  </si>
  <si>
    <t>revenue</t>
  </si>
  <si>
    <t>rnk</t>
  </si>
  <si>
    <t>Annual Subscription</t>
  </si>
  <si>
    <t>Subscription</t>
  </si>
  <si>
    <t>Падаль конструкция (History)</t>
  </si>
  <si>
    <t>Пастух ночь тысяча (Science)</t>
  </si>
  <si>
    <t>Нож скользить (Science)</t>
  </si>
  <si>
    <t>Роскошный добиться (Mystery)</t>
  </si>
  <si>
    <t>publisher</t>
  </si>
  <si>
    <t>closing_stock</t>
  </si>
  <si>
    <t>is_low_stock</t>
  </si>
  <si>
    <t>stock_date</t>
  </si>
  <si>
    <t>avg_daily_sales_30d</t>
  </si>
  <si>
    <t>days_until_stockout</t>
  </si>
  <si>
    <t>recommended_order_qty</t>
  </si>
  <si>
    <t>alert_level</t>
  </si>
  <si>
    <t>Low-stock виджет</t>
  </si>
  <si>
    <t>quarter</t>
  </si>
  <si>
    <t>month_start</t>
  </si>
  <si>
    <t>language</t>
  </si>
  <si>
    <t>orders</t>
  </si>
  <si>
    <t>gross_qty</t>
  </si>
  <si>
    <t>return_qty</t>
  </si>
  <si>
    <t>net_qty</t>
  </si>
  <si>
    <t>gross_revenue</t>
  </si>
  <si>
    <t>return_revenue</t>
  </si>
  <si>
    <t>net_revenue</t>
  </si>
  <si>
    <t>total_cost</t>
  </si>
  <si>
    <t>gross_profit</t>
  </si>
  <si>
    <t>promo_orders</t>
  </si>
  <si>
    <t>promo_revenue</t>
  </si>
  <si>
    <t>lost_sales_qty</t>
  </si>
  <si>
    <t>English</t>
  </si>
  <si>
    <t>Other</t>
  </si>
  <si>
    <t>Russian</t>
  </si>
  <si>
    <t>N/A</t>
  </si>
  <si>
    <t>Выручка по дням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</si>
</sst>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9"/>
        <bgColor theme="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14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  <xf numFmtId="0" fontId="3" fillId="0" borderId="0" xfId="0" applyFont="1"/>
    <xf numFmtId="0" fontId="2" fillId="2" borderId="0" xfId="0" applyFont="1" applyFill="1" applyBorder="1"/>
  </cellXfs>
  <cellStyles count="1">
    <cellStyle name="Обычный" xfId="0" builtinId="0"/>
  </cellStyles>
  <dxfs count="19">
    <dxf>
      <numFmt numFmtId="0" formatCode="General"/>
    </dxf>
    <dxf>
      <numFmt numFmtId="0" formatCode="General"/>
    </dxf>
    <dxf>
      <numFmt numFmtId="0" formatCode="General"/>
    </dxf>
    <dxf>
      <numFmt numFmtId="19" formatCode="dd/mm/yyyy"/>
    </dxf>
    <dxf>
      <numFmt numFmtId="0" formatCode="General"/>
    </dxf>
    <dxf>
      <numFmt numFmtId="0" formatCode="General"/>
    </dxf>
    <dxf>
      <numFmt numFmtId="0" formatCode="General"/>
    </dxf>
    <dxf>
      <numFmt numFmtId="19" formatCode="d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strike val="0"/>
        <outline val="0"/>
        <shadow val="0"/>
        <u val="none"/>
        <vertAlign val="baseline"/>
        <sz val="11"/>
        <color theme="0"/>
        <name val="Calibri"/>
        <family val="2"/>
        <scheme val="minor"/>
      </font>
    </dxf>
    <dxf>
      <numFmt numFmtId="19" formatCode="dd/mm/yyyy"/>
    </dxf>
    <dxf>
      <numFmt numFmtId="19" formatCode="dd/mm/yyyy"/>
    </dxf>
    <dxf>
      <numFmt numFmtId="19" formatCode="dd/mm/yyyy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12066</xdr:colOff>
      <xdr:row>0</xdr:row>
      <xdr:rowOff>95250</xdr:rowOff>
    </xdr:from>
    <xdr:to>
      <xdr:col>17</xdr:col>
      <xdr:colOff>850900</xdr:colOff>
      <xdr:row>73</xdr:row>
      <xdr:rowOff>127000</xdr:rowOff>
    </xdr:to>
    <xdr:pic>
      <xdr:nvPicPr>
        <xdr:cNvPr id="4" name="Рисунок 3">
          <a:extLst>
            <a:ext uri="{FF2B5EF4-FFF2-40B4-BE49-F238E27FC236}">
              <a16:creationId xmlns:a16="http://schemas.microsoft.com/office/drawing/2014/main" id="{9BF31097-33A5-533D-F7D0-B5410A77CBF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066916" y="95250"/>
          <a:ext cx="8414384" cy="13474700"/>
        </a:xfrm>
        <a:prstGeom prst="rect">
          <a:avLst/>
        </a:prstGeom>
      </xdr:spPr>
    </xdr:pic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hchinova" refreshedDate="46132.060306828702" createdVersion="8" refreshedVersion="8" minRefreshableVersion="3" recordCount="40" xr:uid="{7A68FBC1-E501-44E9-98B1-A5D31004F6B4}">
  <cacheSource type="worksheet">
    <worksheetSource name="public_mart_plan_fact"/>
  </cacheSource>
  <cacheFields count="14">
    <cacheField name="genre" numFmtId="0">
      <sharedItems count="10">
        <s v="Biography"/>
        <s v="Business"/>
        <s v="Children"/>
        <s v="Fantasy"/>
        <s v="Fiction"/>
        <s v="History"/>
        <s v="Mystery"/>
        <s v="Poetry"/>
        <s v="Romance"/>
        <s v="Science"/>
      </sharedItems>
    </cacheField>
    <cacheField name="format" numFmtId="0">
      <sharedItems count="4">
        <s v="Audiobook"/>
        <s v="eBook"/>
        <s v="Hardcover"/>
        <s v="Paperback"/>
      </sharedItems>
    </cacheField>
    <cacheField name="year" numFmtId="0">
      <sharedItems containsSemiMixedTypes="0" containsString="0" containsNumber="1" containsInteger="1" minValue="2026" maxValue="2026"/>
    </cacheField>
    <cacheField name="month" numFmtId="0">
      <sharedItems containsSemiMixedTypes="0" containsString="0" containsNumber="1" containsInteger="1" minValue="4" maxValue="4"/>
    </cacheField>
    <cacheField name="plan_qty" numFmtId="0">
      <sharedItems containsSemiMixedTypes="0" containsString="0" containsNumber="1" containsInteger="1" minValue="0" maxValue="2034"/>
    </cacheField>
    <cacheField name="plan_amount" numFmtId="0">
      <sharedItems containsSemiMixedTypes="0" containsString="0" containsNumber="1" minValue="0" maxValue="974662.26"/>
    </cacheField>
    <cacheField name="plan_qty_to_date" numFmtId="0">
      <sharedItems containsSemiMixedTypes="0" containsString="0" containsNumber="1" containsInteger="1" minValue="0" maxValue="949"/>
    </cacheField>
    <cacheField name="plan_amount_to_date" numFmtId="0">
      <sharedItems containsSemiMixedTypes="0" containsString="0" containsNumber="1" minValue="0" maxValue="454842.39"/>
    </cacheField>
    <cacheField name="plan_margin_target" numFmtId="0">
      <sharedItems containsSemiMixedTypes="0" containsString="0" containsNumber="1" minValue="0.41160000000000002" maxValue="0.81969999999999998"/>
    </cacheField>
    <cacheField name="fact_qty" numFmtId="0">
      <sharedItems containsSemiMixedTypes="0" containsString="0" containsNumber="1" containsInteger="1" minValue="0" maxValue="1009"/>
    </cacheField>
    <cacheField name="fact_amount" numFmtId="0">
      <sharedItems containsSemiMixedTypes="0" containsString="0" containsNumber="1" minValue="0" maxValue="463908.32"/>
    </cacheField>
    <cacheField name="pct_of_plan_to_date" numFmtId="0">
      <sharedItems containsString="0" containsBlank="1" containsNumber="1" minValue="0" maxValue="136"/>
    </cacheField>
    <cacheField name="delta_amount_to_date" numFmtId="0">
      <sharedItems containsSemiMixedTypes="0" containsString="0" containsNumber="1" minValue="-92870.79" maxValue="46795.57"/>
    </cacheField>
    <cacheField name="report_date" numFmtId="14">
      <sharedItems containsSemiMixedTypes="0" containsNonDate="0" containsDate="1" containsString="0" minDate="2026-04-14T00:00:00" maxDate="2026-04-15T00:00: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0">
  <r>
    <x v="0"/>
    <x v="0"/>
    <n v="2026"/>
    <n v="4"/>
    <n v="1429"/>
    <n v="705696.22"/>
    <n v="667"/>
    <n v="329324.90000000002"/>
    <n v="0.66410000000000002"/>
    <n v="733"/>
    <n v="365867.06"/>
    <n v="111.1"/>
    <n v="36542.160000000003"/>
    <d v="2026-04-14T00:00:00"/>
  </r>
  <r>
    <x v="0"/>
    <x v="1"/>
    <n v="2026"/>
    <n v="4"/>
    <n v="0"/>
    <n v="0"/>
    <n v="0"/>
    <n v="0"/>
    <n v="0.81399999999999995"/>
    <n v="0"/>
    <n v="0"/>
    <m/>
    <n v="0"/>
    <d v="2026-04-14T00:00:00"/>
  </r>
  <r>
    <x v="0"/>
    <x v="2"/>
    <n v="2026"/>
    <n v="4"/>
    <n v="283"/>
    <n v="417749.51"/>
    <n v="132"/>
    <n v="194949.77"/>
    <n v="0.46179999999999999"/>
    <n v="117"/>
    <n v="183690.35"/>
    <n v="94.2"/>
    <n v="-11259.42"/>
    <d v="2026-04-14T00:00:00"/>
  </r>
  <r>
    <x v="0"/>
    <x v="3"/>
    <n v="2026"/>
    <n v="4"/>
    <n v="79"/>
    <n v="56616.77"/>
    <n v="37"/>
    <n v="26421.16"/>
    <n v="0.41160000000000002"/>
    <n v="28"/>
    <n v="21342"/>
    <n v="80.8"/>
    <n v="-5079.16"/>
    <d v="2026-04-14T00:00:00"/>
  </r>
  <r>
    <x v="1"/>
    <x v="0"/>
    <n v="2026"/>
    <n v="4"/>
    <n v="756"/>
    <n v="268141.14"/>
    <n v="353"/>
    <n v="125132.53"/>
    <n v="0.6643"/>
    <n v="448"/>
    <n v="156350.07999999999"/>
    <n v="124.9"/>
    <n v="31217.55"/>
    <d v="2026-04-14T00:00:00"/>
  </r>
  <r>
    <x v="1"/>
    <x v="1"/>
    <n v="2026"/>
    <n v="4"/>
    <n v="4"/>
    <n v="1444.49"/>
    <n v="2"/>
    <n v="674.1"/>
    <n v="0.81820000000000004"/>
    <n v="0"/>
    <n v="0"/>
    <n v="0"/>
    <n v="-674.1"/>
    <d v="2026-04-14T00:00:00"/>
  </r>
  <r>
    <x v="1"/>
    <x v="2"/>
    <n v="2026"/>
    <n v="4"/>
    <n v="418"/>
    <n v="539223.04000000004"/>
    <n v="195"/>
    <n v="251637.42"/>
    <n v="0.46779999999999999"/>
    <n v="180"/>
    <n v="218294.55"/>
    <n v="86.7"/>
    <n v="-33342.870000000003"/>
    <d v="2026-04-14T00:00:00"/>
  </r>
  <r>
    <x v="1"/>
    <x v="3"/>
    <n v="2026"/>
    <n v="4"/>
    <n v="72"/>
    <n v="48628.41"/>
    <n v="34"/>
    <n v="22693.26"/>
    <n v="0.41970000000000002"/>
    <n v="21"/>
    <n v="12434.6"/>
    <n v="54.8"/>
    <n v="-10258.66"/>
    <d v="2026-04-14T00:00:00"/>
  </r>
  <r>
    <x v="2"/>
    <x v="0"/>
    <n v="2026"/>
    <n v="4"/>
    <n v="1889"/>
    <n v="974662.26"/>
    <n v="882"/>
    <n v="454842.39"/>
    <n v="0.66930000000000001"/>
    <n v="832"/>
    <n v="429177.03"/>
    <n v="94.4"/>
    <n v="-25665.360000000001"/>
    <d v="2026-04-14T00:00:00"/>
  </r>
  <r>
    <x v="2"/>
    <x v="1"/>
    <n v="2026"/>
    <n v="4"/>
    <n v="0"/>
    <n v="0"/>
    <n v="0"/>
    <n v="0"/>
    <n v="0.81589999999999996"/>
    <n v="0"/>
    <n v="0"/>
    <m/>
    <n v="0"/>
    <d v="2026-04-14T00:00:00"/>
  </r>
  <r>
    <x v="2"/>
    <x v="2"/>
    <n v="2026"/>
    <n v="4"/>
    <n v="527"/>
    <n v="846815.67"/>
    <n v="246"/>
    <n v="395180.65"/>
    <n v="0.46510000000000001"/>
    <n v="237"/>
    <n v="387170.84"/>
    <n v="98"/>
    <n v="-8009.81"/>
    <d v="2026-04-14T00:00:00"/>
  </r>
  <r>
    <x v="2"/>
    <x v="3"/>
    <n v="2026"/>
    <n v="4"/>
    <n v="60"/>
    <n v="41725.51"/>
    <n v="28"/>
    <n v="19471.900000000001"/>
    <n v="0.4199"/>
    <n v="24"/>
    <n v="18986.14"/>
    <n v="97.5"/>
    <n v="-485.76"/>
    <d v="2026-04-14T00:00:00"/>
  </r>
  <r>
    <x v="3"/>
    <x v="0"/>
    <n v="2026"/>
    <n v="4"/>
    <n v="1663"/>
    <n v="840875.64"/>
    <n v="776"/>
    <n v="392408.63"/>
    <n v="0.66059999999999997"/>
    <n v="683"/>
    <n v="357768.13"/>
    <n v="91.2"/>
    <n v="-34640.5"/>
    <d v="2026-04-14T00:00:00"/>
  </r>
  <r>
    <x v="3"/>
    <x v="1"/>
    <n v="2026"/>
    <n v="4"/>
    <n v="1"/>
    <n v="515.08000000000004"/>
    <n v="0"/>
    <n v="240.37"/>
    <n v="0.81110000000000004"/>
    <n v="1"/>
    <n v="327"/>
    <n v="136"/>
    <n v="86.63"/>
    <d v="2026-04-14T00:00:00"/>
  </r>
  <r>
    <x v="3"/>
    <x v="2"/>
    <n v="2026"/>
    <n v="4"/>
    <n v="481"/>
    <n v="809555.08"/>
    <n v="224"/>
    <n v="377792.37"/>
    <n v="0.46700000000000003"/>
    <n v="212"/>
    <n v="357405.99"/>
    <n v="94.6"/>
    <n v="-20386.38"/>
    <d v="2026-04-14T00:00:00"/>
  </r>
  <r>
    <x v="3"/>
    <x v="3"/>
    <n v="2026"/>
    <n v="4"/>
    <n v="92"/>
    <n v="57533.88"/>
    <n v="43"/>
    <n v="26849.14"/>
    <n v="0.41959999999999997"/>
    <n v="42"/>
    <n v="25044.639999999999"/>
    <n v="93.3"/>
    <n v="-1804.5"/>
    <d v="2026-04-14T00:00:00"/>
  </r>
  <r>
    <x v="4"/>
    <x v="0"/>
    <n v="2026"/>
    <n v="4"/>
    <n v="1449"/>
    <n v="682710.31"/>
    <n v="676"/>
    <n v="318598.14"/>
    <n v="0.66410000000000002"/>
    <n v="747"/>
    <n v="345249.74"/>
    <n v="108.4"/>
    <n v="26651.599999999999"/>
    <d v="2026-04-14T00:00:00"/>
  </r>
  <r>
    <x v="4"/>
    <x v="1"/>
    <n v="2026"/>
    <n v="4"/>
    <n v="1"/>
    <n v="246.19"/>
    <n v="0"/>
    <n v="114.89"/>
    <n v="0.81389999999999996"/>
    <n v="0"/>
    <n v="0"/>
    <n v="0"/>
    <n v="-114.89"/>
    <d v="2026-04-14T00:00:00"/>
  </r>
  <r>
    <x v="4"/>
    <x v="2"/>
    <n v="2026"/>
    <n v="4"/>
    <n v="367"/>
    <n v="570663.13"/>
    <n v="171"/>
    <n v="266309.46000000002"/>
    <n v="0.46989999999999998"/>
    <n v="140"/>
    <n v="213089.11"/>
    <n v="80"/>
    <n v="-53220.35"/>
    <d v="2026-04-14T00:00:00"/>
  </r>
  <r>
    <x v="4"/>
    <x v="3"/>
    <n v="2026"/>
    <n v="4"/>
    <n v="91"/>
    <n v="81881.05"/>
    <n v="42"/>
    <n v="38211.160000000003"/>
    <n v="0.41210000000000002"/>
    <n v="40"/>
    <n v="30861.4"/>
    <n v="80.8"/>
    <n v="-7349.76"/>
    <d v="2026-04-14T00:00:00"/>
  </r>
  <r>
    <x v="5"/>
    <x v="0"/>
    <n v="2026"/>
    <n v="4"/>
    <n v="1389"/>
    <n v="633498.91"/>
    <n v="648"/>
    <n v="295632.82"/>
    <n v="0.66559999999999997"/>
    <n v="594"/>
    <n v="264611.28000000003"/>
    <n v="89.5"/>
    <n v="-31021.54"/>
    <d v="2026-04-14T00:00:00"/>
  </r>
  <r>
    <x v="5"/>
    <x v="1"/>
    <n v="2026"/>
    <n v="4"/>
    <n v="0"/>
    <n v="0"/>
    <n v="0"/>
    <n v="0"/>
    <n v="0.81869999999999998"/>
    <n v="0"/>
    <n v="0"/>
    <m/>
    <n v="0"/>
    <d v="2026-04-14T00:00:00"/>
  </r>
  <r>
    <x v="5"/>
    <x v="2"/>
    <n v="2026"/>
    <n v="4"/>
    <n v="319"/>
    <n v="394177.5"/>
    <n v="149"/>
    <n v="183949.5"/>
    <n v="0.46739999999999998"/>
    <n v="144"/>
    <n v="192353.59"/>
    <n v="104.6"/>
    <n v="8404.09"/>
    <d v="2026-04-14T00:00:00"/>
  </r>
  <r>
    <x v="5"/>
    <x v="3"/>
    <n v="2026"/>
    <n v="4"/>
    <n v="74"/>
    <n v="44891.57"/>
    <n v="35"/>
    <n v="20949.400000000001"/>
    <n v="0.41870000000000002"/>
    <n v="36"/>
    <n v="22036.12"/>
    <n v="105.2"/>
    <n v="1086.72"/>
    <d v="2026-04-14T00:00:00"/>
  </r>
  <r>
    <x v="6"/>
    <x v="0"/>
    <n v="2026"/>
    <n v="4"/>
    <n v="1222"/>
    <n v="631200.85"/>
    <n v="570"/>
    <n v="294560.40000000002"/>
    <n v="0.66820000000000002"/>
    <n v="521"/>
    <n v="271384.09999999998"/>
    <n v="92.1"/>
    <n v="-23176.3"/>
    <d v="2026-04-14T00:00:00"/>
  </r>
  <r>
    <x v="6"/>
    <x v="1"/>
    <n v="2026"/>
    <n v="4"/>
    <n v="0"/>
    <n v="0"/>
    <n v="0"/>
    <n v="0"/>
    <n v="0.8196"/>
    <n v="0"/>
    <n v="0"/>
    <m/>
    <n v="0"/>
    <d v="2026-04-14T00:00:00"/>
  </r>
  <r>
    <x v="6"/>
    <x v="2"/>
    <n v="2026"/>
    <n v="4"/>
    <n v="434"/>
    <n v="653914.81000000006"/>
    <n v="203"/>
    <n v="305160.24"/>
    <n v="0.46050000000000002"/>
    <n v="207"/>
    <n v="294163.08"/>
    <n v="96.4"/>
    <n v="-10997.16"/>
    <d v="2026-04-14T00:00:00"/>
  </r>
  <r>
    <x v="6"/>
    <x v="3"/>
    <n v="2026"/>
    <n v="4"/>
    <n v="132"/>
    <n v="100654.01"/>
    <n v="62"/>
    <n v="46971.87"/>
    <n v="0.41549999999999998"/>
    <n v="41"/>
    <n v="31509.19"/>
    <n v="67.099999999999994"/>
    <n v="-15462.68"/>
    <d v="2026-04-14T00:00:00"/>
  </r>
  <r>
    <x v="7"/>
    <x v="0"/>
    <n v="2026"/>
    <n v="4"/>
    <n v="1946"/>
    <n v="938343.98"/>
    <n v="908"/>
    <n v="437893.86"/>
    <n v="0.66259999999999997"/>
    <n v="912"/>
    <n v="438229.2"/>
    <n v="100.1"/>
    <n v="335.34"/>
    <d v="2026-04-14T00:00:00"/>
  </r>
  <r>
    <x v="7"/>
    <x v="1"/>
    <n v="2026"/>
    <n v="4"/>
    <n v="0"/>
    <n v="0"/>
    <n v="0"/>
    <n v="0"/>
    <n v="0.81699999999999995"/>
    <n v="0"/>
    <n v="0"/>
    <m/>
    <n v="0"/>
    <d v="2026-04-14T00:00:00"/>
  </r>
  <r>
    <x v="7"/>
    <x v="2"/>
    <n v="2026"/>
    <n v="4"/>
    <n v="312"/>
    <n v="588344.82999999996"/>
    <n v="146"/>
    <n v="274560.92"/>
    <n v="0.46239999999999998"/>
    <n v="123"/>
    <n v="205965.52"/>
    <n v="75"/>
    <n v="-68595.399999999994"/>
    <d v="2026-04-14T00:00:00"/>
  </r>
  <r>
    <x v="7"/>
    <x v="3"/>
    <n v="2026"/>
    <n v="4"/>
    <n v="68"/>
    <n v="44412.43"/>
    <n v="32"/>
    <n v="20725.8"/>
    <n v="0.42"/>
    <n v="29"/>
    <n v="23498.46"/>
    <n v="113.4"/>
    <n v="2772.66"/>
    <d v="2026-04-14T00:00:00"/>
  </r>
  <r>
    <x v="8"/>
    <x v="0"/>
    <n v="2026"/>
    <n v="4"/>
    <n v="2034"/>
    <n v="925985.91"/>
    <n v="949"/>
    <n v="432126.76"/>
    <n v="0.66469999999999996"/>
    <n v="1009"/>
    <n v="463908.32"/>
    <n v="107.4"/>
    <n v="31781.56"/>
    <d v="2026-04-14T00:00:00"/>
  </r>
  <r>
    <x v="8"/>
    <x v="1"/>
    <n v="2026"/>
    <n v="4"/>
    <n v="4"/>
    <n v="1453.22"/>
    <n v="2"/>
    <n v="678.17"/>
    <n v="0.81969999999999998"/>
    <n v="0"/>
    <n v="0"/>
    <n v="0"/>
    <n v="-678.17"/>
    <d v="2026-04-14T00:00:00"/>
  </r>
  <r>
    <x v="8"/>
    <x v="2"/>
    <n v="2026"/>
    <n v="4"/>
    <n v="510"/>
    <n v="728993.2"/>
    <n v="238"/>
    <n v="340196.83"/>
    <n v="0.46729999999999999"/>
    <n v="176"/>
    <n v="247326.04"/>
    <n v="72.7"/>
    <n v="-92870.79"/>
    <d v="2026-04-14T00:00:00"/>
  </r>
  <r>
    <x v="8"/>
    <x v="3"/>
    <n v="2026"/>
    <n v="4"/>
    <n v="81"/>
    <n v="58081.9"/>
    <n v="38"/>
    <n v="27104.89"/>
    <n v="0.41289999999999999"/>
    <n v="24"/>
    <n v="17614.12"/>
    <n v="65"/>
    <n v="-9490.77"/>
    <d v="2026-04-14T00:00:00"/>
  </r>
  <r>
    <x v="9"/>
    <x v="0"/>
    <n v="2026"/>
    <n v="4"/>
    <n v="1273"/>
    <n v="527312.16"/>
    <n v="594"/>
    <n v="246079.01"/>
    <n v="0.66069999999999995"/>
    <n v="713"/>
    <n v="292874.58"/>
    <n v="119"/>
    <n v="46795.57"/>
    <d v="2026-04-14T00:00:00"/>
  </r>
  <r>
    <x v="9"/>
    <x v="1"/>
    <n v="2026"/>
    <n v="4"/>
    <n v="0"/>
    <n v="0"/>
    <n v="0"/>
    <n v="0"/>
    <n v="0.81369999999999998"/>
    <n v="0"/>
    <n v="0"/>
    <m/>
    <n v="0"/>
    <d v="2026-04-14T00:00:00"/>
  </r>
  <r>
    <x v="9"/>
    <x v="2"/>
    <n v="2026"/>
    <n v="4"/>
    <n v="473"/>
    <n v="846506.78"/>
    <n v="221"/>
    <n v="395036.5"/>
    <n v="0.46060000000000001"/>
    <n v="204"/>
    <n v="374140.27"/>
    <n v="94.7"/>
    <n v="-20896.23"/>
    <d v="2026-04-14T00:00:00"/>
  </r>
  <r>
    <x v="9"/>
    <x v="3"/>
    <n v="2026"/>
    <n v="4"/>
    <n v="69"/>
    <n v="56010.37"/>
    <n v="32"/>
    <n v="26138.17"/>
    <n v="0.41789999999999999"/>
    <n v="43"/>
    <n v="35485.660000000003"/>
    <n v="135.80000000000001"/>
    <n v="9347.49"/>
    <d v="2026-04-14T00:00: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D7CF5D3-593F-465F-A9DF-1C081D7BD94F}" name="Сводная таблица6" cacheId="17" applyNumberFormats="0" applyBorderFormats="0" applyFontFormats="0" applyPatternFormats="0" applyAlignmentFormats="0" applyWidthHeightFormats="1" dataCaption="Значения" updatedVersion="8" minRefreshableVersion="3" itemPrintTitles="1" createdVersion="8" indent="0" multipleFieldFilters="0" rowHeaderCaption="Формат">
  <location ref="F25:H30" firstHeaderRow="0" firstDataRow="1" firstDataCol="1"/>
  <pivotFields count="14">
    <pivotField showAll="0"/>
    <pivotField axis="axisRow" showAll="0">
      <items count="5">
        <item x="0"/>
        <item x="1"/>
        <item x="2"/>
        <item x="3"/>
        <item t="default"/>
      </items>
    </pivotField>
    <pivotField showAll="0"/>
    <pivotField showAll="0"/>
    <pivotField showAll="0"/>
    <pivotField dataField="1" showAll="0"/>
    <pivotField showAll="0"/>
    <pivotField showAll="0"/>
    <pivotField showAll="0"/>
    <pivotField showAll="0"/>
    <pivotField dataField="1" showAll="0"/>
    <pivotField showAll="0"/>
    <pivotField showAll="0"/>
    <pivotField numFmtId="14" showAll="0"/>
  </pivotFields>
  <rowFields count="1">
    <field x="1"/>
  </rowFields>
  <rowItems count="5">
    <i>
      <x/>
    </i>
    <i>
      <x v="1"/>
    </i>
    <i>
      <x v="2"/>
    </i>
    <i>
      <x v="3"/>
    </i>
    <i t="grand">
      <x/>
    </i>
  </rowItems>
  <colFields count="1">
    <field x="-2"/>
  </colFields>
  <colItems count="2">
    <i>
      <x/>
    </i>
    <i i="1">
      <x v="1"/>
    </i>
  </colItems>
  <dataFields count="2">
    <dataField name="Факт" fld="10" baseField="0" baseItem="0"/>
    <dataField name="План" fld="5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FC0F8A6-1351-4815-96B0-235BE2E6B8C6}" name="Сводная таблица5" cacheId="17" applyNumberFormats="0" applyBorderFormats="0" applyFontFormats="0" applyPatternFormats="0" applyAlignmentFormats="0" applyWidthHeightFormats="1" dataCaption="Значения" updatedVersion="8" minRefreshableVersion="3" itemPrintTitles="1" createdVersion="8" indent="0" multipleFieldFilters="0" rowHeaderCaption="Жанр">
  <location ref="B25:D36" firstHeaderRow="0" firstDataRow="1" firstDataCol="1"/>
  <pivotFields count="14">
    <pivotField axis="axisRow" showAll="0">
      <items count="11"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dataField="1" showAll="0"/>
    <pivotField showAll="0"/>
    <pivotField showAll="0"/>
    <pivotField numFmtId="14" showAll="0"/>
  </pivotFields>
  <rowFields count="1">
    <field x="0"/>
  </rowFields>
  <row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 t="grand">
      <x/>
    </i>
  </rowItems>
  <colFields count="1">
    <field x="-2"/>
  </colFields>
  <colItems count="2">
    <i>
      <x/>
    </i>
    <i i="1">
      <x v="1"/>
    </i>
  </colItems>
  <dataFields count="2">
    <dataField name="Факт" fld="10" baseField="0" baseItem="0"/>
    <dataField name="План" fld="5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0FBD1C1-9856-4CC7-96EF-F89ADE4812B1}" name="Сводная таблица3" cacheId="17" applyNumberFormats="0" applyBorderFormats="0" applyFontFormats="0" applyPatternFormats="0" applyAlignmentFormats="0" applyWidthHeightFormats="1" dataCaption="Значения" updatedVersion="8" minRefreshableVersion="3" itemPrintTitles="1" createdVersion="8" indent="0" multipleFieldFilters="0">
  <location ref="B18:C19" firstHeaderRow="0" firstDataRow="1" firstDataCol="0"/>
  <pivotFields count="14"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dataField="1" showAll="0"/>
    <pivotField showAll="0"/>
    <pivotField showAll="0"/>
    <pivotField numFmtId="14" showAll="0"/>
  </pivotFields>
  <rowItems count="1">
    <i/>
  </rowItems>
  <colFields count="1">
    <field x="-2"/>
  </colFields>
  <colItems count="2">
    <i>
      <x/>
    </i>
    <i i="1">
      <x v="1"/>
    </i>
  </colItems>
  <dataFields count="2">
    <dataField name="Факт" fld="10" baseField="0" baseItem="1"/>
    <dataField name="План" fld="5" baseField="0" baseItem="1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4" xr16:uid="{5D3C24A1-D462-40CD-9E33-E636979F9F4B}" autoFormatId="16" applyNumberFormats="0" applyBorderFormats="0" applyFontFormats="0" applyPatternFormats="0" applyAlignmentFormats="0" applyWidthHeightFormats="0">
  <queryTableRefresh nextId="13">
    <queryTableFields count="12">
      <queryTableField id="1" name="product_id" tableColumnId="1"/>
      <queryTableField id="2" name="title" tableColumnId="2"/>
      <queryTableField id="3" name="format" tableColumnId="3"/>
      <queryTableField id="4" name="genre" tableColumnId="4"/>
      <queryTableField id="5" name="publisher" tableColumnId="5"/>
      <queryTableField id="6" name="closing_stock" tableColumnId="6"/>
      <queryTableField id="7" name="is_low_stock" tableColumnId="7"/>
      <queryTableField id="8" name="stock_date" tableColumnId="8"/>
      <queryTableField id="9" name="avg_daily_sales_30d" tableColumnId="9"/>
      <queryTableField id="10" name="days_until_stockout" tableColumnId="10"/>
      <queryTableField id="11" name="recommended_order_qty" tableColumnId="11"/>
      <queryTableField id="12" name="alert_level" tableColumnId="1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3" xr16:uid="{8B470942-FEC9-4306-8CBF-26897FF134C0}" autoFormatId="16" applyNumberFormats="0" applyBorderFormats="0" applyFontFormats="0" applyPatternFormats="0" applyAlignmentFormats="0" applyWidthHeightFormats="0">
  <queryTableRefresh nextId="6">
    <queryTableFields count="5">
      <queryTableField id="1" name="product_id" tableColumnId="1"/>
      <queryTableField id="2" name="title" tableColumnId="2"/>
      <queryTableField id="3" name="format" tableColumnId="3"/>
      <queryTableField id="4" name="revenue" tableColumnId="4"/>
      <queryTableField id="5" name="rnk" tableColumnId="5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80CB64C4-4A77-4F9E-AD88-A05084A4D31F}" autoFormatId="16" applyNumberFormats="0" applyBorderFormats="0" applyFontFormats="0" applyPatternFormats="0" applyAlignmentFormats="0" applyWidthHeightFormats="0">
  <queryTableRefresh nextId="23">
    <queryTableFields count="18">
      <queryTableField id="1" name="day_type" tableColumnId="1"/>
      <queryTableField id="2" name="report_date" tableColumnId="2"/>
      <queryTableField id="3" name="prev_date" tableColumnId="3"/>
      <queryTableField id="4" name="total_revenue" tableColumnId="4"/>
      <queryTableField id="5" name="total_orders" tableColumnId="5"/>
      <queryTableField id="6" name="avg_order_value" tableColumnId="6"/>
      <queryTableField id="7" name="total_gross_profit" tableColumnId="7"/>
      <queryTableField id="8" name="gross_margin" tableColumnId="8"/>
      <queryTableField id="9" name="mtd_revenue" tableColumnId="9"/>
      <queryTableField id="10" name="mtd_orders" tableColumnId="10"/>
      <queryTableField id="11" name="mtd_net_qty" tableColumnId="11"/>
      <queryTableField id="12" name="mtd_gross_profit" tableColumnId="12"/>
      <queryTableField id="13" name="mtd_gross_margin" tableColumnId="13"/>
      <queryTableField id="14" name="prev_mtd_revenue" tableColumnId="14"/>
      <queryTableField id="15" name="prev_mtd_orders" tableColumnId="15"/>
      <queryTableField id="16" name="prev_mtd_net_qty" tableColumnId="16"/>
      <queryTableField id="17" name="prev_mtd_gross_profit" tableColumnId="17"/>
      <queryTableField id="18" name="prev_mtd_gross_margin" tableColumnId="18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5" xr16:uid="{F9FA812D-E740-4627-AE08-0A208FBE5305}" autoFormatId="16" applyNumberFormats="0" applyBorderFormats="0" applyFontFormats="0" applyPatternFormats="0" applyAlignmentFormats="0" applyWidthHeightFormats="0">
  <queryTableRefresh nextId="15">
    <queryTableFields count="14">
      <queryTableField id="1" name="genre" tableColumnId="1"/>
      <queryTableField id="2" name="format" tableColumnId="2"/>
      <queryTableField id="3" name="year" tableColumnId="3"/>
      <queryTableField id="4" name="month" tableColumnId="4"/>
      <queryTableField id="5" name="plan_qty" tableColumnId="5"/>
      <queryTableField id="6" name="plan_amount" tableColumnId="6"/>
      <queryTableField id="7" name="plan_qty_to_date" tableColumnId="7"/>
      <queryTableField id="8" name="plan_amount_to_date" tableColumnId="8"/>
      <queryTableField id="9" name="plan_margin_target" tableColumnId="9"/>
      <queryTableField id="10" name="fact_qty" tableColumnId="10"/>
      <queryTableField id="11" name="fact_amount" tableColumnId="11"/>
      <queryTableField id="12" name="pct_of_plan_to_date" tableColumnId="12"/>
      <queryTableField id="13" name="delta_amount_to_date" tableColumnId="13"/>
      <queryTableField id="14" name="report_date" tableColumnId="14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6" xr16:uid="{C7AAF7C1-F4F7-4577-AF7D-DD9D9E7FC3BA}" autoFormatId="16" applyNumberFormats="0" applyBorderFormats="0" applyFontFormats="0" applyPatternFormats="0" applyAlignmentFormats="0" applyWidthHeightFormats="0">
  <queryTableRefresh nextId="22">
    <queryTableFields count="21">
      <queryTableField id="1" name="year" tableColumnId="1"/>
      <queryTableField id="2" name="month" tableColumnId="2"/>
      <queryTableField id="3" name="quarter" tableColumnId="3"/>
      <queryTableField id="4" name="month_start" tableColumnId="4"/>
      <queryTableField id="5" name="genre" tableColumnId="5"/>
      <queryTableField id="6" name="format" tableColumnId="6"/>
      <queryTableField id="7" name="language" tableColumnId="7"/>
      <queryTableField id="8" name="orders" tableColumnId="8"/>
      <queryTableField id="9" name="gross_qty" tableColumnId="9"/>
      <queryTableField id="10" name="return_qty" tableColumnId="10"/>
      <queryTableField id="11" name="net_qty" tableColumnId="11"/>
      <queryTableField id="12" name="gross_revenue" tableColumnId="12"/>
      <queryTableField id="13" name="return_revenue" tableColumnId="13"/>
      <queryTableField id="14" name="net_revenue" tableColumnId="14"/>
      <queryTableField id="15" name="total_cost" tableColumnId="15"/>
      <queryTableField id="16" name="gross_profit" tableColumnId="16"/>
      <queryTableField id="17" name="gross_margin" tableColumnId="17"/>
      <queryTableField id="18" name="promo_orders" tableColumnId="18"/>
      <queryTableField id="19" name="promo_revenue" tableColumnId="19"/>
      <queryTableField id="20" name="lost_sales_qty" tableColumnId="20"/>
      <queryTableField id="21" name="avg_order_value" tableColumnId="21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4EDE0156-B134-41A5-87EF-D5D601F0B1FE}" name="public_mart_inventory_alerts" displayName="public_mart_inventory_alerts" ref="H40:S41" tableType="queryTable" totalsRowShown="0">
  <autoFilter ref="H40:S41" xr:uid="{4EDE0156-B134-41A5-87EF-D5D601F0B1FE}"/>
  <tableColumns count="12">
    <tableColumn id="1" xr3:uid="{72104547-9C17-4926-B7A9-CD69EC8F53EE}" uniqueName="1" name="product_id" queryTableFieldId="1"/>
    <tableColumn id="2" xr3:uid="{F93D0A83-6A34-452E-A5CB-BD4184E9F440}" uniqueName="2" name="title" queryTableFieldId="2" dataDxfId="11"/>
    <tableColumn id="3" xr3:uid="{15F564CD-30C5-4AD8-85B8-143C328381F8}" uniqueName="3" name="format" queryTableFieldId="3" dataDxfId="10"/>
    <tableColumn id="4" xr3:uid="{4329A7DF-0D9C-4C77-BE0E-94B9A9C89274}" uniqueName="4" name="genre" queryTableFieldId="4" dataDxfId="9"/>
    <tableColumn id="5" xr3:uid="{DAEC3BF8-6F33-49E7-B2E4-F3CC57545084}" uniqueName="5" name="publisher" queryTableFieldId="5" dataDxfId="8"/>
    <tableColumn id="6" xr3:uid="{A0BA14B5-B994-45A6-9238-A5E193EF533B}" uniqueName="6" name="closing_stock" queryTableFieldId="6"/>
    <tableColumn id="7" xr3:uid="{CDFCF25A-60B1-4E91-9A80-CACB56701F58}" uniqueName="7" name="is_low_stock" queryTableFieldId="7"/>
    <tableColumn id="8" xr3:uid="{A1A2ADC4-C092-4D76-B5D4-F5B9939DA1E1}" uniqueName="8" name="stock_date" queryTableFieldId="8" dataDxfId="7"/>
    <tableColumn id="9" xr3:uid="{1CEAA708-CDAC-49D8-AF9D-42967973A83B}" uniqueName="9" name="avg_daily_sales_30d" queryTableFieldId="9"/>
    <tableColumn id="10" xr3:uid="{FCA4FB75-6AF6-4696-AC48-9EE84A78DC3D}" uniqueName="10" name="days_until_stockout" queryTableFieldId="10"/>
    <tableColumn id="11" xr3:uid="{F3E9AD2E-87FD-4772-B125-924B53CEB222}" uniqueName="11" name="recommended_order_qty" queryTableFieldId="11"/>
    <tableColumn id="12" xr3:uid="{04B85AC7-9AB2-44AA-B389-B603CD062040}" uniqueName="12" name="alert_level" queryTableFieldId="12" dataDxf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1BDAA3A-690C-48E1-B783-A764BAEEB78E}" name="public_mart_daily_top5__2" displayName="public_mart_daily_top5__2" ref="B40:F45" tableType="queryTable" totalsRowShown="0">
  <autoFilter ref="B40:F45" xr:uid="{11BDAA3A-690C-48E1-B783-A764BAEEB78E}"/>
  <tableColumns count="5">
    <tableColumn id="1" xr3:uid="{72E5FB82-11B0-413E-9C86-4CA7F1F8CF75}" uniqueName="1" name="product_id" queryTableFieldId="1"/>
    <tableColumn id="2" xr3:uid="{03919843-E8CF-40D3-BCB6-EFDF4D777AD1}" uniqueName="2" name="title" queryTableFieldId="2" dataDxfId="5"/>
    <tableColumn id="3" xr3:uid="{F52842D7-427A-4003-9641-444D7FD181E4}" uniqueName="3" name="format" queryTableFieldId="3" dataDxfId="4"/>
    <tableColumn id="4" xr3:uid="{6A22E8C3-8B71-43EF-A029-6E04D105E713}" uniqueName="4" name="revenue" queryTableFieldId="4"/>
    <tableColumn id="5" xr3:uid="{41B7F2FF-EF4F-4BA7-B137-7411664C11C2}" uniqueName="5" name="rnk" queryTableFieldId="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921F869-C366-4648-A217-2306C97E7299}" name="public_mart_daily_pulse" displayName="public_mart_daily_pulse" ref="A1:R3" tableType="queryTable" totalsRowShown="0" headerRowDxfId="12">
  <autoFilter ref="A1:R3" xr:uid="{E921F869-C366-4648-A217-2306C97E7299}"/>
  <tableColumns count="18">
    <tableColumn id="1" xr3:uid="{59003286-80C5-49D5-B2DC-1D8F9AE6C57F}" uniqueName="1" name="day_type" queryTableFieldId="1" dataDxfId="18"/>
    <tableColumn id="2" xr3:uid="{D7314E92-D4D1-46DE-B820-5793762B8064}" uniqueName="2" name="report_date" queryTableFieldId="2" dataDxfId="15"/>
    <tableColumn id="3" xr3:uid="{1EF8486F-B5F3-4379-A264-A97C30039E2D}" uniqueName="3" name="prev_date" queryTableFieldId="3" dataDxfId="14"/>
    <tableColumn id="4" xr3:uid="{772889FE-4F5A-4C36-9025-5CD51A3E850C}" uniqueName="4" name="total_revenue" queryTableFieldId="4"/>
    <tableColumn id="5" xr3:uid="{DF83D746-1F50-4E9B-AB24-EB9208BB4F7F}" uniqueName="5" name="total_orders" queryTableFieldId="5"/>
    <tableColumn id="6" xr3:uid="{1794E6F7-4874-45C2-80B9-28C391A5CC69}" uniqueName="6" name="avg_order_value" queryTableFieldId="6"/>
    <tableColumn id="7" xr3:uid="{DD43BD9D-2837-48A4-80D2-FF03F153D4D0}" uniqueName="7" name="total_gross_profit" queryTableFieldId="7"/>
    <tableColumn id="8" xr3:uid="{CE2CB810-38AF-4446-8E92-02DE5EAD6A52}" uniqueName="8" name="gross_margin" queryTableFieldId="8"/>
    <tableColumn id="9" xr3:uid="{67BE5FF5-E9AB-4BE7-9744-D8957B07CC76}" uniqueName="9" name="mtd_revenue" queryTableFieldId="9"/>
    <tableColumn id="10" xr3:uid="{CE783D3F-AB4B-4DFB-8EEF-8A27A572E290}" uniqueName="10" name="mtd_orders" queryTableFieldId="10"/>
    <tableColumn id="11" xr3:uid="{AE9CBD7C-52B2-40B6-9E1A-AA299E484568}" uniqueName="11" name="mtd_net_qty" queryTableFieldId="11"/>
    <tableColumn id="12" xr3:uid="{D6363554-FE94-4613-AE36-7CEDD869CD5E}" uniqueName="12" name="mtd_gross_profit" queryTableFieldId="12"/>
    <tableColumn id="13" xr3:uid="{8A7B6B5D-3298-436C-98B7-B31C399650AA}" uniqueName="13" name="mtd_gross_margin" queryTableFieldId="13"/>
    <tableColumn id="14" xr3:uid="{A867B706-16D0-4629-98B8-B30AD424439A}" uniqueName="14" name="prev_mtd_revenue" queryTableFieldId="14"/>
    <tableColumn id="15" xr3:uid="{554799AD-E2BD-47BC-88CA-48CF1FA0ED59}" uniqueName="15" name="prev_mtd_orders" queryTableFieldId="15"/>
    <tableColumn id="16" xr3:uid="{332B7C46-9195-4028-AA04-2E896CB732E0}" uniqueName="16" name="prev_mtd_net_qty" queryTableFieldId="16"/>
    <tableColumn id="17" xr3:uid="{71AC76D0-96B9-40B0-8D21-6FE33FD6ECC8}" uniqueName="17" name="prev_mtd_gross_profit" queryTableFieldId="17"/>
    <tableColumn id="18" xr3:uid="{828EC21C-0507-45A4-B0F5-9F6CEE1920D3}" uniqueName="18" name="prev_mtd_gross_margin" queryTableFieldId="18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4E30DC9-F50D-4FE2-AB7B-EB23B508FFE8}" name="public_mart_plan_fact" displayName="public_mart_plan_fact" ref="A1:N41" tableType="queryTable" totalsRowShown="0">
  <autoFilter ref="A1:N41" xr:uid="{14E30DC9-F50D-4FE2-AB7B-EB23B508FFE8}"/>
  <tableColumns count="14">
    <tableColumn id="1" xr3:uid="{AC344200-4813-4EB5-B639-3448156CDD84}" uniqueName="1" name="genre" queryTableFieldId="1" dataDxfId="17"/>
    <tableColumn id="2" xr3:uid="{04D9F987-92C1-41E7-B650-2F850956F3B0}" uniqueName="2" name="format" queryTableFieldId="2" dataDxfId="16"/>
    <tableColumn id="3" xr3:uid="{DA9E8232-FD3F-4D87-9B44-243059C5B132}" uniqueName="3" name="year" queryTableFieldId="3"/>
    <tableColumn id="4" xr3:uid="{6F21781D-153D-4C89-94F0-50EF14F59919}" uniqueName="4" name="month" queryTableFieldId="4"/>
    <tableColumn id="5" xr3:uid="{66FC5831-83A1-4C7A-8B4E-1F2DC82ACE39}" uniqueName="5" name="plan_qty" queryTableFieldId="5"/>
    <tableColumn id="6" xr3:uid="{8A2122D8-0336-4FBC-B7BF-6A49BACEC88E}" uniqueName="6" name="plan_amount" queryTableFieldId="6"/>
    <tableColumn id="7" xr3:uid="{C6722EA4-192B-44DB-B59D-26A245C746E3}" uniqueName="7" name="plan_qty_to_date" queryTableFieldId="7"/>
    <tableColumn id="8" xr3:uid="{C3BAC8F6-0A65-4302-ADF3-3FF01B7987A0}" uniqueName="8" name="plan_amount_to_date" queryTableFieldId="8"/>
    <tableColumn id="9" xr3:uid="{F6E16F14-FDC3-4283-B498-7A6A495492E5}" uniqueName="9" name="plan_margin_target" queryTableFieldId="9"/>
    <tableColumn id="10" xr3:uid="{728DEDCB-A9FF-4A69-8210-ADDFBAC6B4A4}" uniqueName="10" name="fact_qty" queryTableFieldId="10"/>
    <tableColumn id="11" xr3:uid="{8C83D0E5-CF4D-455A-B0FD-EFA3E365942E}" uniqueName="11" name="fact_amount" queryTableFieldId="11"/>
    <tableColumn id="12" xr3:uid="{84E599DA-D2A3-463A-9CFC-D0902204055C}" uniqueName="12" name="pct_of_plan_to_date" queryTableFieldId="12"/>
    <tableColumn id="13" xr3:uid="{23FC79E5-04DE-489F-A826-88755FE7BF4D}" uniqueName="13" name="delta_amount_to_date" queryTableFieldId="13"/>
    <tableColumn id="14" xr3:uid="{BC2C5AFF-3CDA-4388-B38C-8058ABF36671}" uniqueName="14" name="report_date" queryTableFieldId="14" dataDxfId="13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E3366BC3-E744-44F5-B019-9DC66D8979E0}" name="public_mart_sales_trends" displayName="public_mart_sales_trends" ref="A1:U2174" tableType="queryTable" totalsRowShown="0">
  <autoFilter ref="A1:U2174" xr:uid="{E3366BC3-E744-44F5-B019-9DC66D8979E0}"/>
  <tableColumns count="21">
    <tableColumn id="1" xr3:uid="{D6D2C390-240B-42B3-BFF2-7C982E61BEFD}" uniqueName="1" name="year" queryTableFieldId="1"/>
    <tableColumn id="2" xr3:uid="{5CEAF42E-FF76-40A8-889A-912BABA092D4}" uniqueName="2" name="month" queryTableFieldId="2"/>
    <tableColumn id="3" xr3:uid="{B39E81AA-FE88-4CE3-9BF3-75C4A91FE4E1}" uniqueName="3" name="quarter" queryTableFieldId="3"/>
    <tableColumn id="4" xr3:uid="{D500EB31-3D83-4D93-97F1-FECE1E4A3A11}" uniqueName="4" name="month_start" queryTableFieldId="4" dataDxfId="3"/>
    <tableColumn id="5" xr3:uid="{555FD7C4-746F-4BDA-9077-09455BA67A10}" uniqueName="5" name="genre" queryTableFieldId="5" dataDxfId="2"/>
    <tableColumn id="6" xr3:uid="{83009FEC-813E-4823-BB8C-DCD5019975D8}" uniqueName="6" name="format" queryTableFieldId="6" dataDxfId="1"/>
    <tableColumn id="7" xr3:uid="{6B80F87F-2826-4373-8DC7-7644714100B4}" uniqueName="7" name="language" queryTableFieldId="7" dataDxfId="0"/>
    <tableColumn id="8" xr3:uid="{5F2BB527-DE72-4291-B420-380D4E559801}" uniqueName="8" name="orders" queryTableFieldId="8"/>
    <tableColumn id="9" xr3:uid="{2827B403-8AB5-4E2A-9307-58A3CA61E66B}" uniqueName="9" name="gross_qty" queryTableFieldId="9"/>
    <tableColumn id="10" xr3:uid="{A36D620C-54D1-4636-8D80-0ACCBC57B8A7}" uniqueName="10" name="return_qty" queryTableFieldId="10"/>
    <tableColumn id="11" xr3:uid="{2F041E39-F7EF-48D4-BE68-B26BC82CF277}" uniqueName="11" name="net_qty" queryTableFieldId="11"/>
    <tableColumn id="12" xr3:uid="{CF9982A4-E575-40A2-BEBC-B02D174E2AA4}" uniqueName="12" name="gross_revenue" queryTableFieldId="12"/>
    <tableColumn id="13" xr3:uid="{45CB5721-A119-4066-9E93-580567E5C37B}" uniqueName="13" name="return_revenue" queryTableFieldId="13"/>
    <tableColumn id="14" xr3:uid="{A777EC07-A046-4C75-B311-F936FFFF2EC2}" uniqueName="14" name="net_revenue" queryTableFieldId="14"/>
    <tableColumn id="15" xr3:uid="{9D40AB6C-1D15-4929-B1E0-3C612C0FCB2A}" uniqueName="15" name="total_cost" queryTableFieldId="15"/>
    <tableColumn id="16" xr3:uid="{A74E470B-A645-4D56-81D7-FBDC42276778}" uniqueName="16" name="gross_profit" queryTableFieldId="16"/>
    <tableColumn id="17" xr3:uid="{E7411C5F-1D25-4984-A480-D40A5192ACAA}" uniqueName="17" name="gross_margin" queryTableFieldId="17"/>
    <tableColumn id="18" xr3:uid="{B7B07B04-DE2B-456B-B445-9C1FBBEA26C5}" uniqueName="18" name="promo_orders" queryTableFieldId="18"/>
    <tableColumn id="19" xr3:uid="{75758C18-B9C5-4C00-B430-9091B4747BB0}" uniqueName="19" name="promo_revenue" queryTableFieldId="19"/>
    <tableColumn id="20" xr3:uid="{86A151EF-3D59-4A33-BA15-4DE6ECC8F769}" uniqueName="20" name="lost_sales_qty" queryTableFieldId="20"/>
    <tableColumn id="21" xr3:uid="{3508D0AA-749E-43A9-A848-94C51E6C848D}" uniqueName="21" name="avg_order_value" queryTableFieldId="21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table" Target="../tables/table2.xml"/><Relationship Id="rId5" Type="http://schemas.openxmlformats.org/officeDocument/2006/relationships/table" Target="../tables/table1.xml"/><Relationship Id="rId4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S48"/>
  <sheetViews>
    <sheetView topLeftCell="A43" workbookViewId="0">
      <selection activeCell="B49" sqref="B49"/>
    </sheetView>
  </sheetViews>
  <sheetFormatPr defaultRowHeight="14.5" x14ac:dyDescent="0.35"/>
  <cols>
    <col min="1" max="1" width="5.90625" bestFit="1" customWidth="1"/>
    <col min="2" max="2" width="14.1796875" customWidth="1"/>
    <col min="3" max="3" width="9.90625" bestFit="1" customWidth="1"/>
    <col min="4" max="4" width="12.6328125" bestFit="1" customWidth="1"/>
    <col min="5" max="5" width="10.81640625" bestFit="1" customWidth="1"/>
    <col min="6" max="6" width="20.54296875" bestFit="1" customWidth="1"/>
    <col min="8" max="8" width="12.26953125" bestFit="1" customWidth="1"/>
    <col min="9" max="9" width="6.453125" bestFit="1" customWidth="1"/>
    <col min="10" max="10" width="8.90625" bestFit="1" customWidth="1"/>
    <col min="11" max="11" width="7.81640625" bestFit="1" customWidth="1"/>
    <col min="12" max="12" width="10.90625" bestFit="1" customWidth="1"/>
    <col min="13" max="13" width="14.1796875" bestFit="1" customWidth="1"/>
    <col min="14" max="14" width="13.81640625" bestFit="1" customWidth="1"/>
    <col min="15" max="15" width="12.36328125" bestFit="1" customWidth="1"/>
    <col min="16" max="16" width="20.1796875" bestFit="1" customWidth="1"/>
    <col min="17" max="17" width="20.26953125" bestFit="1" customWidth="1"/>
    <col min="18" max="18" width="24.90625" bestFit="1" customWidth="1"/>
    <col min="19" max="19" width="11.81640625" bestFit="1" customWidth="1"/>
  </cols>
  <sheetData>
    <row r="1" spans="2:8" x14ac:dyDescent="0.35">
      <c r="B1" t="s">
        <v>37</v>
      </c>
    </row>
    <row r="3" spans="2:8" x14ac:dyDescent="0.35">
      <c r="B3" t="s">
        <v>38</v>
      </c>
      <c r="C3" s="1">
        <f>'public mart_daily_pulse'!B2</f>
        <v>46126</v>
      </c>
    </row>
    <row r="5" spans="2:8" x14ac:dyDescent="0.35">
      <c r="B5" t="s">
        <v>49</v>
      </c>
      <c r="D5" t="s">
        <v>50</v>
      </c>
      <c r="F5" t="s">
        <v>51</v>
      </c>
      <c r="H5" t="s">
        <v>52</v>
      </c>
    </row>
    <row r="6" spans="2:8" x14ac:dyDescent="0.35">
      <c r="B6">
        <f>'public mart_daily_pulse'!D2</f>
        <v>456149.43</v>
      </c>
      <c r="D6">
        <f>'public mart_daily_pulse'!E2</f>
        <v>434</v>
      </c>
      <c r="F6">
        <f>'public mart_daily_pulse'!F2</f>
        <v>1051.04</v>
      </c>
      <c r="H6">
        <f>'public mart_daily_pulse'!H2</f>
        <v>0.56020000000000003</v>
      </c>
    </row>
    <row r="7" spans="2:8" x14ac:dyDescent="0.35">
      <c r="B7">
        <f>'public mart_daily_pulse'!D2-'public mart_daily_pulse'!D3</f>
        <v>-55490.910000000033</v>
      </c>
      <c r="D7">
        <f>'public mart_daily_pulse'!E2-'public mart_daily_pulse'!E3</f>
        <v>-33</v>
      </c>
      <c r="F7">
        <f>'public mart_daily_pulse'!F2-'public mart_daily_pulse'!F3</f>
        <v>-44.549999999999955</v>
      </c>
      <c r="H7">
        <f>'public mart_daily_pulse'!H2-'public mart_daily_pulse'!H3</f>
        <v>9.7000000000000419E-3</v>
      </c>
    </row>
    <row r="8" spans="2:8" x14ac:dyDescent="0.35">
      <c r="B8">
        <f>'public mart_daily_pulse'!D2/'public mart_daily_pulse'!D3</f>
        <v>0.89154312969145466</v>
      </c>
      <c r="D8">
        <f>'public mart_daily_pulse'!E2/'public mart_daily_pulse'!E3</f>
        <v>0.92933618843683086</v>
      </c>
      <c r="F8">
        <f>'public mart_daily_pulse'!F2/'public mart_daily_pulse'!F3</f>
        <v>0.95933697824916264</v>
      </c>
      <c r="H8">
        <f>'public mart_daily_pulse'!H2/'public mart_daily_pulse'!H3</f>
        <v>1.0176203451407813</v>
      </c>
    </row>
    <row r="11" spans="2:8" x14ac:dyDescent="0.35">
      <c r="B11" t="s">
        <v>53</v>
      </c>
      <c r="D11" t="s">
        <v>54</v>
      </c>
      <c r="F11" t="s">
        <v>55</v>
      </c>
      <c r="H11" t="s">
        <v>56</v>
      </c>
    </row>
    <row r="12" spans="2:8" x14ac:dyDescent="0.35">
      <c r="B12">
        <f>'public mart_daily_pulse'!I2</f>
        <v>6781347.1900000004</v>
      </c>
      <c r="D12">
        <f>'public mart_daily_pulse'!J2</f>
        <v>4234</v>
      </c>
      <c r="F12">
        <f>'public mart_daily_pulse'!L2</f>
        <v>3808747.64</v>
      </c>
      <c r="H12">
        <f>'public mart_daily_pulse'!M2</f>
        <v>0.56169999999999998</v>
      </c>
    </row>
    <row r="13" spans="2:8" x14ac:dyDescent="0.35">
      <c r="B13">
        <f>'public mart_daily_pulse'!I2-'public mart_daily_pulse'!N2</f>
        <v>-5731.859999999404</v>
      </c>
      <c r="D13">
        <f>'public mart_daily_pulse'!J2-'public mart_daily_pulse'!O2</f>
        <v>108</v>
      </c>
      <c r="F13">
        <f>'public mart_daily_pulse'!L2-'public mart_daily_pulse'!Q2</f>
        <v>11320.939999999944</v>
      </c>
      <c r="H13">
        <f>'public mart_daily_pulse'!L2-'public mart_daily_pulse'!R2</f>
        <v>3808747.0805000002</v>
      </c>
    </row>
    <row r="14" spans="2:8" x14ac:dyDescent="0.35">
      <c r="B14">
        <f>'public mart_daily_pulse'!I2/'public mart_daily_pulse'!N2</f>
        <v>0.99915547469570143</v>
      </c>
      <c r="D14">
        <f>'public mart_daily_pulse'!J2/'public mart_daily_pulse'!O2</f>
        <v>1.0261754726126999</v>
      </c>
      <c r="F14">
        <f>'public mart_daily_pulse'!L2/'public mart_daily_pulse'!Q2</f>
        <v>1.0029812135675982</v>
      </c>
      <c r="H14">
        <f>'public mart_daily_pulse'!M2/'public mart_daily_pulse'!R2</f>
        <v>1.0039320822162645</v>
      </c>
    </row>
    <row r="17" spans="2:8" x14ac:dyDescent="0.35">
      <c r="B17" t="s">
        <v>57</v>
      </c>
      <c r="E17" t="s">
        <v>61</v>
      </c>
    </row>
    <row r="18" spans="2:8" x14ac:dyDescent="0.35">
      <c r="B18" t="s">
        <v>59</v>
      </c>
      <c r="C18" t="s">
        <v>60</v>
      </c>
      <c r="E18">
        <f>(GETPIVOTDATA("Факт",$B$18)/'Технический лист'!C5)*'Технический лист'!C6</f>
        <v>13496053.264285713</v>
      </c>
    </row>
    <row r="19" spans="2:8" x14ac:dyDescent="0.35">
      <c r="B19" s="4">
        <v>6298158.1899999995</v>
      </c>
      <c r="C19" s="4">
        <v>14118465.810000001</v>
      </c>
      <c r="E19">
        <f>E18-GETPIVOTDATA("План",$B$18)</f>
        <v>-622412.54571428709</v>
      </c>
    </row>
    <row r="20" spans="2:8" x14ac:dyDescent="0.35">
      <c r="B20">
        <f>GETPIVOTDATA("Факт",$B$18)-GETPIVOTDATA("План",$B$18)</f>
        <v>-7820307.620000001</v>
      </c>
    </row>
    <row r="21" spans="2:8" x14ac:dyDescent="0.35">
      <c r="B21">
        <f>GETPIVOTDATA("Факт",$B$18)/GETPIVOTDATA("План",$B$18)</f>
        <v>0.44609366731185923</v>
      </c>
    </row>
    <row r="24" spans="2:8" x14ac:dyDescent="0.35">
      <c r="B24" t="s">
        <v>68</v>
      </c>
      <c r="F24" t="s">
        <v>70</v>
      </c>
    </row>
    <row r="25" spans="2:8" x14ac:dyDescent="0.35">
      <c r="B25" s="2" t="s">
        <v>69</v>
      </c>
      <c r="C25" t="s">
        <v>59</v>
      </c>
      <c r="D25" t="s">
        <v>60</v>
      </c>
      <c r="F25" s="2" t="s">
        <v>71</v>
      </c>
      <c r="G25" t="s">
        <v>59</v>
      </c>
      <c r="H25" t="s">
        <v>60</v>
      </c>
    </row>
    <row r="26" spans="2:8" x14ac:dyDescent="0.35">
      <c r="B26" s="3" t="s">
        <v>33</v>
      </c>
      <c r="C26" s="4">
        <v>570899.41</v>
      </c>
      <c r="D26" s="4">
        <v>1180062.5</v>
      </c>
      <c r="F26" s="3" t="s">
        <v>28</v>
      </c>
      <c r="G26" s="4">
        <v>3385419.52</v>
      </c>
      <c r="H26" s="4">
        <v>7128427.3800000008</v>
      </c>
    </row>
    <row r="27" spans="2:8" x14ac:dyDescent="0.35">
      <c r="B27" s="3" t="s">
        <v>32</v>
      </c>
      <c r="C27" s="4">
        <v>387079.23</v>
      </c>
      <c r="D27" s="4">
        <v>857437.08000000007</v>
      </c>
      <c r="F27" s="3" t="s">
        <v>35</v>
      </c>
      <c r="G27" s="4">
        <v>327</v>
      </c>
      <c r="H27" s="4">
        <v>3658.9800000000005</v>
      </c>
    </row>
    <row r="28" spans="2:8" x14ac:dyDescent="0.35">
      <c r="B28" s="3" t="s">
        <v>27</v>
      </c>
      <c r="C28" s="4">
        <v>835334.01000000013</v>
      </c>
      <c r="D28" s="4">
        <v>1863203.4400000002</v>
      </c>
      <c r="F28" s="3" t="s">
        <v>24</v>
      </c>
      <c r="G28" s="4">
        <v>2673599.34</v>
      </c>
      <c r="H28" s="4">
        <v>6395943.5500000007</v>
      </c>
    </row>
    <row r="29" spans="2:8" x14ac:dyDescent="0.35">
      <c r="B29" s="3" t="s">
        <v>34</v>
      </c>
      <c r="C29" s="4">
        <v>740545.76</v>
      </c>
      <c r="D29" s="4">
        <v>1708479.6799999997</v>
      </c>
      <c r="F29" s="3" t="s">
        <v>26</v>
      </c>
      <c r="G29" s="4">
        <v>238812.33</v>
      </c>
      <c r="H29" s="4">
        <v>590435.9</v>
      </c>
    </row>
    <row r="30" spans="2:8" x14ac:dyDescent="0.35">
      <c r="B30" s="3" t="s">
        <v>36</v>
      </c>
      <c r="C30" s="4">
        <v>589200.25</v>
      </c>
      <c r="D30" s="4">
        <v>1335500.68</v>
      </c>
      <c r="F30" s="3" t="s">
        <v>58</v>
      </c>
      <c r="G30" s="4">
        <v>6298158.1899999995</v>
      </c>
      <c r="H30" s="4">
        <v>14118465.810000002</v>
      </c>
    </row>
    <row r="31" spans="2:8" x14ac:dyDescent="0.35">
      <c r="B31" s="3" t="s">
        <v>23</v>
      </c>
      <c r="C31" s="4">
        <v>479000.99</v>
      </c>
      <c r="D31" s="4">
        <v>1072567.98</v>
      </c>
    </row>
    <row r="32" spans="2:8" x14ac:dyDescent="0.35">
      <c r="B32" s="3" t="s">
        <v>25</v>
      </c>
      <c r="C32" s="4">
        <v>597056.36999999988</v>
      </c>
      <c r="D32" s="4">
        <v>1385769.6700000002</v>
      </c>
    </row>
    <row r="33" spans="2:19" x14ac:dyDescent="0.35">
      <c r="B33" s="3" t="s">
        <v>29</v>
      </c>
      <c r="C33" s="4">
        <v>667693.17999999993</v>
      </c>
      <c r="D33" s="4">
        <v>1571101.24</v>
      </c>
    </row>
    <row r="34" spans="2:19" x14ac:dyDescent="0.35">
      <c r="B34" s="3" t="s">
        <v>31</v>
      </c>
      <c r="C34" s="4">
        <v>728848.48</v>
      </c>
      <c r="D34" s="4">
        <v>1714514.23</v>
      </c>
    </row>
    <row r="35" spans="2:19" x14ac:dyDescent="0.35">
      <c r="B35" s="3" t="s">
        <v>30</v>
      </c>
      <c r="C35" s="4">
        <v>702500.51000000013</v>
      </c>
      <c r="D35" s="4">
        <v>1429829.31</v>
      </c>
    </row>
    <row r="36" spans="2:19" x14ac:dyDescent="0.35">
      <c r="B36" s="3" t="s">
        <v>58</v>
      </c>
      <c r="C36" s="4">
        <v>6298158.1899999995</v>
      </c>
      <c r="D36" s="4">
        <v>14118465.810000001</v>
      </c>
    </row>
    <row r="39" spans="2:19" x14ac:dyDescent="0.35">
      <c r="B39" s="3" t="s">
        <v>72</v>
      </c>
      <c r="H39" t="s">
        <v>91</v>
      </c>
    </row>
    <row r="40" spans="2:19" x14ac:dyDescent="0.35">
      <c r="B40" t="s">
        <v>73</v>
      </c>
      <c r="C40" t="s">
        <v>74</v>
      </c>
      <c r="D40" t="s">
        <v>11</v>
      </c>
      <c r="E40" t="s">
        <v>75</v>
      </c>
      <c r="F40" t="s">
        <v>76</v>
      </c>
      <c r="H40" s="6" t="s">
        <v>73</v>
      </c>
      <c r="I40" t="s">
        <v>74</v>
      </c>
      <c r="J40" t="s">
        <v>11</v>
      </c>
      <c r="K40" t="s">
        <v>10</v>
      </c>
      <c r="L40" t="s">
        <v>83</v>
      </c>
      <c r="M40" t="s">
        <v>84</v>
      </c>
      <c r="N40" t="s">
        <v>85</v>
      </c>
      <c r="O40" t="s">
        <v>86</v>
      </c>
      <c r="P40" t="s">
        <v>87</v>
      </c>
      <c r="Q40" t="s">
        <v>88</v>
      </c>
      <c r="R40" t="s">
        <v>89</v>
      </c>
      <c r="S40" t="s">
        <v>90</v>
      </c>
    </row>
    <row r="41" spans="2:19" x14ac:dyDescent="0.35">
      <c r="B41">
        <v>952</v>
      </c>
      <c r="C41" s="4" t="s">
        <v>77</v>
      </c>
      <c r="D41" s="4" t="s">
        <v>78</v>
      </c>
      <c r="E41">
        <v>19950</v>
      </c>
      <c r="F41">
        <v>1</v>
      </c>
      <c r="I41" s="4"/>
      <c r="J41" s="4"/>
      <c r="K41" s="4"/>
      <c r="L41" s="4"/>
      <c r="O41" s="1"/>
      <c r="S41" s="4"/>
    </row>
    <row r="42" spans="2:19" x14ac:dyDescent="0.35">
      <c r="B42">
        <v>789</v>
      </c>
      <c r="C42" s="4" t="s">
        <v>79</v>
      </c>
      <c r="D42" s="4" t="s">
        <v>24</v>
      </c>
      <c r="E42">
        <v>9796</v>
      </c>
      <c r="F42">
        <v>2</v>
      </c>
    </row>
    <row r="43" spans="2:19" x14ac:dyDescent="0.35">
      <c r="B43">
        <v>888</v>
      </c>
      <c r="C43" s="4" t="s">
        <v>80</v>
      </c>
      <c r="D43" s="4" t="s">
        <v>28</v>
      </c>
      <c r="E43">
        <v>8838.08</v>
      </c>
      <c r="F43">
        <v>3</v>
      </c>
    </row>
    <row r="44" spans="2:19" x14ac:dyDescent="0.35">
      <c r="B44">
        <v>749</v>
      </c>
      <c r="C44" s="4" t="s">
        <v>81</v>
      </c>
      <c r="D44" s="4" t="s">
        <v>24</v>
      </c>
      <c r="E44">
        <v>8365</v>
      </c>
      <c r="F44">
        <v>4</v>
      </c>
    </row>
    <row r="45" spans="2:19" x14ac:dyDescent="0.35">
      <c r="B45">
        <v>755</v>
      </c>
      <c r="C45" s="4" t="s">
        <v>82</v>
      </c>
      <c r="D45" s="4" t="s">
        <v>24</v>
      </c>
      <c r="E45">
        <v>7413</v>
      </c>
      <c r="F45">
        <v>5</v>
      </c>
    </row>
    <row r="48" spans="2:19" x14ac:dyDescent="0.35">
      <c r="B48" t="s">
        <v>111</v>
      </c>
    </row>
  </sheetData>
  <pageMargins left="0.7" right="0.7" top="0.75" bottom="0.75" header="0.3" footer="0.3"/>
  <drawing r:id="rId4"/>
  <tableParts count="2">
    <tablePart r:id="rId5"/>
    <tablePart r:id="rId6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7DBA06-F01C-42E3-9DD2-266CB4B58255}">
  <dimension ref="A1:R3"/>
  <sheetViews>
    <sheetView workbookViewId="0">
      <selection activeCell="D7" sqref="D7"/>
    </sheetView>
  </sheetViews>
  <sheetFormatPr defaultRowHeight="14.5" x14ac:dyDescent="0.35"/>
  <cols>
    <col min="1" max="1" width="10.81640625" bestFit="1" customWidth="1"/>
    <col min="2" max="2" width="13.26953125" bestFit="1" customWidth="1"/>
    <col min="3" max="3" width="11.6328125" bestFit="1" customWidth="1"/>
    <col min="4" max="4" width="14.90625" bestFit="1" customWidth="1"/>
    <col min="5" max="5" width="13.54296875" bestFit="1" customWidth="1"/>
    <col min="6" max="6" width="17.08984375" bestFit="1" customWidth="1"/>
    <col min="7" max="7" width="18.26953125" bestFit="1" customWidth="1"/>
    <col min="8" max="8" width="14.26953125" bestFit="1" customWidth="1"/>
    <col min="9" max="9" width="14.36328125" bestFit="1" customWidth="1"/>
    <col min="10" max="10" width="13" bestFit="1" customWidth="1"/>
    <col min="11" max="11" width="14.08984375" bestFit="1" customWidth="1"/>
    <col min="12" max="12" width="17.7265625" bestFit="1" customWidth="1"/>
    <col min="13" max="13" width="18.81640625" bestFit="1" customWidth="1"/>
    <col min="14" max="14" width="19.26953125" bestFit="1" customWidth="1"/>
    <col min="15" max="15" width="17.81640625" bestFit="1" customWidth="1"/>
    <col min="16" max="16" width="18.90625" bestFit="1" customWidth="1"/>
    <col min="17" max="17" width="22.54296875" bestFit="1" customWidth="1"/>
    <col min="18" max="18" width="23.7265625" bestFit="1" customWidth="1"/>
    <col min="19" max="19" width="23.81640625" bestFit="1" customWidth="1"/>
    <col min="20" max="20" width="23.54296875" bestFit="1" customWidth="1"/>
    <col min="21" max="21" width="21.6328125" bestFit="1" customWidth="1"/>
    <col min="22" max="22" width="21.36328125" bestFit="1" customWidth="1"/>
  </cols>
  <sheetData>
    <row r="1" spans="1:18" s="5" customFormat="1" x14ac:dyDescent="0.35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39</v>
      </c>
      <c r="J1" s="5" t="s">
        <v>40</v>
      </c>
      <c r="K1" s="5" t="s">
        <v>41</v>
      </c>
      <c r="L1" s="5" t="s">
        <v>42</v>
      </c>
      <c r="M1" s="5" t="s">
        <v>43</v>
      </c>
      <c r="N1" s="5" t="s">
        <v>44</v>
      </c>
      <c r="O1" s="5" t="s">
        <v>45</v>
      </c>
      <c r="P1" s="5" t="s">
        <v>46</v>
      </c>
      <c r="Q1" s="5" t="s">
        <v>47</v>
      </c>
      <c r="R1" s="5" t="s">
        <v>48</v>
      </c>
    </row>
    <row r="2" spans="1:18" x14ac:dyDescent="0.35">
      <c r="A2" t="s">
        <v>8</v>
      </c>
      <c r="B2" s="1">
        <v>46126</v>
      </c>
      <c r="C2" s="1">
        <v>46125</v>
      </c>
      <c r="D2">
        <v>456149.43</v>
      </c>
      <c r="E2">
        <v>434</v>
      </c>
      <c r="F2">
        <v>1051.04</v>
      </c>
      <c r="G2">
        <v>255547.83</v>
      </c>
      <c r="H2">
        <v>0.56020000000000003</v>
      </c>
      <c r="I2">
        <v>6781347.1900000004</v>
      </c>
      <c r="J2">
        <v>4234</v>
      </c>
      <c r="K2">
        <v>9446</v>
      </c>
      <c r="L2">
        <v>3808747.64</v>
      </c>
      <c r="M2">
        <v>0.56169999999999998</v>
      </c>
      <c r="N2">
        <v>6787079.0499999998</v>
      </c>
      <c r="O2">
        <v>4126</v>
      </c>
      <c r="P2">
        <v>9242</v>
      </c>
      <c r="Q2">
        <v>3797426.7</v>
      </c>
      <c r="R2">
        <v>0.5595</v>
      </c>
    </row>
    <row r="3" spans="1:18" x14ac:dyDescent="0.35">
      <c r="A3" t="s">
        <v>9</v>
      </c>
      <c r="B3" s="1">
        <v>46125</v>
      </c>
      <c r="C3" s="1">
        <v>46124</v>
      </c>
      <c r="D3">
        <v>511640.34</v>
      </c>
      <c r="E3">
        <v>467</v>
      </c>
      <c r="F3">
        <v>1095.5899999999999</v>
      </c>
      <c r="G3">
        <v>281654.94</v>
      </c>
      <c r="H3">
        <v>0.55049999999999999</v>
      </c>
      <c r="I3">
        <v>6781347.1900000004</v>
      </c>
      <c r="J3">
        <v>4234</v>
      </c>
      <c r="K3">
        <v>9446</v>
      </c>
      <c r="L3">
        <v>3808747.64</v>
      </c>
      <c r="M3">
        <v>0.56169999999999998</v>
      </c>
      <c r="N3">
        <v>6787079.0499999998</v>
      </c>
      <c r="O3">
        <v>4126</v>
      </c>
      <c r="P3">
        <v>9242</v>
      </c>
      <c r="Q3">
        <v>3797426.7</v>
      </c>
      <c r="R3">
        <v>0.5595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88E5BC-F7F9-42FA-B6DE-65C6D40094F8}">
  <dimension ref="A1:N41"/>
  <sheetViews>
    <sheetView workbookViewId="0">
      <selection activeCell="K3" sqref="K3"/>
    </sheetView>
  </sheetViews>
  <sheetFormatPr defaultRowHeight="14.5" x14ac:dyDescent="0.35"/>
  <cols>
    <col min="1" max="1" width="9.1796875" bestFit="1" customWidth="1"/>
    <col min="2" max="2" width="9.90625" bestFit="1" customWidth="1"/>
    <col min="3" max="3" width="6.7265625" bestFit="1" customWidth="1"/>
    <col min="5" max="5" width="10.453125" bestFit="1" customWidth="1"/>
    <col min="6" max="6" width="14.36328125" bestFit="1" customWidth="1"/>
    <col min="7" max="7" width="18.1796875" bestFit="1" customWidth="1"/>
    <col min="8" max="8" width="22.1796875" bestFit="1" customWidth="1"/>
    <col min="9" max="9" width="19.81640625" bestFit="1" customWidth="1"/>
    <col min="10" max="10" width="10" bestFit="1" customWidth="1"/>
    <col min="11" max="11" width="13.90625" bestFit="1" customWidth="1"/>
    <col min="12" max="12" width="20.90625" bestFit="1" customWidth="1"/>
    <col min="13" max="13" width="22.81640625" bestFit="1" customWidth="1"/>
    <col min="14" max="14" width="13.26953125" bestFit="1" customWidth="1"/>
  </cols>
  <sheetData>
    <row r="1" spans="1:14" x14ac:dyDescent="0.35">
      <c r="A1" t="s">
        <v>10</v>
      </c>
      <c r="B1" t="s">
        <v>11</v>
      </c>
      <c r="C1" t="s">
        <v>12</v>
      </c>
      <c r="D1" t="s">
        <v>13</v>
      </c>
      <c r="E1" t="s">
        <v>14</v>
      </c>
      <c r="F1" t="s">
        <v>15</v>
      </c>
      <c r="G1" t="s">
        <v>16</v>
      </c>
      <c r="H1" t="s">
        <v>17</v>
      </c>
      <c r="I1" t="s">
        <v>18</v>
      </c>
      <c r="J1" t="s">
        <v>19</v>
      </c>
      <c r="K1" t="s">
        <v>20</v>
      </c>
      <c r="L1" t="s">
        <v>21</v>
      </c>
      <c r="M1" t="s">
        <v>22</v>
      </c>
      <c r="N1" t="s">
        <v>1</v>
      </c>
    </row>
    <row r="2" spans="1:14" x14ac:dyDescent="0.35">
      <c r="A2" t="s">
        <v>33</v>
      </c>
      <c r="B2" t="s">
        <v>28</v>
      </c>
      <c r="C2">
        <v>2026</v>
      </c>
      <c r="D2">
        <v>4</v>
      </c>
      <c r="E2">
        <v>1429</v>
      </c>
      <c r="F2">
        <v>705696.22</v>
      </c>
      <c r="G2">
        <v>667</v>
      </c>
      <c r="H2">
        <v>329324.90000000002</v>
      </c>
      <c r="I2">
        <v>0.66410000000000002</v>
      </c>
      <c r="J2">
        <v>733</v>
      </c>
      <c r="K2">
        <v>365867.06</v>
      </c>
      <c r="L2">
        <v>111.1</v>
      </c>
      <c r="M2">
        <v>36542.160000000003</v>
      </c>
      <c r="N2" s="1">
        <v>46126</v>
      </c>
    </row>
    <row r="3" spans="1:14" x14ac:dyDescent="0.35">
      <c r="A3" t="s">
        <v>33</v>
      </c>
      <c r="B3" t="s">
        <v>35</v>
      </c>
      <c r="C3">
        <v>2026</v>
      </c>
      <c r="D3">
        <v>4</v>
      </c>
      <c r="E3">
        <v>0</v>
      </c>
      <c r="F3">
        <v>0</v>
      </c>
      <c r="G3">
        <v>0</v>
      </c>
      <c r="H3">
        <v>0</v>
      </c>
      <c r="I3">
        <v>0.81399999999999995</v>
      </c>
      <c r="J3">
        <v>0</v>
      </c>
      <c r="K3">
        <v>0</v>
      </c>
      <c r="M3">
        <v>0</v>
      </c>
      <c r="N3" s="1">
        <v>46126</v>
      </c>
    </row>
    <row r="4" spans="1:14" x14ac:dyDescent="0.35">
      <c r="A4" t="s">
        <v>33</v>
      </c>
      <c r="B4" t="s">
        <v>24</v>
      </c>
      <c r="C4">
        <v>2026</v>
      </c>
      <c r="D4">
        <v>4</v>
      </c>
      <c r="E4">
        <v>283</v>
      </c>
      <c r="F4">
        <v>417749.51</v>
      </c>
      <c r="G4">
        <v>132</v>
      </c>
      <c r="H4">
        <v>194949.77</v>
      </c>
      <c r="I4">
        <v>0.46179999999999999</v>
      </c>
      <c r="J4">
        <v>117</v>
      </c>
      <c r="K4">
        <v>183690.35</v>
      </c>
      <c r="L4">
        <v>94.2</v>
      </c>
      <c r="M4">
        <v>-11259.42</v>
      </c>
      <c r="N4" s="1">
        <v>46126</v>
      </c>
    </row>
    <row r="5" spans="1:14" x14ac:dyDescent="0.35">
      <c r="A5" t="s">
        <v>33</v>
      </c>
      <c r="B5" t="s">
        <v>26</v>
      </c>
      <c r="C5">
        <v>2026</v>
      </c>
      <c r="D5">
        <v>4</v>
      </c>
      <c r="E5">
        <v>79</v>
      </c>
      <c r="F5">
        <v>56616.77</v>
      </c>
      <c r="G5">
        <v>37</v>
      </c>
      <c r="H5">
        <v>26421.16</v>
      </c>
      <c r="I5">
        <v>0.41160000000000002</v>
      </c>
      <c r="J5">
        <v>28</v>
      </c>
      <c r="K5">
        <v>21342</v>
      </c>
      <c r="L5">
        <v>80.8</v>
      </c>
      <c r="M5">
        <v>-5079.16</v>
      </c>
      <c r="N5" s="1">
        <v>46126</v>
      </c>
    </row>
    <row r="6" spans="1:14" x14ac:dyDescent="0.35">
      <c r="A6" t="s">
        <v>32</v>
      </c>
      <c r="B6" t="s">
        <v>28</v>
      </c>
      <c r="C6">
        <v>2026</v>
      </c>
      <c r="D6">
        <v>4</v>
      </c>
      <c r="E6">
        <v>756</v>
      </c>
      <c r="F6">
        <v>268141.14</v>
      </c>
      <c r="G6">
        <v>353</v>
      </c>
      <c r="H6">
        <v>125132.53</v>
      </c>
      <c r="I6">
        <v>0.6643</v>
      </c>
      <c r="J6">
        <v>448</v>
      </c>
      <c r="K6">
        <v>156350.07999999999</v>
      </c>
      <c r="L6">
        <v>124.9</v>
      </c>
      <c r="M6">
        <v>31217.55</v>
      </c>
      <c r="N6" s="1">
        <v>46126</v>
      </c>
    </row>
    <row r="7" spans="1:14" x14ac:dyDescent="0.35">
      <c r="A7" t="s">
        <v>32</v>
      </c>
      <c r="B7" t="s">
        <v>35</v>
      </c>
      <c r="C7">
        <v>2026</v>
      </c>
      <c r="D7">
        <v>4</v>
      </c>
      <c r="E7">
        <v>4</v>
      </c>
      <c r="F7">
        <v>1444.49</v>
      </c>
      <c r="G7">
        <v>2</v>
      </c>
      <c r="H7">
        <v>674.1</v>
      </c>
      <c r="I7">
        <v>0.81820000000000004</v>
      </c>
      <c r="J7">
        <v>0</v>
      </c>
      <c r="K7">
        <v>0</v>
      </c>
      <c r="L7">
        <v>0</v>
      </c>
      <c r="M7">
        <v>-674.1</v>
      </c>
      <c r="N7" s="1">
        <v>46126</v>
      </c>
    </row>
    <row r="8" spans="1:14" x14ac:dyDescent="0.35">
      <c r="A8" t="s">
        <v>32</v>
      </c>
      <c r="B8" t="s">
        <v>24</v>
      </c>
      <c r="C8">
        <v>2026</v>
      </c>
      <c r="D8">
        <v>4</v>
      </c>
      <c r="E8">
        <v>418</v>
      </c>
      <c r="F8">
        <v>539223.04000000004</v>
      </c>
      <c r="G8">
        <v>195</v>
      </c>
      <c r="H8">
        <v>251637.42</v>
      </c>
      <c r="I8">
        <v>0.46779999999999999</v>
      </c>
      <c r="J8">
        <v>180</v>
      </c>
      <c r="K8">
        <v>218294.55</v>
      </c>
      <c r="L8">
        <v>86.7</v>
      </c>
      <c r="M8">
        <v>-33342.870000000003</v>
      </c>
      <c r="N8" s="1">
        <v>46126</v>
      </c>
    </row>
    <row r="9" spans="1:14" x14ac:dyDescent="0.35">
      <c r="A9" t="s">
        <v>32</v>
      </c>
      <c r="B9" t="s">
        <v>26</v>
      </c>
      <c r="C9">
        <v>2026</v>
      </c>
      <c r="D9">
        <v>4</v>
      </c>
      <c r="E9">
        <v>72</v>
      </c>
      <c r="F9">
        <v>48628.41</v>
      </c>
      <c r="G9">
        <v>34</v>
      </c>
      <c r="H9">
        <v>22693.26</v>
      </c>
      <c r="I9">
        <v>0.41970000000000002</v>
      </c>
      <c r="J9">
        <v>21</v>
      </c>
      <c r="K9">
        <v>12434.6</v>
      </c>
      <c r="L9">
        <v>54.8</v>
      </c>
      <c r="M9">
        <v>-10258.66</v>
      </c>
      <c r="N9" s="1">
        <v>46126</v>
      </c>
    </row>
    <row r="10" spans="1:14" x14ac:dyDescent="0.35">
      <c r="A10" t="s">
        <v>27</v>
      </c>
      <c r="B10" t="s">
        <v>28</v>
      </c>
      <c r="C10">
        <v>2026</v>
      </c>
      <c r="D10">
        <v>4</v>
      </c>
      <c r="E10">
        <v>1889</v>
      </c>
      <c r="F10">
        <v>974662.26</v>
      </c>
      <c r="G10">
        <v>882</v>
      </c>
      <c r="H10">
        <v>454842.39</v>
      </c>
      <c r="I10">
        <v>0.66930000000000001</v>
      </c>
      <c r="J10">
        <v>832</v>
      </c>
      <c r="K10">
        <v>429177.03</v>
      </c>
      <c r="L10">
        <v>94.4</v>
      </c>
      <c r="M10">
        <v>-25665.360000000001</v>
      </c>
      <c r="N10" s="1">
        <v>46126</v>
      </c>
    </row>
    <row r="11" spans="1:14" x14ac:dyDescent="0.35">
      <c r="A11" t="s">
        <v>27</v>
      </c>
      <c r="B11" t="s">
        <v>35</v>
      </c>
      <c r="C11">
        <v>2026</v>
      </c>
      <c r="D11">
        <v>4</v>
      </c>
      <c r="E11">
        <v>0</v>
      </c>
      <c r="F11">
        <v>0</v>
      </c>
      <c r="G11">
        <v>0</v>
      </c>
      <c r="H11">
        <v>0</v>
      </c>
      <c r="I11">
        <v>0.81589999999999996</v>
      </c>
      <c r="J11">
        <v>0</v>
      </c>
      <c r="K11">
        <v>0</v>
      </c>
      <c r="M11">
        <v>0</v>
      </c>
      <c r="N11" s="1">
        <v>46126</v>
      </c>
    </row>
    <row r="12" spans="1:14" x14ac:dyDescent="0.35">
      <c r="A12" t="s">
        <v>27</v>
      </c>
      <c r="B12" t="s">
        <v>24</v>
      </c>
      <c r="C12">
        <v>2026</v>
      </c>
      <c r="D12">
        <v>4</v>
      </c>
      <c r="E12">
        <v>527</v>
      </c>
      <c r="F12">
        <v>846815.67</v>
      </c>
      <c r="G12">
        <v>246</v>
      </c>
      <c r="H12">
        <v>395180.65</v>
      </c>
      <c r="I12">
        <v>0.46510000000000001</v>
      </c>
      <c r="J12">
        <v>237</v>
      </c>
      <c r="K12">
        <v>387170.84</v>
      </c>
      <c r="L12">
        <v>98</v>
      </c>
      <c r="M12">
        <v>-8009.81</v>
      </c>
      <c r="N12" s="1">
        <v>46126</v>
      </c>
    </row>
    <row r="13" spans="1:14" x14ac:dyDescent="0.35">
      <c r="A13" t="s">
        <v>27</v>
      </c>
      <c r="B13" t="s">
        <v>26</v>
      </c>
      <c r="C13">
        <v>2026</v>
      </c>
      <c r="D13">
        <v>4</v>
      </c>
      <c r="E13">
        <v>60</v>
      </c>
      <c r="F13">
        <v>41725.51</v>
      </c>
      <c r="G13">
        <v>28</v>
      </c>
      <c r="H13">
        <v>19471.900000000001</v>
      </c>
      <c r="I13">
        <v>0.4199</v>
      </c>
      <c r="J13">
        <v>24</v>
      </c>
      <c r="K13">
        <v>18986.14</v>
      </c>
      <c r="L13">
        <v>97.5</v>
      </c>
      <c r="M13">
        <v>-485.76</v>
      </c>
      <c r="N13" s="1">
        <v>46126</v>
      </c>
    </row>
    <row r="14" spans="1:14" x14ac:dyDescent="0.35">
      <c r="A14" t="s">
        <v>34</v>
      </c>
      <c r="B14" t="s">
        <v>28</v>
      </c>
      <c r="C14">
        <v>2026</v>
      </c>
      <c r="D14">
        <v>4</v>
      </c>
      <c r="E14">
        <v>1663</v>
      </c>
      <c r="F14">
        <v>840875.64</v>
      </c>
      <c r="G14">
        <v>776</v>
      </c>
      <c r="H14">
        <v>392408.63</v>
      </c>
      <c r="I14">
        <v>0.66059999999999997</v>
      </c>
      <c r="J14">
        <v>683</v>
      </c>
      <c r="K14">
        <v>357768.13</v>
      </c>
      <c r="L14">
        <v>91.2</v>
      </c>
      <c r="M14">
        <v>-34640.5</v>
      </c>
      <c r="N14" s="1">
        <v>46126</v>
      </c>
    </row>
    <row r="15" spans="1:14" x14ac:dyDescent="0.35">
      <c r="A15" t="s">
        <v>34</v>
      </c>
      <c r="B15" t="s">
        <v>35</v>
      </c>
      <c r="C15">
        <v>2026</v>
      </c>
      <c r="D15">
        <v>4</v>
      </c>
      <c r="E15">
        <v>1</v>
      </c>
      <c r="F15">
        <v>515.08000000000004</v>
      </c>
      <c r="G15">
        <v>0</v>
      </c>
      <c r="H15">
        <v>240.37</v>
      </c>
      <c r="I15">
        <v>0.81110000000000004</v>
      </c>
      <c r="J15">
        <v>1</v>
      </c>
      <c r="K15">
        <v>327</v>
      </c>
      <c r="L15">
        <v>136</v>
      </c>
      <c r="M15">
        <v>86.63</v>
      </c>
      <c r="N15" s="1">
        <v>46126</v>
      </c>
    </row>
    <row r="16" spans="1:14" x14ac:dyDescent="0.35">
      <c r="A16" t="s">
        <v>34</v>
      </c>
      <c r="B16" t="s">
        <v>24</v>
      </c>
      <c r="C16">
        <v>2026</v>
      </c>
      <c r="D16">
        <v>4</v>
      </c>
      <c r="E16">
        <v>481</v>
      </c>
      <c r="F16">
        <v>809555.08</v>
      </c>
      <c r="G16">
        <v>224</v>
      </c>
      <c r="H16">
        <v>377792.37</v>
      </c>
      <c r="I16">
        <v>0.46700000000000003</v>
      </c>
      <c r="J16">
        <v>212</v>
      </c>
      <c r="K16">
        <v>357405.99</v>
      </c>
      <c r="L16">
        <v>94.6</v>
      </c>
      <c r="M16">
        <v>-20386.38</v>
      </c>
      <c r="N16" s="1">
        <v>46126</v>
      </c>
    </row>
    <row r="17" spans="1:14" x14ac:dyDescent="0.35">
      <c r="A17" t="s">
        <v>34</v>
      </c>
      <c r="B17" t="s">
        <v>26</v>
      </c>
      <c r="C17">
        <v>2026</v>
      </c>
      <c r="D17">
        <v>4</v>
      </c>
      <c r="E17">
        <v>92</v>
      </c>
      <c r="F17">
        <v>57533.88</v>
      </c>
      <c r="G17">
        <v>43</v>
      </c>
      <c r="H17">
        <v>26849.14</v>
      </c>
      <c r="I17">
        <v>0.41959999999999997</v>
      </c>
      <c r="J17">
        <v>42</v>
      </c>
      <c r="K17">
        <v>25044.639999999999</v>
      </c>
      <c r="L17">
        <v>93.3</v>
      </c>
      <c r="M17">
        <v>-1804.5</v>
      </c>
      <c r="N17" s="1">
        <v>46126</v>
      </c>
    </row>
    <row r="18" spans="1:14" x14ac:dyDescent="0.35">
      <c r="A18" t="s">
        <v>36</v>
      </c>
      <c r="B18" t="s">
        <v>28</v>
      </c>
      <c r="C18">
        <v>2026</v>
      </c>
      <c r="D18">
        <v>4</v>
      </c>
      <c r="E18">
        <v>1449</v>
      </c>
      <c r="F18">
        <v>682710.31</v>
      </c>
      <c r="G18">
        <v>676</v>
      </c>
      <c r="H18">
        <v>318598.14</v>
      </c>
      <c r="I18">
        <v>0.66410000000000002</v>
      </c>
      <c r="J18">
        <v>747</v>
      </c>
      <c r="K18">
        <v>345249.74</v>
      </c>
      <c r="L18">
        <v>108.4</v>
      </c>
      <c r="M18">
        <v>26651.599999999999</v>
      </c>
      <c r="N18" s="1">
        <v>46126</v>
      </c>
    </row>
    <row r="19" spans="1:14" x14ac:dyDescent="0.35">
      <c r="A19" t="s">
        <v>36</v>
      </c>
      <c r="B19" t="s">
        <v>35</v>
      </c>
      <c r="C19">
        <v>2026</v>
      </c>
      <c r="D19">
        <v>4</v>
      </c>
      <c r="E19">
        <v>1</v>
      </c>
      <c r="F19">
        <v>246.19</v>
      </c>
      <c r="G19">
        <v>0</v>
      </c>
      <c r="H19">
        <v>114.89</v>
      </c>
      <c r="I19">
        <v>0.81389999999999996</v>
      </c>
      <c r="J19">
        <v>0</v>
      </c>
      <c r="K19">
        <v>0</v>
      </c>
      <c r="L19">
        <v>0</v>
      </c>
      <c r="M19">
        <v>-114.89</v>
      </c>
      <c r="N19" s="1">
        <v>46126</v>
      </c>
    </row>
    <row r="20" spans="1:14" x14ac:dyDescent="0.35">
      <c r="A20" t="s">
        <v>36</v>
      </c>
      <c r="B20" t="s">
        <v>24</v>
      </c>
      <c r="C20">
        <v>2026</v>
      </c>
      <c r="D20">
        <v>4</v>
      </c>
      <c r="E20">
        <v>367</v>
      </c>
      <c r="F20">
        <v>570663.13</v>
      </c>
      <c r="G20">
        <v>171</v>
      </c>
      <c r="H20">
        <v>266309.46000000002</v>
      </c>
      <c r="I20">
        <v>0.46989999999999998</v>
      </c>
      <c r="J20">
        <v>140</v>
      </c>
      <c r="K20">
        <v>213089.11</v>
      </c>
      <c r="L20">
        <v>80</v>
      </c>
      <c r="M20">
        <v>-53220.35</v>
      </c>
      <c r="N20" s="1">
        <v>46126</v>
      </c>
    </row>
    <row r="21" spans="1:14" x14ac:dyDescent="0.35">
      <c r="A21" t="s">
        <v>36</v>
      </c>
      <c r="B21" t="s">
        <v>26</v>
      </c>
      <c r="C21">
        <v>2026</v>
      </c>
      <c r="D21">
        <v>4</v>
      </c>
      <c r="E21">
        <v>91</v>
      </c>
      <c r="F21">
        <v>81881.05</v>
      </c>
      <c r="G21">
        <v>42</v>
      </c>
      <c r="H21">
        <v>38211.160000000003</v>
      </c>
      <c r="I21">
        <v>0.41210000000000002</v>
      </c>
      <c r="J21">
        <v>40</v>
      </c>
      <c r="K21">
        <v>30861.4</v>
      </c>
      <c r="L21">
        <v>80.8</v>
      </c>
      <c r="M21">
        <v>-7349.76</v>
      </c>
      <c r="N21" s="1">
        <v>46126</v>
      </c>
    </row>
    <row r="22" spans="1:14" x14ac:dyDescent="0.35">
      <c r="A22" t="s">
        <v>23</v>
      </c>
      <c r="B22" t="s">
        <v>28</v>
      </c>
      <c r="C22">
        <v>2026</v>
      </c>
      <c r="D22">
        <v>4</v>
      </c>
      <c r="E22">
        <v>1389</v>
      </c>
      <c r="F22">
        <v>633498.91</v>
      </c>
      <c r="G22">
        <v>648</v>
      </c>
      <c r="H22">
        <v>295632.82</v>
      </c>
      <c r="I22">
        <v>0.66559999999999997</v>
      </c>
      <c r="J22">
        <v>594</v>
      </c>
      <c r="K22">
        <v>264611.28000000003</v>
      </c>
      <c r="L22">
        <v>89.5</v>
      </c>
      <c r="M22">
        <v>-31021.54</v>
      </c>
      <c r="N22" s="1">
        <v>46126</v>
      </c>
    </row>
    <row r="23" spans="1:14" x14ac:dyDescent="0.35">
      <c r="A23" t="s">
        <v>23</v>
      </c>
      <c r="B23" t="s">
        <v>35</v>
      </c>
      <c r="C23">
        <v>2026</v>
      </c>
      <c r="D23">
        <v>4</v>
      </c>
      <c r="E23">
        <v>0</v>
      </c>
      <c r="F23">
        <v>0</v>
      </c>
      <c r="G23">
        <v>0</v>
      </c>
      <c r="H23">
        <v>0</v>
      </c>
      <c r="I23">
        <v>0.81869999999999998</v>
      </c>
      <c r="J23">
        <v>0</v>
      </c>
      <c r="K23">
        <v>0</v>
      </c>
      <c r="M23">
        <v>0</v>
      </c>
      <c r="N23" s="1">
        <v>46126</v>
      </c>
    </row>
    <row r="24" spans="1:14" x14ac:dyDescent="0.35">
      <c r="A24" t="s">
        <v>23</v>
      </c>
      <c r="B24" t="s">
        <v>24</v>
      </c>
      <c r="C24">
        <v>2026</v>
      </c>
      <c r="D24">
        <v>4</v>
      </c>
      <c r="E24">
        <v>319</v>
      </c>
      <c r="F24">
        <v>394177.5</v>
      </c>
      <c r="G24">
        <v>149</v>
      </c>
      <c r="H24">
        <v>183949.5</v>
      </c>
      <c r="I24">
        <v>0.46739999999999998</v>
      </c>
      <c r="J24">
        <v>144</v>
      </c>
      <c r="K24">
        <v>192353.59</v>
      </c>
      <c r="L24">
        <v>104.6</v>
      </c>
      <c r="M24">
        <v>8404.09</v>
      </c>
      <c r="N24" s="1">
        <v>46126</v>
      </c>
    </row>
    <row r="25" spans="1:14" x14ac:dyDescent="0.35">
      <c r="A25" t="s">
        <v>23</v>
      </c>
      <c r="B25" t="s">
        <v>26</v>
      </c>
      <c r="C25">
        <v>2026</v>
      </c>
      <c r="D25">
        <v>4</v>
      </c>
      <c r="E25">
        <v>74</v>
      </c>
      <c r="F25">
        <v>44891.57</v>
      </c>
      <c r="G25">
        <v>35</v>
      </c>
      <c r="H25">
        <v>20949.400000000001</v>
      </c>
      <c r="I25">
        <v>0.41870000000000002</v>
      </c>
      <c r="J25">
        <v>36</v>
      </c>
      <c r="K25">
        <v>22036.12</v>
      </c>
      <c r="L25">
        <v>105.2</v>
      </c>
      <c r="M25">
        <v>1086.72</v>
      </c>
      <c r="N25" s="1">
        <v>46126</v>
      </c>
    </row>
    <row r="26" spans="1:14" x14ac:dyDescent="0.35">
      <c r="A26" t="s">
        <v>25</v>
      </c>
      <c r="B26" t="s">
        <v>28</v>
      </c>
      <c r="C26">
        <v>2026</v>
      </c>
      <c r="D26">
        <v>4</v>
      </c>
      <c r="E26">
        <v>1222</v>
      </c>
      <c r="F26">
        <v>631200.85</v>
      </c>
      <c r="G26">
        <v>570</v>
      </c>
      <c r="H26">
        <v>294560.40000000002</v>
      </c>
      <c r="I26">
        <v>0.66820000000000002</v>
      </c>
      <c r="J26">
        <v>521</v>
      </c>
      <c r="K26">
        <v>271384.09999999998</v>
      </c>
      <c r="L26">
        <v>92.1</v>
      </c>
      <c r="M26">
        <v>-23176.3</v>
      </c>
      <c r="N26" s="1">
        <v>46126</v>
      </c>
    </row>
    <row r="27" spans="1:14" x14ac:dyDescent="0.35">
      <c r="A27" t="s">
        <v>25</v>
      </c>
      <c r="B27" t="s">
        <v>35</v>
      </c>
      <c r="C27">
        <v>2026</v>
      </c>
      <c r="D27">
        <v>4</v>
      </c>
      <c r="E27">
        <v>0</v>
      </c>
      <c r="F27">
        <v>0</v>
      </c>
      <c r="G27">
        <v>0</v>
      </c>
      <c r="H27">
        <v>0</v>
      </c>
      <c r="I27">
        <v>0.8196</v>
      </c>
      <c r="J27">
        <v>0</v>
      </c>
      <c r="K27">
        <v>0</v>
      </c>
      <c r="M27">
        <v>0</v>
      </c>
      <c r="N27" s="1">
        <v>46126</v>
      </c>
    </row>
    <row r="28" spans="1:14" x14ac:dyDescent="0.35">
      <c r="A28" t="s">
        <v>25</v>
      </c>
      <c r="B28" t="s">
        <v>24</v>
      </c>
      <c r="C28">
        <v>2026</v>
      </c>
      <c r="D28">
        <v>4</v>
      </c>
      <c r="E28">
        <v>434</v>
      </c>
      <c r="F28">
        <v>653914.81000000006</v>
      </c>
      <c r="G28">
        <v>203</v>
      </c>
      <c r="H28">
        <v>305160.24</v>
      </c>
      <c r="I28">
        <v>0.46050000000000002</v>
      </c>
      <c r="J28">
        <v>207</v>
      </c>
      <c r="K28">
        <v>294163.08</v>
      </c>
      <c r="L28">
        <v>96.4</v>
      </c>
      <c r="M28">
        <v>-10997.16</v>
      </c>
      <c r="N28" s="1">
        <v>46126</v>
      </c>
    </row>
    <row r="29" spans="1:14" x14ac:dyDescent="0.35">
      <c r="A29" t="s">
        <v>25</v>
      </c>
      <c r="B29" t="s">
        <v>26</v>
      </c>
      <c r="C29">
        <v>2026</v>
      </c>
      <c r="D29">
        <v>4</v>
      </c>
      <c r="E29">
        <v>132</v>
      </c>
      <c r="F29">
        <v>100654.01</v>
      </c>
      <c r="G29">
        <v>62</v>
      </c>
      <c r="H29">
        <v>46971.87</v>
      </c>
      <c r="I29">
        <v>0.41549999999999998</v>
      </c>
      <c r="J29">
        <v>41</v>
      </c>
      <c r="K29">
        <v>31509.19</v>
      </c>
      <c r="L29">
        <v>67.099999999999994</v>
      </c>
      <c r="M29">
        <v>-15462.68</v>
      </c>
      <c r="N29" s="1">
        <v>46126</v>
      </c>
    </row>
    <row r="30" spans="1:14" x14ac:dyDescent="0.35">
      <c r="A30" t="s">
        <v>29</v>
      </c>
      <c r="B30" t="s">
        <v>28</v>
      </c>
      <c r="C30">
        <v>2026</v>
      </c>
      <c r="D30">
        <v>4</v>
      </c>
      <c r="E30">
        <v>1946</v>
      </c>
      <c r="F30">
        <v>938343.98</v>
      </c>
      <c r="G30">
        <v>908</v>
      </c>
      <c r="H30">
        <v>437893.86</v>
      </c>
      <c r="I30">
        <v>0.66259999999999997</v>
      </c>
      <c r="J30">
        <v>912</v>
      </c>
      <c r="K30">
        <v>438229.2</v>
      </c>
      <c r="L30">
        <v>100.1</v>
      </c>
      <c r="M30">
        <v>335.34</v>
      </c>
      <c r="N30" s="1">
        <v>46126</v>
      </c>
    </row>
    <row r="31" spans="1:14" x14ac:dyDescent="0.35">
      <c r="A31" t="s">
        <v>29</v>
      </c>
      <c r="B31" t="s">
        <v>35</v>
      </c>
      <c r="C31">
        <v>2026</v>
      </c>
      <c r="D31">
        <v>4</v>
      </c>
      <c r="E31">
        <v>0</v>
      </c>
      <c r="F31">
        <v>0</v>
      </c>
      <c r="G31">
        <v>0</v>
      </c>
      <c r="H31">
        <v>0</v>
      </c>
      <c r="I31">
        <v>0.81699999999999995</v>
      </c>
      <c r="J31">
        <v>0</v>
      </c>
      <c r="K31">
        <v>0</v>
      </c>
      <c r="M31">
        <v>0</v>
      </c>
      <c r="N31" s="1">
        <v>46126</v>
      </c>
    </row>
    <row r="32" spans="1:14" x14ac:dyDescent="0.35">
      <c r="A32" t="s">
        <v>29</v>
      </c>
      <c r="B32" t="s">
        <v>24</v>
      </c>
      <c r="C32">
        <v>2026</v>
      </c>
      <c r="D32">
        <v>4</v>
      </c>
      <c r="E32">
        <v>312</v>
      </c>
      <c r="F32">
        <v>588344.82999999996</v>
      </c>
      <c r="G32">
        <v>146</v>
      </c>
      <c r="H32">
        <v>274560.92</v>
      </c>
      <c r="I32">
        <v>0.46239999999999998</v>
      </c>
      <c r="J32">
        <v>123</v>
      </c>
      <c r="K32">
        <v>205965.52</v>
      </c>
      <c r="L32">
        <v>75</v>
      </c>
      <c r="M32">
        <v>-68595.399999999994</v>
      </c>
      <c r="N32" s="1">
        <v>46126</v>
      </c>
    </row>
    <row r="33" spans="1:14" x14ac:dyDescent="0.35">
      <c r="A33" t="s">
        <v>29</v>
      </c>
      <c r="B33" t="s">
        <v>26</v>
      </c>
      <c r="C33">
        <v>2026</v>
      </c>
      <c r="D33">
        <v>4</v>
      </c>
      <c r="E33">
        <v>68</v>
      </c>
      <c r="F33">
        <v>44412.43</v>
      </c>
      <c r="G33">
        <v>32</v>
      </c>
      <c r="H33">
        <v>20725.8</v>
      </c>
      <c r="I33">
        <v>0.42</v>
      </c>
      <c r="J33">
        <v>29</v>
      </c>
      <c r="K33">
        <v>23498.46</v>
      </c>
      <c r="L33">
        <v>113.4</v>
      </c>
      <c r="M33">
        <v>2772.66</v>
      </c>
      <c r="N33" s="1">
        <v>46126</v>
      </c>
    </row>
    <row r="34" spans="1:14" x14ac:dyDescent="0.35">
      <c r="A34" t="s">
        <v>31</v>
      </c>
      <c r="B34" t="s">
        <v>28</v>
      </c>
      <c r="C34">
        <v>2026</v>
      </c>
      <c r="D34">
        <v>4</v>
      </c>
      <c r="E34">
        <v>2034</v>
      </c>
      <c r="F34">
        <v>925985.91</v>
      </c>
      <c r="G34">
        <v>949</v>
      </c>
      <c r="H34">
        <v>432126.76</v>
      </c>
      <c r="I34">
        <v>0.66469999999999996</v>
      </c>
      <c r="J34">
        <v>1009</v>
      </c>
      <c r="K34">
        <v>463908.32</v>
      </c>
      <c r="L34">
        <v>107.4</v>
      </c>
      <c r="M34">
        <v>31781.56</v>
      </c>
      <c r="N34" s="1">
        <v>46126</v>
      </c>
    </row>
    <row r="35" spans="1:14" x14ac:dyDescent="0.35">
      <c r="A35" t="s">
        <v>31</v>
      </c>
      <c r="B35" t="s">
        <v>35</v>
      </c>
      <c r="C35">
        <v>2026</v>
      </c>
      <c r="D35">
        <v>4</v>
      </c>
      <c r="E35">
        <v>4</v>
      </c>
      <c r="F35">
        <v>1453.22</v>
      </c>
      <c r="G35">
        <v>2</v>
      </c>
      <c r="H35">
        <v>678.17</v>
      </c>
      <c r="I35">
        <v>0.81969999999999998</v>
      </c>
      <c r="J35">
        <v>0</v>
      </c>
      <c r="K35">
        <v>0</v>
      </c>
      <c r="L35">
        <v>0</v>
      </c>
      <c r="M35">
        <v>-678.17</v>
      </c>
      <c r="N35" s="1">
        <v>46126</v>
      </c>
    </row>
    <row r="36" spans="1:14" x14ac:dyDescent="0.35">
      <c r="A36" t="s">
        <v>31</v>
      </c>
      <c r="B36" t="s">
        <v>24</v>
      </c>
      <c r="C36">
        <v>2026</v>
      </c>
      <c r="D36">
        <v>4</v>
      </c>
      <c r="E36">
        <v>510</v>
      </c>
      <c r="F36">
        <v>728993.2</v>
      </c>
      <c r="G36">
        <v>238</v>
      </c>
      <c r="H36">
        <v>340196.83</v>
      </c>
      <c r="I36">
        <v>0.46729999999999999</v>
      </c>
      <c r="J36">
        <v>176</v>
      </c>
      <c r="K36">
        <v>247326.04</v>
      </c>
      <c r="L36">
        <v>72.7</v>
      </c>
      <c r="M36">
        <v>-92870.79</v>
      </c>
      <c r="N36" s="1">
        <v>46126</v>
      </c>
    </row>
    <row r="37" spans="1:14" x14ac:dyDescent="0.35">
      <c r="A37" t="s">
        <v>31</v>
      </c>
      <c r="B37" t="s">
        <v>26</v>
      </c>
      <c r="C37">
        <v>2026</v>
      </c>
      <c r="D37">
        <v>4</v>
      </c>
      <c r="E37">
        <v>81</v>
      </c>
      <c r="F37">
        <v>58081.9</v>
      </c>
      <c r="G37">
        <v>38</v>
      </c>
      <c r="H37">
        <v>27104.89</v>
      </c>
      <c r="I37">
        <v>0.41289999999999999</v>
      </c>
      <c r="J37">
        <v>24</v>
      </c>
      <c r="K37">
        <v>17614.12</v>
      </c>
      <c r="L37">
        <v>65</v>
      </c>
      <c r="M37">
        <v>-9490.77</v>
      </c>
      <c r="N37" s="1">
        <v>46126</v>
      </c>
    </row>
    <row r="38" spans="1:14" x14ac:dyDescent="0.35">
      <c r="A38" t="s">
        <v>30</v>
      </c>
      <c r="B38" t="s">
        <v>28</v>
      </c>
      <c r="C38">
        <v>2026</v>
      </c>
      <c r="D38">
        <v>4</v>
      </c>
      <c r="E38">
        <v>1273</v>
      </c>
      <c r="F38">
        <v>527312.16</v>
      </c>
      <c r="G38">
        <v>594</v>
      </c>
      <c r="H38">
        <v>246079.01</v>
      </c>
      <c r="I38">
        <v>0.66069999999999995</v>
      </c>
      <c r="J38">
        <v>713</v>
      </c>
      <c r="K38">
        <v>292874.58</v>
      </c>
      <c r="L38">
        <v>119</v>
      </c>
      <c r="M38">
        <v>46795.57</v>
      </c>
      <c r="N38" s="1">
        <v>46126</v>
      </c>
    </row>
    <row r="39" spans="1:14" x14ac:dyDescent="0.35">
      <c r="A39" t="s">
        <v>30</v>
      </c>
      <c r="B39" t="s">
        <v>35</v>
      </c>
      <c r="C39">
        <v>2026</v>
      </c>
      <c r="D39">
        <v>4</v>
      </c>
      <c r="E39">
        <v>0</v>
      </c>
      <c r="F39">
        <v>0</v>
      </c>
      <c r="G39">
        <v>0</v>
      </c>
      <c r="H39">
        <v>0</v>
      </c>
      <c r="I39">
        <v>0.81369999999999998</v>
      </c>
      <c r="J39">
        <v>0</v>
      </c>
      <c r="K39">
        <v>0</v>
      </c>
      <c r="M39">
        <v>0</v>
      </c>
      <c r="N39" s="1">
        <v>46126</v>
      </c>
    </row>
    <row r="40" spans="1:14" x14ac:dyDescent="0.35">
      <c r="A40" t="s">
        <v>30</v>
      </c>
      <c r="B40" t="s">
        <v>24</v>
      </c>
      <c r="C40">
        <v>2026</v>
      </c>
      <c r="D40">
        <v>4</v>
      </c>
      <c r="E40">
        <v>473</v>
      </c>
      <c r="F40">
        <v>846506.78</v>
      </c>
      <c r="G40">
        <v>221</v>
      </c>
      <c r="H40">
        <v>395036.5</v>
      </c>
      <c r="I40">
        <v>0.46060000000000001</v>
      </c>
      <c r="J40">
        <v>204</v>
      </c>
      <c r="K40">
        <v>374140.27</v>
      </c>
      <c r="L40">
        <v>94.7</v>
      </c>
      <c r="M40">
        <v>-20896.23</v>
      </c>
      <c r="N40" s="1">
        <v>46126</v>
      </c>
    </row>
    <row r="41" spans="1:14" x14ac:dyDescent="0.35">
      <c r="A41" t="s">
        <v>30</v>
      </c>
      <c r="B41" t="s">
        <v>26</v>
      </c>
      <c r="C41">
        <v>2026</v>
      </c>
      <c r="D41">
        <v>4</v>
      </c>
      <c r="E41">
        <v>69</v>
      </c>
      <c r="F41">
        <v>56010.37</v>
      </c>
      <c r="G41">
        <v>32</v>
      </c>
      <c r="H41">
        <v>26138.17</v>
      </c>
      <c r="I41">
        <v>0.41789999999999999</v>
      </c>
      <c r="J41">
        <v>43</v>
      </c>
      <c r="K41">
        <v>35485.660000000003</v>
      </c>
      <c r="L41">
        <v>135.80000000000001</v>
      </c>
      <c r="M41">
        <v>9347.49</v>
      </c>
      <c r="N41" s="1">
        <v>46126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1DD014-A362-4D87-8E7B-91821AC19352}">
  <dimension ref="A1:U2174"/>
  <sheetViews>
    <sheetView tabSelected="1" zoomScale="85" zoomScaleNormal="85" workbookViewId="0">
      <selection sqref="A1:U4"/>
    </sheetView>
  </sheetViews>
  <sheetFormatPr defaultRowHeight="14.5" x14ac:dyDescent="0.35"/>
  <cols>
    <col min="1" max="1" width="6.7265625" bestFit="1" customWidth="1"/>
    <col min="3" max="3" width="9.453125" bestFit="1" customWidth="1"/>
    <col min="4" max="4" width="13.7265625" bestFit="1" customWidth="1"/>
    <col min="5" max="6" width="11.08984375" bestFit="1" customWidth="1"/>
    <col min="7" max="7" width="10.54296875" bestFit="1" customWidth="1"/>
    <col min="8" max="8" width="8.54296875" bestFit="1" customWidth="1"/>
    <col min="9" max="9" width="11.1796875" bestFit="1" customWidth="1"/>
    <col min="10" max="10" width="12.1796875" bestFit="1" customWidth="1"/>
    <col min="11" max="11" width="9.6328125" bestFit="1" customWidth="1"/>
    <col min="12" max="12" width="15.36328125" bestFit="1" customWidth="1"/>
    <col min="13" max="13" width="16.36328125" bestFit="1" customWidth="1"/>
    <col min="14" max="14" width="14.54296875" customWidth="1"/>
    <col min="15" max="15" width="11.54296875" bestFit="1" customWidth="1"/>
    <col min="16" max="16" width="13.1796875" bestFit="1" customWidth="1"/>
    <col min="17" max="17" width="14.26953125" bestFit="1" customWidth="1"/>
    <col min="18" max="18" width="15.26953125" bestFit="1" customWidth="1"/>
    <col min="19" max="19" width="16.6328125" bestFit="1" customWidth="1"/>
    <col min="20" max="20" width="15" bestFit="1" customWidth="1"/>
    <col min="21" max="21" width="17.08984375" bestFit="1" customWidth="1"/>
  </cols>
  <sheetData>
    <row r="1" spans="1:21" x14ac:dyDescent="0.35">
      <c r="A1" t="s">
        <v>12</v>
      </c>
      <c r="B1" t="s">
        <v>13</v>
      </c>
      <c r="C1" t="s">
        <v>92</v>
      </c>
      <c r="D1" t="s">
        <v>93</v>
      </c>
      <c r="E1" t="s">
        <v>10</v>
      </c>
      <c r="F1" t="s">
        <v>11</v>
      </c>
      <c r="G1" t="s">
        <v>94</v>
      </c>
      <c r="H1" t="s">
        <v>95</v>
      </c>
      <c r="I1" t="s">
        <v>96</v>
      </c>
      <c r="J1" t="s">
        <v>97</v>
      </c>
      <c r="K1" t="s">
        <v>98</v>
      </c>
      <c r="L1" t="s">
        <v>99</v>
      </c>
      <c r="M1" t="s">
        <v>100</v>
      </c>
      <c r="N1" t="s">
        <v>101</v>
      </c>
      <c r="O1" t="s">
        <v>102</v>
      </c>
      <c r="P1" t="s">
        <v>103</v>
      </c>
      <c r="Q1" t="s">
        <v>7</v>
      </c>
      <c r="R1" t="s">
        <v>104</v>
      </c>
      <c r="S1" t="s">
        <v>105</v>
      </c>
      <c r="T1" t="s">
        <v>106</v>
      </c>
      <c r="U1" t="s">
        <v>5</v>
      </c>
    </row>
    <row r="2" spans="1:21" x14ac:dyDescent="0.35">
      <c r="A2">
        <v>2024</v>
      </c>
      <c r="B2">
        <v>1</v>
      </c>
      <c r="C2">
        <v>1</v>
      </c>
      <c r="D2" s="1">
        <v>45292</v>
      </c>
      <c r="E2" s="4" t="s">
        <v>33</v>
      </c>
      <c r="F2" s="4" t="s">
        <v>28</v>
      </c>
      <c r="G2" s="4" t="s">
        <v>107</v>
      </c>
      <c r="H2">
        <v>82</v>
      </c>
      <c r="I2">
        <v>111</v>
      </c>
      <c r="J2">
        <v>0</v>
      </c>
      <c r="K2">
        <v>111</v>
      </c>
      <c r="L2">
        <v>35203.86</v>
      </c>
      <c r="M2">
        <v>0</v>
      </c>
      <c r="N2">
        <v>35203.86</v>
      </c>
      <c r="O2">
        <v>12728.1</v>
      </c>
      <c r="P2">
        <v>22475.759999999998</v>
      </c>
      <c r="Q2">
        <v>0.63839999999999997</v>
      </c>
      <c r="R2">
        <v>9</v>
      </c>
      <c r="S2">
        <v>4516.8599999999997</v>
      </c>
      <c r="T2">
        <v>0</v>
      </c>
      <c r="U2">
        <v>429.32</v>
      </c>
    </row>
    <row r="3" spans="1:21" x14ac:dyDescent="0.35">
      <c r="A3">
        <v>2024</v>
      </c>
      <c r="B3">
        <v>1</v>
      </c>
      <c r="C3">
        <v>1</v>
      </c>
      <c r="D3" s="1">
        <v>45292</v>
      </c>
      <c r="E3" s="4" t="s">
        <v>33</v>
      </c>
      <c r="F3" s="4" t="s">
        <v>28</v>
      </c>
      <c r="G3" s="4" t="s">
        <v>108</v>
      </c>
      <c r="H3">
        <v>33</v>
      </c>
      <c r="I3">
        <v>56</v>
      </c>
      <c r="J3">
        <v>0</v>
      </c>
      <c r="K3">
        <v>56</v>
      </c>
      <c r="L3">
        <v>37828.559999999998</v>
      </c>
      <c r="M3">
        <v>0</v>
      </c>
      <c r="N3">
        <v>37828.559999999998</v>
      </c>
      <c r="O3">
        <v>13955.2</v>
      </c>
      <c r="P3">
        <v>23873.360000000001</v>
      </c>
      <c r="Q3">
        <v>0.63109999999999999</v>
      </c>
      <c r="R3">
        <v>8</v>
      </c>
      <c r="S3">
        <v>11484.56</v>
      </c>
      <c r="T3">
        <v>0</v>
      </c>
      <c r="U3">
        <v>1146.32</v>
      </c>
    </row>
    <row r="4" spans="1:21" x14ac:dyDescent="0.35">
      <c r="A4">
        <v>2024</v>
      </c>
      <c r="B4">
        <v>1</v>
      </c>
      <c r="C4">
        <v>1</v>
      </c>
      <c r="D4" s="1">
        <v>45292</v>
      </c>
      <c r="E4" s="4" t="s">
        <v>33</v>
      </c>
      <c r="F4" s="4" t="s">
        <v>28</v>
      </c>
      <c r="G4" s="4" t="s">
        <v>109</v>
      </c>
      <c r="H4">
        <v>471</v>
      </c>
      <c r="I4">
        <v>739</v>
      </c>
      <c r="J4">
        <v>0</v>
      </c>
      <c r="K4">
        <v>739</v>
      </c>
      <c r="L4">
        <v>379438.81</v>
      </c>
      <c r="M4">
        <v>0</v>
      </c>
      <c r="N4">
        <v>379438.81</v>
      </c>
      <c r="O4">
        <v>137800.95000000001</v>
      </c>
      <c r="P4">
        <v>241637.86</v>
      </c>
      <c r="Q4">
        <v>0.63680000000000003</v>
      </c>
      <c r="R4">
        <v>64</v>
      </c>
      <c r="S4">
        <v>58189.81</v>
      </c>
      <c r="T4">
        <v>0</v>
      </c>
      <c r="U4">
        <v>805.6</v>
      </c>
    </row>
    <row r="5" spans="1:21" x14ac:dyDescent="0.35">
      <c r="A5">
        <v>2024</v>
      </c>
      <c r="B5">
        <v>1</v>
      </c>
      <c r="C5">
        <v>1</v>
      </c>
      <c r="D5" s="1">
        <v>45292</v>
      </c>
      <c r="E5" s="4" t="s">
        <v>33</v>
      </c>
      <c r="F5" s="4" t="s">
        <v>24</v>
      </c>
      <c r="G5" s="4" t="s">
        <v>107</v>
      </c>
      <c r="H5">
        <v>13</v>
      </c>
      <c r="I5">
        <v>21</v>
      </c>
      <c r="J5">
        <v>0</v>
      </c>
      <c r="K5">
        <v>21</v>
      </c>
      <c r="L5">
        <v>34771.42</v>
      </c>
      <c r="M5">
        <v>0</v>
      </c>
      <c r="N5">
        <v>34771.42</v>
      </c>
      <c r="O5">
        <v>19754.349999999999</v>
      </c>
      <c r="P5">
        <v>15017.07</v>
      </c>
      <c r="Q5">
        <v>0.43190000000000001</v>
      </c>
      <c r="R5">
        <v>2</v>
      </c>
      <c r="S5">
        <v>3512.42</v>
      </c>
      <c r="T5">
        <v>0</v>
      </c>
      <c r="U5">
        <v>2674.72</v>
      </c>
    </row>
    <row r="6" spans="1:21" x14ac:dyDescent="0.35">
      <c r="A6">
        <v>2024</v>
      </c>
      <c r="B6">
        <v>1</v>
      </c>
      <c r="C6">
        <v>1</v>
      </c>
      <c r="D6" s="1">
        <v>45292</v>
      </c>
      <c r="E6" s="4" t="s">
        <v>33</v>
      </c>
      <c r="F6" s="4" t="s">
        <v>24</v>
      </c>
      <c r="G6" s="4" t="s">
        <v>109</v>
      </c>
      <c r="H6">
        <v>99</v>
      </c>
      <c r="I6">
        <v>152</v>
      </c>
      <c r="J6">
        <v>3</v>
      </c>
      <c r="K6">
        <v>149</v>
      </c>
      <c r="L6">
        <v>250359.55</v>
      </c>
      <c r="M6">
        <v>3767</v>
      </c>
      <c r="N6">
        <v>246592.55</v>
      </c>
      <c r="O6">
        <v>138466.9</v>
      </c>
      <c r="P6">
        <v>108125.65</v>
      </c>
      <c r="Q6">
        <v>0.4385</v>
      </c>
      <c r="R6">
        <v>8</v>
      </c>
      <c r="S6">
        <v>23327.55</v>
      </c>
      <c r="T6">
        <v>0</v>
      </c>
      <c r="U6">
        <v>2490.83</v>
      </c>
    </row>
    <row r="7" spans="1:21" x14ac:dyDescent="0.35">
      <c r="A7">
        <v>2024</v>
      </c>
      <c r="B7">
        <v>1</v>
      </c>
      <c r="C7">
        <v>1</v>
      </c>
      <c r="D7" s="1">
        <v>45292</v>
      </c>
      <c r="E7" s="4" t="s">
        <v>33</v>
      </c>
      <c r="F7" s="4" t="s">
        <v>26</v>
      </c>
      <c r="G7" s="4" t="s">
        <v>107</v>
      </c>
      <c r="H7">
        <v>1</v>
      </c>
      <c r="I7">
        <v>2</v>
      </c>
      <c r="J7">
        <v>0</v>
      </c>
      <c r="K7">
        <v>2</v>
      </c>
      <c r="L7">
        <v>1162</v>
      </c>
      <c r="M7">
        <v>0</v>
      </c>
      <c r="N7">
        <v>1162</v>
      </c>
      <c r="O7">
        <v>697.2</v>
      </c>
      <c r="P7">
        <v>464.8</v>
      </c>
      <c r="Q7">
        <v>0.4</v>
      </c>
      <c r="R7">
        <v>0</v>
      </c>
      <c r="S7">
        <v>0</v>
      </c>
      <c r="T7">
        <v>0</v>
      </c>
      <c r="U7">
        <v>1162</v>
      </c>
    </row>
    <row r="8" spans="1:21" x14ac:dyDescent="0.35">
      <c r="A8">
        <v>2024</v>
      </c>
      <c r="B8">
        <v>1</v>
      </c>
      <c r="C8">
        <v>1</v>
      </c>
      <c r="D8" s="1">
        <v>45292</v>
      </c>
      <c r="E8" s="4" t="s">
        <v>33</v>
      </c>
      <c r="F8" s="4" t="s">
        <v>26</v>
      </c>
      <c r="G8" s="4" t="s">
        <v>108</v>
      </c>
      <c r="H8">
        <v>5</v>
      </c>
      <c r="I8">
        <v>5</v>
      </c>
      <c r="J8">
        <v>0</v>
      </c>
      <c r="K8">
        <v>5</v>
      </c>
      <c r="L8">
        <v>4375</v>
      </c>
      <c r="M8">
        <v>0</v>
      </c>
      <c r="N8">
        <v>4375</v>
      </c>
      <c r="O8">
        <v>2625</v>
      </c>
      <c r="P8">
        <v>1750</v>
      </c>
      <c r="Q8">
        <v>0.4</v>
      </c>
      <c r="R8">
        <v>0</v>
      </c>
      <c r="S8">
        <v>0</v>
      </c>
      <c r="T8">
        <v>0</v>
      </c>
      <c r="U8">
        <v>875</v>
      </c>
    </row>
    <row r="9" spans="1:21" x14ac:dyDescent="0.35">
      <c r="A9">
        <v>2024</v>
      </c>
      <c r="B9">
        <v>1</v>
      </c>
      <c r="C9">
        <v>1</v>
      </c>
      <c r="D9" s="1">
        <v>45292</v>
      </c>
      <c r="E9" s="4" t="s">
        <v>33</v>
      </c>
      <c r="F9" s="4" t="s">
        <v>26</v>
      </c>
      <c r="G9" s="4" t="s">
        <v>109</v>
      </c>
      <c r="H9">
        <v>41</v>
      </c>
      <c r="I9">
        <v>55</v>
      </c>
      <c r="J9">
        <v>1</v>
      </c>
      <c r="K9">
        <v>54</v>
      </c>
      <c r="L9">
        <v>43424.639999999999</v>
      </c>
      <c r="M9">
        <v>595</v>
      </c>
      <c r="N9">
        <v>42829.64</v>
      </c>
      <c r="O9">
        <v>26136</v>
      </c>
      <c r="P9">
        <v>16693.64</v>
      </c>
      <c r="Q9">
        <v>0.38979999999999998</v>
      </c>
      <c r="R9">
        <v>4</v>
      </c>
      <c r="S9">
        <v>3931.64</v>
      </c>
      <c r="T9">
        <v>0</v>
      </c>
      <c r="U9">
        <v>1044.6300000000001</v>
      </c>
    </row>
    <row r="10" spans="1:21" x14ac:dyDescent="0.35">
      <c r="A10">
        <v>2024</v>
      </c>
      <c r="B10">
        <v>1</v>
      </c>
      <c r="C10">
        <v>1</v>
      </c>
      <c r="D10" s="1">
        <v>45292</v>
      </c>
      <c r="E10" s="4" t="s">
        <v>32</v>
      </c>
      <c r="F10" s="4" t="s">
        <v>28</v>
      </c>
      <c r="G10" s="4" t="s">
        <v>107</v>
      </c>
      <c r="H10">
        <v>22</v>
      </c>
      <c r="I10">
        <v>34</v>
      </c>
      <c r="J10">
        <v>0</v>
      </c>
      <c r="K10">
        <v>34</v>
      </c>
      <c r="L10">
        <v>14850.34</v>
      </c>
      <c r="M10">
        <v>0</v>
      </c>
      <c r="N10">
        <v>14850.34</v>
      </c>
      <c r="O10">
        <v>5402.6</v>
      </c>
      <c r="P10">
        <v>9447.74</v>
      </c>
      <c r="Q10">
        <v>0.63619999999999999</v>
      </c>
      <c r="R10">
        <v>2</v>
      </c>
      <c r="S10">
        <v>1230.3399999999999</v>
      </c>
      <c r="T10">
        <v>0</v>
      </c>
      <c r="U10">
        <v>675.02</v>
      </c>
    </row>
    <row r="11" spans="1:21" x14ac:dyDescent="0.35">
      <c r="A11">
        <v>2024</v>
      </c>
      <c r="B11">
        <v>1</v>
      </c>
      <c r="C11">
        <v>1</v>
      </c>
      <c r="D11" s="1">
        <v>45292</v>
      </c>
      <c r="E11" s="4" t="s">
        <v>32</v>
      </c>
      <c r="F11" s="4" t="s">
        <v>28</v>
      </c>
      <c r="G11" s="4" t="s">
        <v>109</v>
      </c>
      <c r="H11">
        <v>383</v>
      </c>
      <c r="I11">
        <v>569</v>
      </c>
      <c r="J11">
        <v>0</v>
      </c>
      <c r="K11">
        <v>569</v>
      </c>
      <c r="L11">
        <v>210042.58</v>
      </c>
      <c r="M11">
        <v>0</v>
      </c>
      <c r="N11">
        <v>210042.58</v>
      </c>
      <c r="O11">
        <v>76081.600000000006</v>
      </c>
      <c r="P11">
        <v>133960.98000000001</v>
      </c>
      <c r="Q11">
        <v>0.63780000000000003</v>
      </c>
      <c r="R11">
        <v>55</v>
      </c>
      <c r="S11">
        <v>30892.68</v>
      </c>
      <c r="T11">
        <v>0</v>
      </c>
      <c r="U11">
        <v>548.41</v>
      </c>
    </row>
    <row r="12" spans="1:21" x14ac:dyDescent="0.35">
      <c r="A12">
        <v>2024</v>
      </c>
      <c r="B12">
        <v>1</v>
      </c>
      <c r="C12">
        <v>1</v>
      </c>
      <c r="D12" s="1">
        <v>45292</v>
      </c>
      <c r="E12" s="4" t="s">
        <v>32</v>
      </c>
      <c r="F12" s="4" t="s">
        <v>24</v>
      </c>
      <c r="G12" s="4" t="s">
        <v>107</v>
      </c>
      <c r="H12">
        <v>26</v>
      </c>
      <c r="I12">
        <v>42</v>
      </c>
      <c r="J12">
        <v>1</v>
      </c>
      <c r="K12">
        <v>41</v>
      </c>
      <c r="L12">
        <v>60055.68</v>
      </c>
      <c r="M12">
        <v>1131</v>
      </c>
      <c r="N12">
        <v>58924.68</v>
      </c>
      <c r="O12">
        <v>33135.300000000003</v>
      </c>
      <c r="P12">
        <v>25789.38</v>
      </c>
      <c r="Q12">
        <v>0.43769999999999998</v>
      </c>
      <c r="R12">
        <v>3</v>
      </c>
      <c r="S12">
        <v>7276.68</v>
      </c>
      <c r="T12">
        <v>0</v>
      </c>
      <c r="U12">
        <v>2266.33</v>
      </c>
    </row>
    <row r="13" spans="1:21" x14ac:dyDescent="0.35">
      <c r="A13">
        <v>2024</v>
      </c>
      <c r="B13">
        <v>1</v>
      </c>
      <c r="C13">
        <v>1</v>
      </c>
      <c r="D13" s="1">
        <v>45292</v>
      </c>
      <c r="E13" s="4" t="s">
        <v>32</v>
      </c>
      <c r="F13" s="4" t="s">
        <v>24</v>
      </c>
      <c r="G13" s="4" t="s">
        <v>109</v>
      </c>
      <c r="H13">
        <v>113</v>
      </c>
      <c r="I13">
        <v>164</v>
      </c>
      <c r="J13">
        <v>5</v>
      </c>
      <c r="K13">
        <v>159</v>
      </c>
      <c r="L13">
        <v>208112.09</v>
      </c>
      <c r="M13">
        <v>7336</v>
      </c>
      <c r="N13">
        <v>200776.09</v>
      </c>
      <c r="O13">
        <v>115261.3</v>
      </c>
      <c r="P13">
        <v>85514.79</v>
      </c>
      <c r="Q13">
        <v>0.4259</v>
      </c>
      <c r="R13">
        <v>14</v>
      </c>
      <c r="S13">
        <v>27776.09</v>
      </c>
      <c r="T13">
        <v>0</v>
      </c>
      <c r="U13">
        <v>1776.78</v>
      </c>
    </row>
    <row r="14" spans="1:21" x14ac:dyDescent="0.35">
      <c r="A14">
        <v>2024</v>
      </c>
      <c r="B14">
        <v>1</v>
      </c>
      <c r="C14">
        <v>1</v>
      </c>
      <c r="D14" s="1">
        <v>45292</v>
      </c>
      <c r="E14" s="4" t="s">
        <v>32</v>
      </c>
      <c r="F14" s="4" t="s">
        <v>26</v>
      </c>
      <c r="G14" s="4" t="s">
        <v>108</v>
      </c>
      <c r="H14">
        <v>3</v>
      </c>
      <c r="I14">
        <v>6</v>
      </c>
      <c r="J14">
        <v>0</v>
      </c>
      <c r="K14">
        <v>6</v>
      </c>
      <c r="L14">
        <v>1988.85</v>
      </c>
      <c r="M14">
        <v>0</v>
      </c>
      <c r="N14">
        <v>1988.85</v>
      </c>
      <c r="O14">
        <v>1134</v>
      </c>
      <c r="P14">
        <v>854.85</v>
      </c>
      <c r="Q14">
        <v>0.42980000000000002</v>
      </c>
      <c r="R14">
        <v>0</v>
      </c>
      <c r="S14">
        <v>0</v>
      </c>
      <c r="T14">
        <v>0</v>
      </c>
      <c r="U14">
        <v>662.95</v>
      </c>
    </row>
    <row r="15" spans="1:21" x14ac:dyDescent="0.35">
      <c r="A15">
        <v>2024</v>
      </c>
      <c r="B15">
        <v>1</v>
      </c>
      <c r="C15">
        <v>1</v>
      </c>
      <c r="D15" s="1">
        <v>45292</v>
      </c>
      <c r="E15" s="4" t="s">
        <v>32</v>
      </c>
      <c r="F15" s="4" t="s">
        <v>26</v>
      </c>
      <c r="G15" s="4" t="s">
        <v>109</v>
      </c>
      <c r="H15">
        <v>32</v>
      </c>
      <c r="I15">
        <v>48</v>
      </c>
      <c r="J15">
        <v>2</v>
      </c>
      <c r="K15">
        <v>46</v>
      </c>
      <c r="L15">
        <v>30837.46</v>
      </c>
      <c r="M15">
        <v>1542</v>
      </c>
      <c r="N15">
        <v>29295.46</v>
      </c>
      <c r="O15">
        <v>18324</v>
      </c>
      <c r="P15">
        <v>10971.46</v>
      </c>
      <c r="Q15">
        <v>0.3745</v>
      </c>
      <c r="R15">
        <v>4</v>
      </c>
      <c r="S15">
        <v>7255.46</v>
      </c>
      <c r="T15">
        <v>0</v>
      </c>
      <c r="U15">
        <v>915.48</v>
      </c>
    </row>
    <row r="16" spans="1:21" x14ac:dyDescent="0.35">
      <c r="A16">
        <v>2024</v>
      </c>
      <c r="B16">
        <v>1</v>
      </c>
      <c r="C16">
        <v>1</v>
      </c>
      <c r="D16" s="1">
        <v>45292</v>
      </c>
      <c r="E16" s="4" t="s">
        <v>27</v>
      </c>
      <c r="F16" s="4" t="s">
        <v>28</v>
      </c>
      <c r="G16" s="4" t="s">
        <v>107</v>
      </c>
      <c r="H16">
        <v>200</v>
      </c>
      <c r="I16">
        <v>305</v>
      </c>
      <c r="J16">
        <v>0</v>
      </c>
      <c r="K16">
        <v>305</v>
      </c>
      <c r="L16">
        <v>135473.42000000001</v>
      </c>
      <c r="M16">
        <v>0</v>
      </c>
      <c r="N16">
        <v>135473.42000000001</v>
      </c>
      <c r="O16">
        <v>48960.1</v>
      </c>
      <c r="P16">
        <v>86513.32</v>
      </c>
      <c r="Q16">
        <v>0.63859999999999995</v>
      </c>
      <c r="R16">
        <v>24</v>
      </c>
      <c r="S16">
        <v>16493.419999999998</v>
      </c>
      <c r="T16">
        <v>0</v>
      </c>
      <c r="U16">
        <v>677.37</v>
      </c>
    </row>
    <row r="17" spans="1:21" x14ac:dyDescent="0.35">
      <c r="A17">
        <v>2024</v>
      </c>
      <c r="B17">
        <v>1</v>
      </c>
      <c r="C17">
        <v>1</v>
      </c>
      <c r="D17" s="1">
        <v>45292</v>
      </c>
      <c r="E17" s="4" t="s">
        <v>27</v>
      </c>
      <c r="F17" s="4" t="s">
        <v>28</v>
      </c>
      <c r="G17" s="4" t="s">
        <v>109</v>
      </c>
      <c r="H17">
        <v>551</v>
      </c>
      <c r="I17">
        <v>818</v>
      </c>
      <c r="J17">
        <v>0</v>
      </c>
      <c r="K17">
        <v>818</v>
      </c>
      <c r="L17">
        <v>423520.95</v>
      </c>
      <c r="M17">
        <v>0</v>
      </c>
      <c r="N17">
        <v>423520.95</v>
      </c>
      <c r="O17">
        <v>153837.6</v>
      </c>
      <c r="P17">
        <v>269683.34999999998</v>
      </c>
      <c r="Q17">
        <v>0.63680000000000003</v>
      </c>
      <c r="R17">
        <v>68</v>
      </c>
      <c r="S17">
        <v>54846.95</v>
      </c>
      <c r="T17">
        <v>0</v>
      </c>
      <c r="U17">
        <v>768.64</v>
      </c>
    </row>
    <row r="18" spans="1:21" x14ac:dyDescent="0.35">
      <c r="A18">
        <v>2024</v>
      </c>
      <c r="B18">
        <v>1</v>
      </c>
      <c r="C18">
        <v>1</v>
      </c>
      <c r="D18" s="1">
        <v>45292</v>
      </c>
      <c r="E18" s="4" t="s">
        <v>27</v>
      </c>
      <c r="F18" s="4" t="s">
        <v>24</v>
      </c>
      <c r="G18" s="4" t="s">
        <v>107</v>
      </c>
      <c r="H18">
        <v>38</v>
      </c>
      <c r="I18">
        <v>57</v>
      </c>
      <c r="J18">
        <v>0</v>
      </c>
      <c r="K18">
        <v>57</v>
      </c>
      <c r="L18">
        <v>101056.18</v>
      </c>
      <c r="M18">
        <v>0</v>
      </c>
      <c r="N18">
        <v>101056.18</v>
      </c>
      <c r="O18">
        <v>56645.05</v>
      </c>
      <c r="P18">
        <v>44411.13</v>
      </c>
      <c r="Q18">
        <v>0.4395</v>
      </c>
      <c r="R18">
        <v>3</v>
      </c>
      <c r="S18">
        <v>8055.18</v>
      </c>
      <c r="T18">
        <v>0</v>
      </c>
      <c r="U18">
        <v>2659.37</v>
      </c>
    </row>
    <row r="19" spans="1:21" x14ac:dyDescent="0.35">
      <c r="A19">
        <v>2024</v>
      </c>
      <c r="B19">
        <v>1</v>
      </c>
      <c r="C19">
        <v>1</v>
      </c>
      <c r="D19" s="1">
        <v>45292</v>
      </c>
      <c r="E19" s="4" t="s">
        <v>27</v>
      </c>
      <c r="F19" s="4" t="s">
        <v>24</v>
      </c>
      <c r="G19" s="4" t="s">
        <v>109</v>
      </c>
      <c r="H19">
        <v>220</v>
      </c>
      <c r="I19">
        <v>310</v>
      </c>
      <c r="J19">
        <v>8</v>
      </c>
      <c r="K19">
        <v>302</v>
      </c>
      <c r="L19">
        <v>504402.17</v>
      </c>
      <c r="M19">
        <v>11399.03</v>
      </c>
      <c r="N19">
        <v>493003.14</v>
      </c>
      <c r="O19">
        <v>281090.15000000002</v>
      </c>
      <c r="P19">
        <v>211912.99</v>
      </c>
      <c r="Q19">
        <v>0.42980000000000002</v>
      </c>
      <c r="R19">
        <v>35</v>
      </c>
      <c r="S19">
        <v>85171.14</v>
      </c>
      <c r="T19">
        <v>0</v>
      </c>
      <c r="U19">
        <v>2240.92</v>
      </c>
    </row>
    <row r="20" spans="1:21" x14ac:dyDescent="0.35">
      <c r="A20">
        <v>2024</v>
      </c>
      <c r="B20">
        <v>1</v>
      </c>
      <c r="C20">
        <v>1</v>
      </c>
      <c r="D20" s="1">
        <v>45292</v>
      </c>
      <c r="E20" s="4" t="s">
        <v>27</v>
      </c>
      <c r="F20" s="4" t="s">
        <v>26</v>
      </c>
      <c r="G20" s="4" t="s">
        <v>107</v>
      </c>
      <c r="H20">
        <v>3</v>
      </c>
      <c r="I20">
        <v>4</v>
      </c>
      <c r="J20">
        <v>0</v>
      </c>
      <c r="K20">
        <v>4</v>
      </c>
      <c r="L20">
        <v>4740</v>
      </c>
      <c r="M20">
        <v>0</v>
      </c>
      <c r="N20">
        <v>4740</v>
      </c>
      <c r="O20">
        <v>2844</v>
      </c>
      <c r="P20">
        <v>1896</v>
      </c>
      <c r="Q20">
        <v>0.4</v>
      </c>
      <c r="R20">
        <v>0</v>
      </c>
      <c r="S20">
        <v>0</v>
      </c>
      <c r="T20">
        <v>0</v>
      </c>
      <c r="U20">
        <v>1580</v>
      </c>
    </row>
    <row r="21" spans="1:21" x14ac:dyDescent="0.35">
      <c r="A21">
        <v>2024</v>
      </c>
      <c r="B21">
        <v>1</v>
      </c>
      <c r="C21">
        <v>1</v>
      </c>
      <c r="D21" s="1">
        <v>45292</v>
      </c>
      <c r="E21" s="4" t="s">
        <v>27</v>
      </c>
      <c r="F21" s="4" t="s">
        <v>26</v>
      </c>
      <c r="G21" s="4" t="s">
        <v>109</v>
      </c>
      <c r="H21">
        <v>32</v>
      </c>
      <c r="I21">
        <v>45</v>
      </c>
      <c r="J21">
        <v>0</v>
      </c>
      <c r="K21">
        <v>45</v>
      </c>
      <c r="L21">
        <v>27716.959999999999</v>
      </c>
      <c r="M21">
        <v>0</v>
      </c>
      <c r="N21">
        <v>27716.959999999999</v>
      </c>
      <c r="O21">
        <v>16816.8</v>
      </c>
      <c r="P21">
        <v>10900.16</v>
      </c>
      <c r="Q21">
        <v>0.39329999999999998</v>
      </c>
      <c r="R21">
        <v>1</v>
      </c>
      <c r="S21">
        <v>984.96</v>
      </c>
      <c r="T21">
        <v>0</v>
      </c>
      <c r="U21">
        <v>866.16</v>
      </c>
    </row>
    <row r="22" spans="1:21" x14ac:dyDescent="0.35">
      <c r="A22">
        <v>2024</v>
      </c>
      <c r="B22">
        <v>1</v>
      </c>
      <c r="C22">
        <v>1</v>
      </c>
      <c r="D22" s="1">
        <v>45292</v>
      </c>
      <c r="E22" s="4" t="s">
        <v>34</v>
      </c>
      <c r="F22" s="4" t="s">
        <v>28</v>
      </c>
      <c r="G22" s="4" t="s">
        <v>107</v>
      </c>
      <c r="H22">
        <v>124</v>
      </c>
      <c r="I22">
        <v>179</v>
      </c>
      <c r="J22">
        <v>0</v>
      </c>
      <c r="K22">
        <v>179</v>
      </c>
      <c r="L22">
        <v>118602.87</v>
      </c>
      <c r="M22">
        <v>0</v>
      </c>
      <c r="N22">
        <v>118602.87</v>
      </c>
      <c r="O22">
        <v>42877.8</v>
      </c>
      <c r="P22">
        <v>75725.070000000007</v>
      </c>
      <c r="Q22">
        <v>0.63849999999999996</v>
      </c>
      <c r="R22">
        <v>14</v>
      </c>
      <c r="S22">
        <v>14048.87</v>
      </c>
      <c r="T22">
        <v>0</v>
      </c>
      <c r="U22">
        <v>956.47</v>
      </c>
    </row>
    <row r="23" spans="1:21" x14ac:dyDescent="0.35">
      <c r="A23">
        <v>2024</v>
      </c>
      <c r="B23">
        <v>1</v>
      </c>
      <c r="C23">
        <v>1</v>
      </c>
      <c r="D23" s="1">
        <v>45292</v>
      </c>
      <c r="E23" s="4" t="s">
        <v>34</v>
      </c>
      <c r="F23" s="4" t="s">
        <v>28</v>
      </c>
      <c r="G23" s="4" t="s">
        <v>108</v>
      </c>
      <c r="H23">
        <v>35</v>
      </c>
      <c r="I23">
        <v>53</v>
      </c>
      <c r="J23">
        <v>0</v>
      </c>
      <c r="K23">
        <v>53</v>
      </c>
      <c r="L23">
        <v>21628.02</v>
      </c>
      <c r="M23">
        <v>0</v>
      </c>
      <c r="N23">
        <v>21628.02</v>
      </c>
      <c r="O23">
        <v>7902.3</v>
      </c>
      <c r="P23">
        <v>13725.72</v>
      </c>
      <c r="Q23">
        <v>0.63460000000000005</v>
      </c>
      <c r="R23">
        <v>5</v>
      </c>
      <c r="S23">
        <v>3736.02</v>
      </c>
      <c r="T23">
        <v>0</v>
      </c>
      <c r="U23">
        <v>617.94000000000005</v>
      </c>
    </row>
    <row r="24" spans="1:21" x14ac:dyDescent="0.35">
      <c r="A24">
        <v>2024</v>
      </c>
      <c r="B24">
        <v>1</v>
      </c>
      <c r="C24">
        <v>1</v>
      </c>
      <c r="D24" s="1">
        <v>45292</v>
      </c>
      <c r="E24" s="4" t="s">
        <v>34</v>
      </c>
      <c r="F24" s="4" t="s">
        <v>28</v>
      </c>
      <c r="G24" s="4" t="s">
        <v>109</v>
      </c>
      <c r="H24">
        <v>514</v>
      </c>
      <c r="I24">
        <v>798</v>
      </c>
      <c r="J24">
        <v>0</v>
      </c>
      <c r="K24">
        <v>798</v>
      </c>
      <c r="L24">
        <v>399583.6</v>
      </c>
      <c r="M24">
        <v>0</v>
      </c>
      <c r="N24">
        <v>399583.6</v>
      </c>
      <c r="O24">
        <v>144952.5</v>
      </c>
      <c r="P24">
        <v>254631.1</v>
      </c>
      <c r="Q24">
        <v>0.63719999999999999</v>
      </c>
      <c r="R24">
        <v>57</v>
      </c>
      <c r="S24">
        <v>49586.6</v>
      </c>
      <c r="T24">
        <v>0</v>
      </c>
      <c r="U24">
        <v>777.4</v>
      </c>
    </row>
    <row r="25" spans="1:21" x14ac:dyDescent="0.35">
      <c r="A25">
        <v>2024</v>
      </c>
      <c r="B25">
        <v>1</v>
      </c>
      <c r="C25">
        <v>1</v>
      </c>
      <c r="D25" s="1">
        <v>45292</v>
      </c>
      <c r="E25" s="4" t="s">
        <v>34</v>
      </c>
      <c r="F25" s="4" t="s">
        <v>24</v>
      </c>
      <c r="G25" s="4" t="s">
        <v>107</v>
      </c>
      <c r="H25">
        <v>52</v>
      </c>
      <c r="I25">
        <v>68</v>
      </c>
      <c r="J25">
        <v>4</v>
      </c>
      <c r="K25">
        <v>64</v>
      </c>
      <c r="L25">
        <v>117246</v>
      </c>
      <c r="M25">
        <v>6561</v>
      </c>
      <c r="N25">
        <v>110685</v>
      </c>
      <c r="O25">
        <v>62449.75</v>
      </c>
      <c r="P25">
        <v>48235.25</v>
      </c>
      <c r="Q25">
        <v>0.43580000000000002</v>
      </c>
      <c r="R25">
        <v>5</v>
      </c>
      <c r="S25">
        <v>13209</v>
      </c>
      <c r="T25">
        <v>0</v>
      </c>
      <c r="U25">
        <v>2128.56</v>
      </c>
    </row>
    <row r="26" spans="1:21" x14ac:dyDescent="0.35">
      <c r="A26">
        <v>2024</v>
      </c>
      <c r="B26">
        <v>1</v>
      </c>
      <c r="C26">
        <v>1</v>
      </c>
      <c r="D26" s="1">
        <v>45292</v>
      </c>
      <c r="E26" s="4" t="s">
        <v>34</v>
      </c>
      <c r="F26" s="4" t="s">
        <v>24</v>
      </c>
      <c r="G26" s="4" t="s">
        <v>108</v>
      </c>
      <c r="H26">
        <v>10</v>
      </c>
      <c r="I26">
        <v>12</v>
      </c>
      <c r="J26">
        <v>0</v>
      </c>
      <c r="K26">
        <v>12</v>
      </c>
      <c r="L26">
        <v>16548</v>
      </c>
      <c r="M26">
        <v>0</v>
      </c>
      <c r="N26">
        <v>16548</v>
      </c>
      <c r="O26">
        <v>9101.4</v>
      </c>
      <c r="P26">
        <v>7446.6</v>
      </c>
      <c r="Q26">
        <v>0.45</v>
      </c>
      <c r="R26">
        <v>0</v>
      </c>
      <c r="S26">
        <v>0</v>
      </c>
      <c r="T26">
        <v>0</v>
      </c>
      <c r="U26">
        <v>1654.8</v>
      </c>
    </row>
    <row r="27" spans="1:21" x14ac:dyDescent="0.35">
      <c r="A27">
        <v>2024</v>
      </c>
      <c r="B27">
        <v>1</v>
      </c>
      <c r="C27">
        <v>1</v>
      </c>
      <c r="D27" s="1">
        <v>45292</v>
      </c>
      <c r="E27" s="4" t="s">
        <v>34</v>
      </c>
      <c r="F27" s="4" t="s">
        <v>24</v>
      </c>
      <c r="G27" s="4" t="s">
        <v>109</v>
      </c>
      <c r="H27">
        <v>132</v>
      </c>
      <c r="I27">
        <v>198</v>
      </c>
      <c r="J27">
        <v>2</v>
      </c>
      <c r="K27">
        <v>196</v>
      </c>
      <c r="L27">
        <v>333245.96000000002</v>
      </c>
      <c r="M27">
        <v>4732</v>
      </c>
      <c r="N27">
        <v>328513.96000000002</v>
      </c>
      <c r="O27">
        <v>185305.45</v>
      </c>
      <c r="P27">
        <v>143208.51</v>
      </c>
      <c r="Q27">
        <v>0.43590000000000001</v>
      </c>
      <c r="R27">
        <v>13</v>
      </c>
      <c r="S27">
        <v>31850.959999999999</v>
      </c>
      <c r="T27">
        <v>0</v>
      </c>
      <c r="U27">
        <v>2488.7399999999998</v>
      </c>
    </row>
    <row r="28" spans="1:21" x14ac:dyDescent="0.35">
      <c r="A28">
        <v>2024</v>
      </c>
      <c r="B28">
        <v>1</v>
      </c>
      <c r="C28">
        <v>1</v>
      </c>
      <c r="D28" s="1">
        <v>45292</v>
      </c>
      <c r="E28" s="4" t="s">
        <v>34</v>
      </c>
      <c r="F28" s="4" t="s">
        <v>26</v>
      </c>
      <c r="G28" s="4" t="s">
        <v>107</v>
      </c>
      <c r="H28">
        <v>5</v>
      </c>
      <c r="I28">
        <v>10</v>
      </c>
      <c r="J28">
        <v>0</v>
      </c>
      <c r="K28">
        <v>10</v>
      </c>
      <c r="L28">
        <v>5210</v>
      </c>
      <c r="M28">
        <v>0</v>
      </c>
      <c r="N28">
        <v>5210</v>
      </c>
      <c r="O28">
        <v>3126</v>
      </c>
      <c r="P28">
        <v>2084</v>
      </c>
      <c r="Q28">
        <v>0.4</v>
      </c>
      <c r="R28">
        <v>0</v>
      </c>
      <c r="S28">
        <v>0</v>
      </c>
      <c r="T28">
        <v>0</v>
      </c>
      <c r="U28">
        <v>1042</v>
      </c>
    </row>
    <row r="29" spans="1:21" x14ac:dyDescent="0.35">
      <c r="A29">
        <v>2024</v>
      </c>
      <c r="B29">
        <v>1</v>
      </c>
      <c r="C29">
        <v>1</v>
      </c>
      <c r="D29" s="1">
        <v>45292</v>
      </c>
      <c r="E29" s="4" t="s">
        <v>34</v>
      </c>
      <c r="F29" s="4" t="s">
        <v>26</v>
      </c>
      <c r="G29" s="4" t="s">
        <v>108</v>
      </c>
      <c r="H29">
        <v>3</v>
      </c>
      <c r="I29">
        <v>5</v>
      </c>
      <c r="J29">
        <v>0</v>
      </c>
      <c r="K29">
        <v>5</v>
      </c>
      <c r="L29">
        <v>2373</v>
      </c>
      <c r="M29">
        <v>0</v>
      </c>
      <c r="N29">
        <v>2373</v>
      </c>
      <c r="O29">
        <v>1423.8</v>
      </c>
      <c r="P29">
        <v>949.2</v>
      </c>
      <c r="Q29">
        <v>0.4</v>
      </c>
      <c r="R29">
        <v>0</v>
      </c>
      <c r="S29">
        <v>0</v>
      </c>
      <c r="T29">
        <v>0</v>
      </c>
      <c r="U29">
        <v>791</v>
      </c>
    </row>
    <row r="30" spans="1:21" x14ac:dyDescent="0.35">
      <c r="A30">
        <v>2024</v>
      </c>
      <c r="B30">
        <v>1</v>
      </c>
      <c r="C30">
        <v>1</v>
      </c>
      <c r="D30" s="1">
        <v>45292</v>
      </c>
      <c r="E30" s="4" t="s">
        <v>34</v>
      </c>
      <c r="F30" s="4" t="s">
        <v>26</v>
      </c>
      <c r="G30" s="4" t="s">
        <v>109</v>
      </c>
      <c r="H30">
        <v>30</v>
      </c>
      <c r="I30">
        <v>61</v>
      </c>
      <c r="J30">
        <v>0</v>
      </c>
      <c r="K30">
        <v>61</v>
      </c>
      <c r="L30">
        <v>38403.300000000003</v>
      </c>
      <c r="M30">
        <v>0</v>
      </c>
      <c r="N30">
        <v>38403.300000000003</v>
      </c>
      <c r="O30">
        <v>23849.4</v>
      </c>
      <c r="P30">
        <v>14553.9</v>
      </c>
      <c r="Q30">
        <v>0.379</v>
      </c>
      <c r="R30">
        <v>5</v>
      </c>
      <c r="S30">
        <v>7643.3</v>
      </c>
      <c r="T30">
        <v>0</v>
      </c>
      <c r="U30">
        <v>1280.1099999999999</v>
      </c>
    </row>
    <row r="31" spans="1:21" x14ac:dyDescent="0.35">
      <c r="A31">
        <v>2024</v>
      </c>
      <c r="B31">
        <v>1</v>
      </c>
      <c r="C31">
        <v>1</v>
      </c>
      <c r="D31" s="1">
        <v>45292</v>
      </c>
      <c r="E31" s="4" t="s">
        <v>36</v>
      </c>
      <c r="F31" s="4" t="s">
        <v>28</v>
      </c>
      <c r="G31" s="4" t="s">
        <v>107</v>
      </c>
      <c r="H31">
        <v>69</v>
      </c>
      <c r="I31">
        <v>111</v>
      </c>
      <c r="J31">
        <v>0</v>
      </c>
      <c r="K31">
        <v>111</v>
      </c>
      <c r="L31">
        <v>66928.08</v>
      </c>
      <c r="M31">
        <v>0</v>
      </c>
      <c r="N31">
        <v>66928.08</v>
      </c>
      <c r="O31">
        <v>24531.15</v>
      </c>
      <c r="P31">
        <v>42396.93</v>
      </c>
      <c r="Q31">
        <v>0.63349999999999995</v>
      </c>
      <c r="R31">
        <v>10</v>
      </c>
      <c r="S31">
        <v>11859.08</v>
      </c>
      <c r="T31">
        <v>0</v>
      </c>
      <c r="U31">
        <v>969.97</v>
      </c>
    </row>
    <row r="32" spans="1:21" x14ac:dyDescent="0.35">
      <c r="A32">
        <v>2024</v>
      </c>
      <c r="B32">
        <v>1</v>
      </c>
      <c r="C32">
        <v>1</v>
      </c>
      <c r="D32" s="1">
        <v>45292</v>
      </c>
      <c r="E32" s="4" t="s">
        <v>36</v>
      </c>
      <c r="F32" s="4" t="s">
        <v>28</v>
      </c>
      <c r="G32" s="4" t="s">
        <v>108</v>
      </c>
      <c r="H32">
        <v>88</v>
      </c>
      <c r="I32">
        <v>138</v>
      </c>
      <c r="J32">
        <v>0</v>
      </c>
      <c r="K32">
        <v>138</v>
      </c>
      <c r="L32">
        <v>45238.559999999998</v>
      </c>
      <c r="M32">
        <v>0</v>
      </c>
      <c r="N32">
        <v>45238.559999999998</v>
      </c>
      <c r="O32">
        <v>16243.5</v>
      </c>
      <c r="P32">
        <v>28995.06</v>
      </c>
      <c r="Q32">
        <v>0.64090000000000003</v>
      </c>
      <c r="R32">
        <v>8</v>
      </c>
      <c r="S32">
        <v>4488.58</v>
      </c>
      <c r="T32">
        <v>0</v>
      </c>
      <c r="U32">
        <v>514.07000000000005</v>
      </c>
    </row>
    <row r="33" spans="1:21" x14ac:dyDescent="0.35">
      <c r="A33">
        <v>2024</v>
      </c>
      <c r="B33">
        <v>1</v>
      </c>
      <c r="C33">
        <v>1</v>
      </c>
      <c r="D33" s="1">
        <v>45292</v>
      </c>
      <c r="E33" s="4" t="s">
        <v>36</v>
      </c>
      <c r="F33" s="4" t="s">
        <v>28</v>
      </c>
      <c r="G33" s="4" t="s">
        <v>109</v>
      </c>
      <c r="H33">
        <v>453</v>
      </c>
      <c r="I33">
        <v>686</v>
      </c>
      <c r="J33">
        <v>0</v>
      </c>
      <c r="K33">
        <v>686</v>
      </c>
      <c r="L33">
        <v>334800.96000000002</v>
      </c>
      <c r="M33">
        <v>0</v>
      </c>
      <c r="N33">
        <v>334800.96000000002</v>
      </c>
      <c r="O33">
        <v>121373</v>
      </c>
      <c r="P33">
        <v>213427.96</v>
      </c>
      <c r="Q33">
        <v>0.63749999999999996</v>
      </c>
      <c r="R33">
        <v>52</v>
      </c>
      <c r="S33">
        <v>46751.32</v>
      </c>
      <c r="T33">
        <v>0</v>
      </c>
      <c r="U33">
        <v>739.07</v>
      </c>
    </row>
    <row r="34" spans="1:21" x14ac:dyDescent="0.35">
      <c r="A34">
        <v>2024</v>
      </c>
      <c r="B34">
        <v>1</v>
      </c>
      <c r="C34">
        <v>1</v>
      </c>
      <c r="D34" s="1">
        <v>45292</v>
      </c>
      <c r="E34" s="4" t="s">
        <v>36</v>
      </c>
      <c r="F34" s="4" t="s">
        <v>24</v>
      </c>
      <c r="G34" s="4" t="s">
        <v>107</v>
      </c>
      <c r="H34">
        <v>38</v>
      </c>
      <c r="I34">
        <v>50</v>
      </c>
      <c r="J34">
        <v>3</v>
      </c>
      <c r="K34">
        <v>47</v>
      </c>
      <c r="L34">
        <v>61570.559999999998</v>
      </c>
      <c r="M34">
        <v>2571</v>
      </c>
      <c r="N34">
        <v>58999.56</v>
      </c>
      <c r="O34">
        <v>33052.25</v>
      </c>
      <c r="P34">
        <v>25947.31</v>
      </c>
      <c r="Q34">
        <v>0.43980000000000002</v>
      </c>
      <c r="R34">
        <v>4</v>
      </c>
      <c r="S34">
        <v>5692.56</v>
      </c>
      <c r="T34">
        <v>0</v>
      </c>
      <c r="U34">
        <v>1552.62</v>
      </c>
    </row>
    <row r="35" spans="1:21" x14ac:dyDescent="0.35">
      <c r="A35">
        <v>2024</v>
      </c>
      <c r="B35">
        <v>1</v>
      </c>
      <c r="C35">
        <v>1</v>
      </c>
      <c r="D35" s="1">
        <v>45292</v>
      </c>
      <c r="E35" s="4" t="s">
        <v>36</v>
      </c>
      <c r="F35" s="4" t="s">
        <v>24</v>
      </c>
      <c r="G35" s="4" t="s">
        <v>108</v>
      </c>
      <c r="H35">
        <v>20</v>
      </c>
      <c r="I35">
        <v>32</v>
      </c>
      <c r="J35">
        <v>0</v>
      </c>
      <c r="K35">
        <v>32</v>
      </c>
      <c r="L35">
        <v>56704</v>
      </c>
      <c r="M35">
        <v>0</v>
      </c>
      <c r="N35">
        <v>56704</v>
      </c>
      <c r="O35">
        <v>31292.799999999999</v>
      </c>
      <c r="P35">
        <v>25411.200000000001</v>
      </c>
      <c r="Q35">
        <v>0.4481</v>
      </c>
      <c r="R35">
        <v>1</v>
      </c>
      <c r="S35">
        <v>1408</v>
      </c>
      <c r="T35">
        <v>0</v>
      </c>
      <c r="U35">
        <v>2835.2</v>
      </c>
    </row>
    <row r="36" spans="1:21" x14ac:dyDescent="0.35">
      <c r="A36">
        <v>2024</v>
      </c>
      <c r="B36">
        <v>1</v>
      </c>
      <c r="C36">
        <v>1</v>
      </c>
      <c r="D36" s="1">
        <v>45292</v>
      </c>
      <c r="E36" s="4" t="s">
        <v>36</v>
      </c>
      <c r="F36" s="4" t="s">
        <v>24</v>
      </c>
      <c r="G36" s="4" t="s">
        <v>109</v>
      </c>
      <c r="H36">
        <v>78</v>
      </c>
      <c r="I36">
        <v>117</v>
      </c>
      <c r="J36">
        <v>4</v>
      </c>
      <c r="K36">
        <v>113</v>
      </c>
      <c r="L36">
        <v>183015.24</v>
      </c>
      <c r="M36">
        <v>5451.02</v>
      </c>
      <c r="N36">
        <v>177564.22</v>
      </c>
      <c r="O36">
        <v>101281.4</v>
      </c>
      <c r="P36">
        <v>76282.820000000007</v>
      </c>
      <c r="Q36">
        <v>0.42959999999999998</v>
      </c>
      <c r="R36">
        <v>13</v>
      </c>
      <c r="S36">
        <v>29250.22</v>
      </c>
      <c r="T36">
        <v>0</v>
      </c>
      <c r="U36">
        <v>2276.46</v>
      </c>
    </row>
    <row r="37" spans="1:21" x14ac:dyDescent="0.35">
      <c r="A37">
        <v>2024</v>
      </c>
      <c r="B37">
        <v>1</v>
      </c>
      <c r="C37">
        <v>1</v>
      </c>
      <c r="D37" s="1">
        <v>45292</v>
      </c>
      <c r="E37" s="4" t="s">
        <v>36</v>
      </c>
      <c r="F37" s="4" t="s">
        <v>26</v>
      </c>
      <c r="G37" s="4" t="s">
        <v>107</v>
      </c>
      <c r="H37">
        <v>3</v>
      </c>
      <c r="I37">
        <v>4</v>
      </c>
      <c r="J37">
        <v>0</v>
      </c>
      <c r="K37">
        <v>4</v>
      </c>
      <c r="L37">
        <v>1876</v>
      </c>
      <c r="M37">
        <v>0</v>
      </c>
      <c r="N37">
        <v>1876</v>
      </c>
      <c r="O37">
        <v>1125.5999999999999</v>
      </c>
      <c r="P37">
        <v>750.4</v>
      </c>
      <c r="Q37">
        <v>0.4</v>
      </c>
      <c r="R37">
        <v>0</v>
      </c>
      <c r="S37">
        <v>0</v>
      </c>
      <c r="T37">
        <v>0</v>
      </c>
      <c r="U37">
        <v>625.33000000000004</v>
      </c>
    </row>
    <row r="38" spans="1:21" x14ac:dyDescent="0.35">
      <c r="A38">
        <v>2024</v>
      </c>
      <c r="B38">
        <v>1</v>
      </c>
      <c r="C38">
        <v>1</v>
      </c>
      <c r="D38" s="1">
        <v>45292</v>
      </c>
      <c r="E38" s="4" t="s">
        <v>36</v>
      </c>
      <c r="F38" s="4" t="s">
        <v>26</v>
      </c>
      <c r="G38" s="4" t="s">
        <v>109</v>
      </c>
      <c r="H38">
        <v>40</v>
      </c>
      <c r="I38">
        <v>51</v>
      </c>
      <c r="J38">
        <v>0</v>
      </c>
      <c r="K38">
        <v>51</v>
      </c>
      <c r="L38">
        <v>41199</v>
      </c>
      <c r="M38">
        <v>0</v>
      </c>
      <c r="N38">
        <v>41199</v>
      </c>
      <c r="O38">
        <v>25339.200000000001</v>
      </c>
      <c r="P38">
        <v>15859.8</v>
      </c>
      <c r="Q38">
        <v>0.38500000000000001</v>
      </c>
      <c r="R38">
        <v>3</v>
      </c>
      <c r="S38">
        <v>2846</v>
      </c>
      <c r="T38">
        <v>0</v>
      </c>
      <c r="U38">
        <v>1029.98</v>
      </c>
    </row>
    <row r="39" spans="1:21" x14ac:dyDescent="0.35">
      <c r="A39">
        <v>2024</v>
      </c>
      <c r="B39">
        <v>1</v>
      </c>
      <c r="C39">
        <v>1</v>
      </c>
      <c r="D39" s="1">
        <v>45292</v>
      </c>
      <c r="E39" s="4" t="s">
        <v>23</v>
      </c>
      <c r="F39" s="4" t="s">
        <v>28</v>
      </c>
      <c r="G39" s="4" t="s">
        <v>107</v>
      </c>
      <c r="H39">
        <v>78</v>
      </c>
      <c r="I39">
        <v>109</v>
      </c>
      <c r="J39">
        <v>0</v>
      </c>
      <c r="K39">
        <v>109</v>
      </c>
      <c r="L39">
        <v>34692.32</v>
      </c>
      <c r="M39">
        <v>0</v>
      </c>
      <c r="N39">
        <v>34692.32</v>
      </c>
      <c r="O39">
        <v>12894.7</v>
      </c>
      <c r="P39">
        <v>21797.62</v>
      </c>
      <c r="Q39">
        <v>0.62829999999999997</v>
      </c>
      <c r="R39">
        <v>11</v>
      </c>
      <c r="S39">
        <v>5962.32</v>
      </c>
      <c r="T39">
        <v>0</v>
      </c>
      <c r="U39">
        <v>444.77</v>
      </c>
    </row>
    <row r="40" spans="1:21" x14ac:dyDescent="0.35">
      <c r="A40">
        <v>2024</v>
      </c>
      <c r="B40">
        <v>1</v>
      </c>
      <c r="C40">
        <v>1</v>
      </c>
      <c r="D40" s="1">
        <v>45292</v>
      </c>
      <c r="E40" s="4" t="s">
        <v>23</v>
      </c>
      <c r="F40" s="4" t="s">
        <v>28</v>
      </c>
      <c r="G40" s="4" t="s">
        <v>108</v>
      </c>
      <c r="H40">
        <v>27</v>
      </c>
      <c r="I40">
        <v>41</v>
      </c>
      <c r="J40">
        <v>0</v>
      </c>
      <c r="K40">
        <v>41</v>
      </c>
      <c r="L40">
        <v>27220.16</v>
      </c>
      <c r="M40">
        <v>0</v>
      </c>
      <c r="N40">
        <v>27220.16</v>
      </c>
      <c r="O40">
        <v>10088.049999999999</v>
      </c>
      <c r="P40">
        <v>17132.11</v>
      </c>
      <c r="Q40">
        <v>0.62939999999999996</v>
      </c>
      <c r="R40">
        <v>7</v>
      </c>
      <c r="S40">
        <v>8942.16</v>
      </c>
      <c r="T40">
        <v>0</v>
      </c>
      <c r="U40">
        <v>1008.15</v>
      </c>
    </row>
    <row r="41" spans="1:21" x14ac:dyDescent="0.35">
      <c r="A41">
        <v>2024</v>
      </c>
      <c r="B41">
        <v>1</v>
      </c>
      <c r="C41">
        <v>1</v>
      </c>
      <c r="D41" s="1">
        <v>45292</v>
      </c>
      <c r="E41" s="4" t="s">
        <v>23</v>
      </c>
      <c r="F41" s="4" t="s">
        <v>28</v>
      </c>
      <c r="G41" s="4" t="s">
        <v>109</v>
      </c>
      <c r="H41">
        <v>422</v>
      </c>
      <c r="I41">
        <v>664</v>
      </c>
      <c r="J41">
        <v>0</v>
      </c>
      <c r="K41">
        <v>664</v>
      </c>
      <c r="L41">
        <v>309775.67</v>
      </c>
      <c r="M41">
        <v>0</v>
      </c>
      <c r="N41">
        <v>309775.67</v>
      </c>
      <c r="O41">
        <v>113017.8</v>
      </c>
      <c r="P41">
        <v>196757.87</v>
      </c>
      <c r="Q41">
        <v>0.63519999999999999</v>
      </c>
      <c r="R41">
        <v>54</v>
      </c>
      <c r="S41">
        <v>50761.67</v>
      </c>
      <c r="T41">
        <v>0</v>
      </c>
      <c r="U41">
        <v>734.07</v>
      </c>
    </row>
    <row r="42" spans="1:21" x14ac:dyDescent="0.35">
      <c r="A42">
        <v>2024</v>
      </c>
      <c r="B42">
        <v>1</v>
      </c>
      <c r="C42">
        <v>1</v>
      </c>
      <c r="D42" s="1">
        <v>45292</v>
      </c>
      <c r="E42" s="4" t="s">
        <v>23</v>
      </c>
      <c r="F42" s="4" t="s">
        <v>35</v>
      </c>
      <c r="G42" s="4" t="s">
        <v>109</v>
      </c>
      <c r="H42">
        <v>1</v>
      </c>
      <c r="I42">
        <v>1</v>
      </c>
      <c r="J42">
        <v>0</v>
      </c>
      <c r="K42">
        <v>1</v>
      </c>
      <c r="L42">
        <v>196</v>
      </c>
      <c r="M42">
        <v>0</v>
      </c>
      <c r="N42">
        <v>196</v>
      </c>
      <c r="O42">
        <v>39.200000000000003</v>
      </c>
      <c r="P42">
        <v>156.80000000000001</v>
      </c>
      <c r="Q42">
        <v>0.8</v>
      </c>
      <c r="R42">
        <v>0</v>
      </c>
      <c r="S42">
        <v>0</v>
      </c>
      <c r="T42">
        <v>0</v>
      </c>
      <c r="U42">
        <v>196</v>
      </c>
    </row>
    <row r="43" spans="1:21" x14ac:dyDescent="0.35">
      <c r="A43">
        <v>2024</v>
      </c>
      <c r="B43">
        <v>1</v>
      </c>
      <c r="C43">
        <v>1</v>
      </c>
      <c r="D43" s="1">
        <v>45292</v>
      </c>
      <c r="E43" s="4" t="s">
        <v>23</v>
      </c>
      <c r="F43" s="4" t="s">
        <v>24</v>
      </c>
      <c r="G43" s="4" t="s">
        <v>107</v>
      </c>
      <c r="H43">
        <v>40</v>
      </c>
      <c r="I43">
        <v>54</v>
      </c>
      <c r="J43">
        <v>1</v>
      </c>
      <c r="K43">
        <v>53</v>
      </c>
      <c r="L43">
        <v>99297.7</v>
      </c>
      <c r="M43">
        <v>1885.73</v>
      </c>
      <c r="N43">
        <v>97411.97</v>
      </c>
      <c r="O43">
        <v>54260.800000000003</v>
      </c>
      <c r="P43">
        <v>43151.17</v>
      </c>
      <c r="Q43">
        <v>0.443</v>
      </c>
      <c r="R43">
        <v>3</v>
      </c>
      <c r="S43">
        <v>3746.97</v>
      </c>
      <c r="T43">
        <v>0</v>
      </c>
      <c r="U43">
        <v>2435.3000000000002</v>
      </c>
    </row>
    <row r="44" spans="1:21" x14ac:dyDescent="0.35">
      <c r="A44">
        <v>2024</v>
      </c>
      <c r="B44">
        <v>1</v>
      </c>
      <c r="C44">
        <v>1</v>
      </c>
      <c r="D44" s="1">
        <v>45292</v>
      </c>
      <c r="E44" s="4" t="s">
        <v>23</v>
      </c>
      <c r="F44" s="4" t="s">
        <v>24</v>
      </c>
      <c r="G44" s="4" t="s">
        <v>109</v>
      </c>
      <c r="H44">
        <v>88</v>
      </c>
      <c r="I44">
        <v>125</v>
      </c>
      <c r="J44">
        <v>4</v>
      </c>
      <c r="K44">
        <v>121</v>
      </c>
      <c r="L44">
        <v>140691.35</v>
      </c>
      <c r="M44">
        <v>4303</v>
      </c>
      <c r="N44">
        <v>136388.35</v>
      </c>
      <c r="O44">
        <v>76857.55</v>
      </c>
      <c r="P44">
        <v>59530.8</v>
      </c>
      <c r="Q44">
        <v>0.4365</v>
      </c>
      <c r="R44">
        <v>11</v>
      </c>
      <c r="S44">
        <v>18474.48</v>
      </c>
      <c r="T44">
        <v>0</v>
      </c>
      <c r="U44">
        <v>1549.87</v>
      </c>
    </row>
    <row r="45" spans="1:21" x14ac:dyDescent="0.35">
      <c r="A45">
        <v>2024</v>
      </c>
      <c r="B45">
        <v>1</v>
      </c>
      <c r="C45">
        <v>1</v>
      </c>
      <c r="D45" s="1">
        <v>45292</v>
      </c>
      <c r="E45" s="4" t="s">
        <v>23</v>
      </c>
      <c r="F45" s="4" t="s">
        <v>26</v>
      </c>
      <c r="G45" s="4" t="s">
        <v>107</v>
      </c>
      <c r="H45">
        <v>6</v>
      </c>
      <c r="I45">
        <v>9</v>
      </c>
      <c r="J45">
        <v>0</v>
      </c>
      <c r="K45">
        <v>9</v>
      </c>
      <c r="L45">
        <v>4814.45</v>
      </c>
      <c r="M45">
        <v>0</v>
      </c>
      <c r="N45">
        <v>4814.45</v>
      </c>
      <c r="O45">
        <v>2904.6</v>
      </c>
      <c r="P45">
        <v>1909.85</v>
      </c>
      <c r="Q45">
        <v>0.3967</v>
      </c>
      <c r="R45">
        <v>1</v>
      </c>
      <c r="S45">
        <v>504.45</v>
      </c>
      <c r="T45">
        <v>0</v>
      </c>
      <c r="U45">
        <v>802.41</v>
      </c>
    </row>
    <row r="46" spans="1:21" x14ac:dyDescent="0.35">
      <c r="A46">
        <v>2024</v>
      </c>
      <c r="B46">
        <v>1</v>
      </c>
      <c r="C46">
        <v>1</v>
      </c>
      <c r="D46" s="1">
        <v>45292</v>
      </c>
      <c r="E46" s="4" t="s">
        <v>23</v>
      </c>
      <c r="F46" s="4" t="s">
        <v>26</v>
      </c>
      <c r="G46" s="4" t="s">
        <v>109</v>
      </c>
      <c r="H46">
        <v>11</v>
      </c>
      <c r="I46">
        <v>19</v>
      </c>
      <c r="J46">
        <v>0</v>
      </c>
      <c r="K46">
        <v>19</v>
      </c>
      <c r="L46">
        <v>11464</v>
      </c>
      <c r="M46">
        <v>0</v>
      </c>
      <c r="N46">
        <v>11464</v>
      </c>
      <c r="O46">
        <v>6981</v>
      </c>
      <c r="P46">
        <v>4483</v>
      </c>
      <c r="Q46">
        <v>0.3911</v>
      </c>
      <c r="R46">
        <v>1</v>
      </c>
      <c r="S46">
        <v>513</v>
      </c>
      <c r="T46">
        <v>0</v>
      </c>
      <c r="U46">
        <v>1042.18</v>
      </c>
    </row>
    <row r="47" spans="1:21" x14ac:dyDescent="0.35">
      <c r="A47">
        <v>2024</v>
      </c>
      <c r="B47">
        <v>1</v>
      </c>
      <c r="C47">
        <v>1</v>
      </c>
      <c r="D47" s="1">
        <v>45292</v>
      </c>
      <c r="E47" s="4" t="s">
        <v>25</v>
      </c>
      <c r="F47" s="4" t="s">
        <v>28</v>
      </c>
      <c r="G47" s="4" t="s">
        <v>107</v>
      </c>
      <c r="H47">
        <v>26</v>
      </c>
      <c r="I47">
        <v>39</v>
      </c>
      <c r="J47">
        <v>0</v>
      </c>
      <c r="K47">
        <v>39</v>
      </c>
      <c r="L47">
        <v>18339.3</v>
      </c>
      <c r="M47">
        <v>0</v>
      </c>
      <c r="N47">
        <v>18339.3</v>
      </c>
      <c r="O47">
        <v>6784.05</v>
      </c>
      <c r="P47">
        <v>11555.25</v>
      </c>
      <c r="Q47">
        <v>0.63009999999999999</v>
      </c>
      <c r="R47">
        <v>4</v>
      </c>
      <c r="S47">
        <v>3429.3</v>
      </c>
      <c r="T47">
        <v>0</v>
      </c>
      <c r="U47">
        <v>705.36</v>
      </c>
    </row>
    <row r="48" spans="1:21" x14ac:dyDescent="0.35">
      <c r="A48">
        <v>2024</v>
      </c>
      <c r="B48">
        <v>1</v>
      </c>
      <c r="C48">
        <v>1</v>
      </c>
      <c r="D48" s="1">
        <v>45292</v>
      </c>
      <c r="E48" s="4" t="s">
        <v>25</v>
      </c>
      <c r="F48" s="4" t="s">
        <v>28</v>
      </c>
      <c r="G48" s="4" t="s">
        <v>109</v>
      </c>
      <c r="H48">
        <v>464</v>
      </c>
      <c r="I48">
        <v>684</v>
      </c>
      <c r="J48">
        <v>0</v>
      </c>
      <c r="K48">
        <v>684</v>
      </c>
      <c r="L48">
        <v>369208.37</v>
      </c>
      <c r="M48">
        <v>0</v>
      </c>
      <c r="N48">
        <v>369208.37</v>
      </c>
      <c r="O48">
        <v>134086.04999999999</v>
      </c>
      <c r="P48">
        <v>235122.32</v>
      </c>
      <c r="Q48">
        <v>0.63680000000000003</v>
      </c>
      <c r="R48">
        <v>65</v>
      </c>
      <c r="S48">
        <v>58229.37</v>
      </c>
      <c r="T48">
        <v>0</v>
      </c>
      <c r="U48">
        <v>795.71</v>
      </c>
    </row>
    <row r="49" spans="1:21" x14ac:dyDescent="0.35">
      <c r="A49">
        <v>2024</v>
      </c>
      <c r="B49">
        <v>1</v>
      </c>
      <c r="C49">
        <v>1</v>
      </c>
      <c r="D49" s="1">
        <v>45292</v>
      </c>
      <c r="E49" s="4" t="s">
        <v>25</v>
      </c>
      <c r="F49" s="4" t="s">
        <v>24</v>
      </c>
      <c r="G49" s="4" t="s">
        <v>107</v>
      </c>
      <c r="H49">
        <v>19</v>
      </c>
      <c r="I49">
        <v>26</v>
      </c>
      <c r="J49">
        <v>0</v>
      </c>
      <c r="K49">
        <v>26</v>
      </c>
      <c r="L49">
        <v>44613.22</v>
      </c>
      <c r="M49">
        <v>0</v>
      </c>
      <c r="N49">
        <v>44613.22</v>
      </c>
      <c r="O49">
        <v>26877.95</v>
      </c>
      <c r="P49">
        <v>17735.27</v>
      </c>
      <c r="Q49">
        <v>0.39750000000000002</v>
      </c>
      <c r="R49">
        <v>6</v>
      </c>
      <c r="S49">
        <v>18712.22</v>
      </c>
      <c r="T49">
        <v>0</v>
      </c>
      <c r="U49">
        <v>2348.06</v>
      </c>
    </row>
    <row r="50" spans="1:21" x14ac:dyDescent="0.35">
      <c r="A50">
        <v>2024</v>
      </c>
      <c r="B50">
        <v>1</v>
      </c>
      <c r="C50">
        <v>1</v>
      </c>
      <c r="D50" s="1">
        <v>45292</v>
      </c>
      <c r="E50" s="4" t="s">
        <v>25</v>
      </c>
      <c r="F50" s="4" t="s">
        <v>24</v>
      </c>
      <c r="G50" s="4" t="s">
        <v>109</v>
      </c>
      <c r="H50">
        <v>145</v>
      </c>
      <c r="I50">
        <v>222</v>
      </c>
      <c r="J50">
        <v>5</v>
      </c>
      <c r="K50">
        <v>217</v>
      </c>
      <c r="L50">
        <v>339671.19</v>
      </c>
      <c r="M50">
        <v>5819.5</v>
      </c>
      <c r="N50">
        <v>333851.69</v>
      </c>
      <c r="O50">
        <v>187693</v>
      </c>
      <c r="P50">
        <v>146158.69</v>
      </c>
      <c r="Q50">
        <v>0.43780000000000002</v>
      </c>
      <c r="R50">
        <v>16</v>
      </c>
      <c r="S50">
        <v>34223.69</v>
      </c>
      <c r="T50">
        <v>0</v>
      </c>
      <c r="U50">
        <v>2302.4299999999998</v>
      </c>
    </row>
    <row r="51" spans="1:21" x14ac:dyDescent="0.35">
      <c r="A51">
        <v>2024</v>
      </c>
      <c r="B51">
        <v>1</v>
      </c>
      <c r="C51">
        <v>1</v>
      </c>
      <c r="D51" s="1">
        <v>45292</v>
      </c>
      <c r="E51" s="4" t="s">
        <v>25</v>
      </c>
      <c r="F51" s="4" t="s">
        <v>26</v>
      </c>
      <c r="G51" s="4" t="s">
        <v>107</v>
      </c>
      <c r="H51">
        <v>5</v>
      </c>
      <c r="I51">
        <v>7</v>
      </c>
      <c r="J51">
        <v>2</v>
      </c>
      <c r="K51">
        <v>5</v>
      </c>
      <c r="L51">
        <v>6063</v>
      </c>
      <c r="M51">
        <v>2394</v>
      </c>
      <c r="N51">
        <v>3669</v>
      </c>
      <c r="O51">
        <v>2201.4</v>
      </c>
      <c r="P51">
        <v>1467.6</v>
      </c>
      <c r="Q51">
        <v>0.4</v>
      </c>
      <c r="R51">
        <v>0</v>
      </c>
      <c r="S51">
        <v>0</v>
      </c>
      <c r="T51">
        <v>0</v>
      </c>
      <c r="U51">
        <v>733.8</v>
      </c>
    </row>
    <row r="52" spans="1:21" x14ac:dyDescent="0.35">
      <c r="A52">
        <v>2024</v>
      </c>
      <c r="B52">
        <v>1</v>
      </c>
      <c r="C52">
        <v>1</v>
      </c>
      <c r="D52" s="1">
        <v>45292</v>
      </c>
      <c r="E52" s="4" t="s">
        <v>25</v>
      </c>
      <c r="F52" s="4" t="s">
        <v>26</v>
      </c>
      <c r="G52" s="4" t="s">
        <v>109</v>
      </c>
      <c r="H52">
        <v>25</v>
      </c>
      <c r="I52">
        <v>36</v>
      </c>
      <c r="J52">
        <v>0</v>
      </c>
      <c r="K52">
        <v>36</v>
      </c>
      <c r="L52">
        <v>28151.8</v>
      </c>
      <c r="M52">
        <v>0</v>
      </c>
      <c r="N52">
        <v>28151.8</v>
      </c>
      <c r="O52">
        <v>17631.599999999999</v>
      </c>
      <c r="P52">
        <v>10520.2</v>
      </c>
      <c r="Q52">
        <v>0.37369999999999998</v>
      </c>
      <c r="R52">
        <v>1</v>
      </c>
      <c r="S52">
        <v>2395.8000000000002</v>
      </c>
      <c r="T52">
        <v>0</v>
      </c>
      <c r="U52">
        <v>1126.07</v>
      </c>
    </row>
    <row r="53" spans="1:21" x14ac:dyDescent="0.35">
      <c r="A53">
        <v>2024</v>
      </c>
      <c r="B53">
        <v>1</v>
      </c>
      <c r="C53">
        <v>1</v>
      </c>
      <c r="D53" s="1">
        <v>45292</v>
      </c>
      <c r="E53" s="4" t="s">
        <v>29</v>
      </c>
      <c r="F53" s="4" t="s">
        <v>28</v>
      </c>
      <c r="G53" s="4" t="s">
        <v>107</v>
      </c>
      <c r="H53">
        <v>155</v>
      </c>
      <c r="I53">
        <v>231</v>
      </c>
      <c r="J53">
        <v>0</v>
      </c>
      <c r="K53">
        <v>231</v>
      </c>
      <c r="L53">
        <v>118116.6</v>
      </c>
      <c r="M53">
        <v>0</v>
      </c>
      <c r="N53">
        <v>118116.6</v>
      </c>
      <c r="O53">
        <v>42777</v>
      </c>
      <c r="P53">
        <v>75339.600000000006</v>
      </c>
      <c r="Q53">
        <v>0.63780000000000003</v>
      </c>
      <c r="R53">
        <v>17</v>
      </c>
      <c r="S53">
        <v>15828.6</v>
      </c>
      <c r="T53">
        <v>0</v>
      </c>
      <c r="U53">
        <v>762.04</v>
      </c>
    </row>
    <row r="54" spans="1:21" x14ac:dyDescent="0.35">
      <c r="A54">
        <v>2024</v>
      </c>
      <c r="B54">
        <v>1</v>
      </c>
      <c r="C54">
        <v>1</v>
      </c>
      <c r="D54" s="1">
        <v>45292</v>
      </c>
      <c r="E54" s="4" t="s">
        <v>29</v>
      </c>
      <c r="F54" s="4" t="s">
        <v>28</v>
      </c>
      <c r="G54" s="4" t="s">
        <v>108</v>
      </c>
      <c r="H54">
        <v>19</v>
      </c>
      <c r="I54">
        <v>30</v>
      </c>
      <c r="J54">
        <v>0</v>
      </c>
      <c r="K54">
        <v>30</v>
      </c>
      <c r="L54">
        <v>17169.919999999998</v>
      </c>
      <c r="M54">
        <v>0</v>
      </c>
      <c r="N54">
        <v>17169.919999999998</v>
      </c>
      <c r="O54">
        <v>6384</v>
      </c>
      <c r="P54">
        <v>10785.92</v>
      </c>
      <c r="Q54">
        <v>0.62819999999999998</v>
      </c>
      <c r="R54">
        <v>3</v>
      </c>
      <c r="S54">
        <v>3793.92</v>
      </c>
      <c r="T54">
        <v>0</v>
      </c>
      <c r="U54">
        <v>903.68</v>
      </c>
    </row>
    <row r="55" spans="1:21" x14ac:dyDescent="0.35">
      <c r="A55">
        <v>2024</v>
      </c>
      <c r="B55">
        <v>1</v>
      </c>
      <c r="C55">
        <v>1</v>
      </c>
      <c r="D55" s="1">
        <v>45292</v>
      </c>
      <c r="E55" s="4" t="s">
        <v>29</v>
      </c>
      <c r="F55" s="4" t="s">
        <v>28</v>
      </c>
      <c r="G55" s="4" t="s">
        <v>109</v>
      </c>
      <c r="H55">
        <v>625</v>
      </c>
      <c r="I55">
        <v>985</v>
      </c>
      <c r="J55">
        <v>0</v>
      </c>
      <c r="K55">
        <v>985</v>
      </c>
      <c r="L55">
        <v>475212.2</v>
      </c>
      <c r="M55">
        <v>0</v>
      </c>
      <c r="N55">
        <v>475212.2</v>
      </c>
      <c r="O55">
        <v>172156.6</v>
      </c>
      <c r="P55">
        <v>303055.59999999998</v>
      </c>
      <c r="Q55">
        <v>0.63770000000000004</v>
      </c>
      <c r="R55">
        <v>77</v>
      </c>
      <c r="S55">
        <v>66871.179999999993</v>
      </c>
      <c r="T55">
        <v>0</v>
      </c>
      <c r="U55">
        <v>760.34</v>
      </c>
    </row>
    <row r="56" spans="1:21" x14ac:dyDescent="0.35">
      <c r="A56">
        <v>2024</v>
      </c>
      <c r="B56">
        <v>1</v>
      </c>
      <c r="C56">
        <v>1</v>
      </c>
      <c r="D56" s="1">
        <v>45292</v>
      </c>
      <c r="E56" s="4" t="s">
        <v>29</v>
      </c>
      <c r="F56" s="4" t="s">
        <v>24</v>
      </c>
      <c r="G56" s="4" t="s">
        <v>107</v>
      </c>
      <c r="H56">
        <v>12</v>
      </c>
      <c r="I56">
        <v>20</v>
      </c>
      <c r="J56">
        <v>1</v>
      </c>
      <c r="K56">
        <v>19</v>
      </c>
      <c r="L56">
        <v>15716.16</v>
      </c>
      <c r="M56">
        <v>864</v>
      </c>
      <c r="N56">
        <v>14852.16</v>
      </c>
      <c r="O56">
        <v>9028.7999999999993</v>
      </c>
      <c r="P56">
        <v>5823.36</v>
      </c>
      <c r="Q56">
        <v>0.3921</v>
      </c>
      <c r="R56">
        <v>4</v>
      </c>
      <c r="S56">
        <v>6212.16</v>
      </c>
      <c r="T56">
        <v>0</v>
      </c>
      <c r="U56">
        <v>1237.68</v>
      </c>
    </row>
    <row r="57" spans="1:21" x14ac:dyDescent="0.35">
      <c r="A57">
        <v>2024</v>
      </c>
      <c r="B57">
        <v>1</v>
      </c>
      <c r="C57">
        <v>1</v>
      </c>
      <c r="D57" s="1">
        <v>45292</v>
      </c>
      <c r="E57" s="4" t="s">
        <v>29</v>
      </c>
      <c r="F57" s="4" t="s">
        <v>24</v>
      </c>
      <c r="G57" s="4" t="s">
        <v>108</v>
      </c>
      <c r="H57">
        <v>11</v>
      </c>
      <c r="I57">
        <v>15</v>
      </c>
      <c r="J57">
        <v>0</v>
      </c>
      <c r="K57">
        <v>15</v>
      </c>
      <c r="L57">
        <v>11130</v>
      </c>
      <c r="M57">
        <v>0</v>
      </c>
      <c r="N57">
        <v>11130</v>
      </c>
      <c r="O57">
        <v>6121.5</v>
      </c>
      <c r="P57">
        <v>5008.5</v>
      </c>
      <c r="Q57">
        <v>0.45</v>
      </c>
      <c r="R57">
        <v>0</v>
      </c>
      <c r="S57">
        <v>0</v>
      </c>
      <c r="T57">
        <v>0</v>
      </c>
      <c r="U57">
        <v>1011.82</v>
      </c>
    </row>
    <row r="58" spans="1:21" x14ac:dyDescent="0.35">
      <c r="A58">
        <v>2024</v>
      </c>
      <c r="B58">
        <v>1</v>
      </c>
      <c r="C58">
        <v>1</v>
      </c>
      <c r="D58" s="1">
        <v>45292</v>
      </c>
      <c r="E58" s="4" t="s">
        <v>29</v>
      </c>
      <c r="F58" s="4" t="s">
        <v>24</v>
      </c>
      <c r="G58" s="4" t="s">
        <v>109</v>
      </c>
      <c r="H58">
        <v>107</v>
      </c>
      <c r="I58">
        <v>157</v>
      </c>
      <c r="J58">
        <v>7</v>
      </c>
      <c r="K58">
        <v>150</v>
      </c>
      <c r="L58">
        <v>313337</v>
      </c>
      <c r="M58">
        <v>10620</v>
      </c>
      <c r="N58">
        <v>302717</v>
      </c>
      <c r="O58">
        <v>172540.5</v>
      </c>
      <c r="P58">
        <v>130176.5</v>
      </c>
      <c r="Q58">
        <v>0.43</v>
      </c>
      <c r="R58">
        <v>14</v>
      </c>
      <c r="S58">
        <v>41264</v>
      </c>
      <c r="T58">
        <v>0</v>
      </c>
      <c r="U58">
        <v>2829.13</v>
      </c>
    </row>
    <row r="59" spans="1:21" x14ac:dyDescent="0.35">
      <c r="A59">
        <v>2024</v>
      </c>
      <c r="B59">
        <v>1</v>
      </c>
      <c r="C59">
        <v>1</v>
      </c>
      <c r="D59" s="1">
        <v>45292</v>
      </c>
      <c r="E59" s="4" t="s">
        <v>29</v>
      </c>
      <c r="F59" s="4" t="s">
        <v>26</v>
      </c>
      <c r="G59" s="4" t="s">
        <v>107</v>
      </c>
      <c r="H59">
        <v>10</v>
      </c>
      <c r="I59">
        <v>15</v>
      </c>
      <c r="J59">
        <v>0</v>
      </c>
      <c r="K59">
        <v>15</v>
      </c>
      <c r="L59">
        <v>10572</v>
      </c>
      <c r="M59">
        <v>0</v>
      </c>
      <c r="N59">
        <v>10572</v>
      </c>
      <c r="O59">
        <v>6343.2</v>
      </c>
      <c r="P59">
        <v>4228.8</v>
      </c>
      <c r="Q59">
        <v>0.4</v>
      </c>
      <c r="R59">
        <v>0</v>
      </c>
      <c r="S59">
        <v>0</v>
      </c>
      <c r="T59">
        <v>0</v>
      </c>
      <c r="U59">
        <v>1057.2</v>
      </c>
    </row>
    <row r="60" spans="1:21" x14ac:dyDescent="0.35">
      <c r="A60">
        <v>2024</v>
      </c>
      <c r="B60">
        <v>1</v>
      </c>
      <c r="C60">
        <v>1</v>
      </c>
      <c r="D60" s="1">
        <v>45292</v>
      </c>
      <c r="E60" s="4" t="s">
        <v>29</v>
      </c>
      <c r="F60" s="4" t="s">
        <v>26</v>
      </c>
      <c r="G60" s="4" t="s">
        <v>109</v>
      </c>
      <c r="H60">
        <v>20</v>
      </c>
      <c r="I60">
        <v>30</v>
      </c>
      <c r="J60">
        <v>0</v>
      </c>
      <c r="K60">
        <v>30</v>
      </c>
      <c r="L60">
        <v>20653.5</v>
      </c>
      <c r="M60">
        <v>0</v>
      </c>
      <c r="N60">
        <v>20653.5</v>
      </c>
      <c r="O60">
        <v>12448.2</v>
      </c>
      <c r="P60">
        <v>8205.2999999999993</v>
      </c>
      <c r="Q60">
        <v>0.39729999999999999</v>
      </c>
      <c r="R60">
        <v>1</v>
      </c>
      <c r="S60">
        <v>456.5</v>
      </c>
      <c r="T60">
        <v>0</v>
      </c>
      <c r="U60">
        <v>1032.68</v>
      </c>
    </row>
    <row r="61" spans="1:21" x14ac:dyDescent="0.35">
      <c r="A61">
        <v>2024</v>
      </c>
      <c r="B61">
        <v>1</v>
      </c>
      <c r="C61">
        <v>1</v>
      </c>
      <c r="D61" s="1">
        <v>45292</v>
      </c>
      <c r="E61" s="4" t="s">
        <v>31</v>
      </c>
      <c r="F61" s="4" t="s">
        <v>28</v>
      </c>
      <c r="G61" s="4" t="s">
        <v>107</v>
      </c>
      <c r="H61">
        <v>51</v>
      </c>
      <c r="I61">
        <v>79</v>
      </c>
      <c r="J61">
        <v>0</v>
      </c>
      <c r="K61">
        <v>79</v>
      </c>
      <c r="L61">
        <v>32146.01</v>
      </c>
      <c r="M61">
        <v>0</v>
      </c>
      <c r="N61">
        <v>32146.01</v>
      </c>
      <c r="O61">
        <v>11368.35</v>
      </c>
      <c r="P61">
        <v>20777.66</v>
      </c>
      <c r="Q61">
        <v>0.64639999999999997</v>
      </c>
      <c r="R61">
        <v>2</v>
      </c>
      <c r="S61">
        <v>1680.01</v>
      </c>
      <c r="T61">
        <v>0</v>
      </c>
      <c r="U61">
        <v>630.30999999999995</v>
      </c>
    </row>
    <row r="62" spans="1:21" x14ac:dyDescent="0.35">
      <c r="A62">
        <v>2024</v>
      </c>
      <c r="B62">
        <v>1</v>
      </c>
      <c r="C62">
        <v>1</v>
      </c>
      <c r="D62" s="1">
        <v>45292</v>
      </c>
      <c r="E62" s="4" t="s">
        <v>31</v>
      </c>
      <c r="F62" s="4" t="s">
        <v>28</v>
      </c>
      <c r="G62" s="4" t="s">
        <v>108</v>
      </c>
      <c r="H62">
        <v>223</v>
      </c>
      <c r="I62">
        <v>335</v>
      </c>
      <c r="J62">
        <v>0</v>
      </c>
      <c r="K62">
        <v>335</v>
      </c>
      <c r="L62">
        <v>129491.03</v>
      </c>
      <c r="M62">
        <v>0</v>
      </c>
      <c r="N62">
        <v>129491.03</v>
      </c>
      <c r="O62">
        <v>46553.15</v>
      </c>
      <c r="P62">
        <v>82937.88</v>
      </c>
      <c r="Q62">
        <v>0.64049999999999996</v>
      </c>
      <c r="R62">
        <v>21</v>
      </c>
      <c r="S62">
        <v>13362.62</v>
      </c>
      <c r="T62">
        <v>0</v>
      </c>
      <c r="U62">
        <v>580.67999999999995</v>
      </c>
    </row>
    <row r="63" spans="1:21" x14ac:dyDescent="0.35">
      <c r="A63">
        <v>2024</v>
      </c>
      <c r="B63">
        <v>1</v>
      </c>
      <c r="C63">
        <v>1</v>
      </c>
      <c r="D63" s="1">
        <v>45292</v>
      </c>
      <c r="E63" s="4" t="s">
        <v>31</v>
      </c>
      <c r="F63" s="4" t="s">
        <v>28</v>
      </c>
      <c r="G63" s="4" t="s">
        <v>109</v>
      </c>
      <c r="H63">
        <v>665</v>
      </c>
      <c r="I63">
        <v>1027</v>
      </c>
      <c r="J63">
        <v>0</v>
      </c>
      <c r="K63">
        <v>1027</v>
      </c>
      <c r="L63">
        <v>511773.79</v>
      </c>
      <c r="M63">
        <v>0</v>
      </c>
      <c r="N63">
        <v>511773.79</v>
      </c>
      <c r="O63">
        <v>187185.6</v>
      </c>
      <c r="P63">
        <v>324588.19</v>
      </c>
      <c r="Q63">
        <v>0.63419999999999999</v>
      </c>
      <c r="R63">
        <v>89</v>
      </c>
      <c r="S63">
        <v>87086.55</v>
      </c>
      <c r="T63">
        <v>0</v>
      </c>
      <c r="U63">
        <v>769.58</v>
      </c>
    </row>
    <row r="64" spans="1:21" x14ac:dyDescent="0.35">
      <c r="A64">
        <v>2024</v>
      </c>
      <c r="B64">
        <v>1</v>
      </c>
      <c r="C64">
        <v>1</v>
      </c>
      <c r="D64" s="1">
        <v>45292</v>
      </c>
      <c r="E64" s="4" t="s">
        <v>31</v>
      </c>
      <c r="F64" s="4" t="s">
        <v>35</v>
      </c>
      <c r="G64" s="4" t="s">
        <v>109</v>
      </c>
      <c r="H64">
        <v>1</v>
      </c>
      <c r="I64">
        <v>1</v>
      </c>
      <c r="J64">
        <v>0</v>
      </c>
      <c r="K64">
        <v>1</v>
      </c>
      <c r="L64">
        <v>580</v>
      </c>
      <c r="M64">
        <v>0</v>
      </c>
      <c r="N64">
        <v>580</v>
      </c>
      <c r="O64">
        <v>116</v>
      </c>
      <c r="P64">
        <v>464</v>
      </c>
      <c r="Q64">
        <v>0.8</v>
      </c>
      <c r="R64">
        <v>0</v>
      </c>
      <c r="S64">
        <v>0</v>
      </c>
      <c r="T64">
        <v>0</v>
      </c>
      <c r="U64">
        <v>580</v>
      </c>
    </row>
    <row r="65" spans="1:21" x14ac:dyDescent="0.35">
      <c r="A65">
        <v>2024</v>
      </c>
      <c r="B65">
        <v>1</v>
      </c>
      <c r="C65">
        <v>1</v>
      </c>
      <c r="D65" s="1">
        <v>45292</v>
      </c>
      <c r="E65" s="4" t="s">
        <v>31</v>
      </c>
      <c r="F65" s="4" t="s">
        <v>24</v>
      </c>
      <c r="G65" s="4" t="s">
        <v>107</v>
      </c>
      <c r="H65">
        <v>10</v>
      </c>
      <c r="I65">
        <v>15</v>
      </c>
      <c r="J65">
        <v>1</v>
      </c>
      <c r="K65">
        <v>14</v>
      </c>
      <c r="L65">
        <v>25448.6</v>
      </c>
      <c r="M65">
        <v>1810</v>
      </c>
      <c r="N65">
        <v>23638.6</v>
      </c>
      <c r="O65">
        <v>13937</v>
      </c>
      <c r="P65">
        <v>9701.6</v>
      </c>
      <c r="Q65">
        <v>0.41039999999999999</v>
      </c>
      <c r="R65">
        <v>2</v>
      </c>
      <c r="S65">
        <v>5538.6</v>
      </c>
      <c r="T65">
        <v>0</v>
      </c>
      <c r="U65">
        <v>2363.86</v>
      </c>
    </row>
    <row r="66" spans="1:21" x14ac:dyDescent="0.35">
      <c r="A66">
        <v>2024</v>
      </c>
      <c r="B66">
        <v>1</v>
      </c>
      <c r="C66">
        <v>1</v>
      </c>
      <c r="D66" s="1">
        <v>45292</v>
      </c>
      <c r="E66" s="4" t="s">
        <v>31</v>
      </c>
      <c r="F66" s="4" t="s">
        <v>24</v>
      </c>
      <c r="G66" s="4" t="s">
        <v>109</v>
      </c>
      <c r="H66">
        <v>156</v>
      </c>
      <c r="I66">
        <v>253</v>
      </c>
      <c r="J66">
        <v>9</v>
      </c>
      <c r="K66">
        <v>244</v>
      </c>
      <c r="L66">
        <v>357504.07</v>
      </c>
      <c r="M66">
        <v>14254.12</v>
      </c>
      <c r="N66">
        <v>343249.95</v>
      </c>
      <c r="O66">
        <v>195346.8</v>
      </c>
      <c r="P66">
        <v>147903.15</v>
      </c>
      <c r="Q66">
        <v>0.43090000000000001</v>
      </c>
      <c r="R66">
        <v>21</v>
      </c>
      <c r="S66">
        <v>52585.03</v>
      </c>
      <c r="T66">
        <v>0</v>
      </c>
      <c r="U66">
        <v>2200.3200000000002</v>
      </c>
    </row>
    <row r="67" spans="1:21" x14ac:dyDescent="0.35">
      <c r="A67">
        <v>2024</v>
      </c>
      <c r="B67">
        <v>1</v>
      </c>
      <c r="C67">
        <v>1</v>
      </c>
      <c r="D67" s="1">
        <v>45292</v>
      </c>
      <c r="E67" s="4" t="s">
        <v>31</v>
      </c>
      <c r="F67" s="4" t="s">
        <v>26</v>
      </c>
      <c r="G67" s="4" t="s">
        <v>107</v>
      </c>
      <c r="H67">
        <v>5</v>
      </c>
      <c r="I67">
        <v>8</v>
      </c>
      <c r="J67">
        <v>0</v>
      </c>
      <c r="K67">
        <v>8</v>
      </c>
      <c r="L67">
        <v>4112</v>
      </c>
      <c r="M67">
        <v>0</v>
      </c>
      <c r="N67">
        <v>4112</v>
      </c>
      <c r="O67">
        <v>2467.1999999999998</v>
      </c>
      <c r="P67">
        <v>1644.8</v>
      </c>
      <c r="Q67">
        <v>0.4</v>
      </c>
      <c r="R67">
        <v>0</v>
      </c>
      <c r="S67">
        <v>0</v>
      </c>
      <c r="T67">
        <v>0</v>
      </c>
      <c r="U67">
        <v>822.4</v>
      </c>
    </row>
    <row r="68" spans="1:21" x14ac:dyDescent="0.35">
      <c r="A68">
        <v>2024</v>
      </c>
      <c r="B68">
        <v>1</v>
      </c>
      <c r="C68">
        <v>1</v>
      </c>
      <c r="D68" s="1">
        <v>45292</v>
      </c>
      <c r="E68" s="4" t="s">
        <v>31</v>
      </c>
      <c r="F68" s="4" t="s">
        <v>26</v>
      </c>
      <c r="G68" s="4" t="s">
        <v>108</v>
      </c>
      <c r="H68">
        <v>1</v>
      </c>
      <c r="I68">
        <v>3</v>
      </c>
      <c r="J68">
        <v>0</v>
      </c>
      <c r="K68">
        <v>3</v>
      </c>
      <c r="L68">
        <v>2178</v>
      </c>
      <c r="M68">
        <v>0</v>
      </c>
      <c r="N68">
        <v>2178</v>
      </c>
      <c r="O68">
        <v>1306.8</v>
      </c>
      <c r="P68">
        <v>871.2</v>
      </c>
      <c r="Q68">
        <v>0.4</v>
      </c>
      <c r="R68">
        <v>0</v>
      </c>
      <c r="S68">
        <v>0</v>
      </c>
      <c r="T68">
        <v>0</v>
      </c>
      <c r="U68">
        <v>2178</v>
      </c>
    </row>
    <row r="69" spans="1:21" x14ac:dyDescent="0.35">
      <c r="A69">
        <v>2024</v>
      </c>
      <c r="B69">
        <v>1</v>
      </c>
      <c r="C69">
        <v>1</v>
      </c>
      <c r="D69" s="1">
        <v>45292</v>
      </c>
      <c r="E69" s="4" t="s">
        <v>31</v>
      </c>
      <c r="F69" s="4" t="s">
        <v>26</v>
      </c>
      <c r="G69" s="4" t="s">
        <v>109</v>
      </c>
      <c r="H69">
        <v>32</v>
      </c>
      <c r="I69">
        <v>50</v>
      </c>
      <c r="J69">
        <v>1</v>
      </c>
      <c r="K69">
        <v>49</v>
      </c>
      <c r="L69">
        <v>39938.400000000001</v>
      </c>
      <c r="M69">
        <v>981</v>
      </c>
      <c r="N69">
        <v>38957.4</v>
      </c>
      <c r="O69">
        <v>24312</v>
      </c>
      <c r="P69">
        <v>14645.4</v>
      </c>
      <c r="Q69">
        <v>0.37590000000000001</v>
      </c>
      <c r="R69">
        <v>3</v>
      </c>
      <c r="S69">
        <v>6768.4</v>
      </c>
      <c r="T69">
        <v>0</v>
      </c>
      <c r="U69">
        <v>1217.42</v>
      </c>
    </row>
    <row r="70" spans="1:21" x14ac:dyDescent="0.35">
      <c r="A70">
        <v>2024</v>
      </c>
      <c r="B70">
        <v>1</v>
      </c>
      <c r="C70">
        <v>1</v>
      </c>
      <c r="D70" s="1">
        <v>45292</v>
      </c>
      <c r="E70" s="4" t="s">
        <v>30</v>
      </c>
      <c r="F70" s="4" t="s">
        <v>28</v>
      </c>
      <c r="G70" s="4" t="s">
        <v>107</v>
      </c>
      <c r="H70">
        <v>89</v>
      </c>
      <c r="I70">
        <v>138</v>
      </c>
      <c r="J70">
        <v>0</v>
      </c>
      <c r="K70">
        <v>138</v>
      </c>
      <c r="L70">
        <v>59165.75</v>
      </c>
      <c r="M70">
        <v>0</v>
      </c>
      <c r="N70">
        <v>59165.75</v>
      </c>
      <c r="O70">
        <v>21783.3</v>
      </c>
      <c r="P70">
        <v>37382.449999999997</v>
      </c>
      <c r="Q70">
        <v>0.63180000000000003</v>
      </c>
      <c r="R70">
        <v>14</v>
      </c>
      <c r="S70">
        <v>11112.64</v>
      </c>
      <c r="T70">
        <v>0</v>
      </c>
      <c r="U70">
        <v>664.78</v>
      </c>
    </row>
    <row r="71" spans="1:21" x14ac:dyDescent="0.35">
      <c r="A71">
        <v>2024</v>
      </c>
      <c r="B71">
        <v>1</v>
      </c>
      <c r="C71">
        <v>1</v>
      </c>
      <c r="D71" s="1">
        <v>45292</v>
      </c>
      <c r="E71" s="4" t="s">
        <v>30</v>
      </c>
      <c r="F71" s="4" t="s">
        <v>28</v>
      </c>
      <c r="G71" s="4" t="s">
        <v>108</v>
      </c>
      <c r="H71">
        <v>42</v>
      </c>
      <c r="I71">
        <v>69</v>
      </c>
      <c r="J71">
        <v>0</v>
      </c>
      <c r="K71">
        <v>69</v>
      </c>
      <c r="L71">
        <v>41125.050000000003</v>
      </c>
      <c r="M71">
        <v>0</v>
      </c>
      <c r="N71">
        <v>41125.050000000003</v>
      </c>
      <c r="O71">
        <v>14852.25</v>
      </c>
      <c r="P71">
        <v>26272.799999999999</v>
      </c>
      <c r="Q71">
        <v>0.63890000000000002</v>
      </c>
      <c r="R71">
        <v>6</v>
      </c>
      <c r="S71">
        <v>6685.05</v>
      </c>
      <c r="T71">
        <v>0</v>
      </c>
      <c r="U71">
        <v>979.17</v>
      </c>
    </row>
    <row r="72" spans="1:21" x14ac:dyDescent="0.35">
      <c r="A72">
        <v>2024</v>
      </c>
      <c r="B72">
        <v>1</v>
      </c>
      <c r="C72">
        <v>1</v>
      </c>
      <c r="D72" s="1">
        <v>45292</v>
      </c>
      <c r="E72" s="4" t="s">
        <v>30</v>
      </c>
      <c r="F72" s="4" t="s">
        <v>28</v>
      </c>
      <c r="G72" s="4" t="s">
        <v>109</v>
      </c>
      <c r="H72">
        <v>509</v>
      </c>
      <c r="I72">
        <v>772</v>
      </c>
      <c r="J72">
        <v>0</v>
      </c>
      <c r="K72">
        <v>772</v>
      </c>
      <c r="L72">
        <v>300454.84000000003</v>
      </c>
      <c r="M72">
        <v>0</v>
      </c>
      <c r="N72">
        <v>300454.84000000003</v>
      </c>
      <c r="O72">
        <v>107889.60000000001</v>
      </c>
      <c r="P72">
        <v>192565.24</v>
      </c>
      <c r="Q72">
        <v>0.64090000000000003</v>
      </c>
      <c r="R72">
        <v>48</v>
      </c>
      <c r="S72">
        <v>33771.83</v>
      </c>
      <c r="T72">
        <v>0</v>
      </c>
      <c r="U72">
        <v>590.28</v>
      </c>
    </row>
    <row r="73" spans="1:21" x14ac:dyDescent="0.35">
      <c r="A73">
        <v>2024</v>
      </c>
      <c r="B73">
        <v>1</v>
      </c>
      <c r="C73">
        <v>1</v>
      </c>
      <c r="D73" s="1">
        <v>45292</v>
      </c>
      <c r="E73" s="4" t="s">
        <v>30</v>
      </c>
      <c r="F73" s="4" t="s">
        <v>24</v>
      </c>
      <c r="G73" s="4" t="s">
        <v>107</v>
      </c>
      <c r="H73">
        <v>40</v>
      </c>
      <c r="I73">
        <v>61</v>
      </c>
      <c r="J73">
        <v>0</v>
      </c>
      <c r="K73">
        <v>61</v>
      </c>
      <c r="L73">
        <v>115672.08</v>
      </c>
      <c r="M73">
        <v>0</v>
      </c>
      <c r="N73">
        <v>115672.08</v>
      </c>
      <c r="O73">
        <v>65607.3</v>
      </c>
      <c r="P73">
        <v>50064.78</v>
      </c>
      <c r="Q73">
        <v>0.43280000000000002</v>
      </c>
      <c r="R73">
        <v>4</v>
      </c>
      <c r="S73">
        <v>11907.08</v>
      </c>
      <c r="T73">
        <v>0</v>
      </c>
      <c r="U73">
        <v>2891.8</v>
      </c>
    </row>
    <row r="74" spans="1:21" x14ac:dyDescent="0.35">
      <c r="A74">
        <v>2024</v>
      </c>
      <c r="B74">
        <v>1</v>
      </c>
      <c r="C74">
        <v>1</v>
      </c>
      <c r="D74" s="1">
        <v>45292</v>
      </c>
      <c r="E74" s="4" t="s">
        <v>30</v>
      </c>
      <c r="F74" s="4" t="s">
        <v>24</v>
      </c>
      <c r="G74" s="4" t="s">
        <v>108</v>
      </c>
      <c r="H74">
        <v>11</v>
      </c>
      <c r="I74">
        <v>14</v>
      </c>
      <c r="J74">
        <v>0</v>
      </c>
      <c r="K74">
        <v>14</v>
      </c>
      <c r="L74">
        <v>32376.959999999999</v>
      </c>
      <c r="M74">
        <v>0</v>
      </c>
      <c r="N74">
        <v>32376.959999999999</v>
      </c>
      <c r="O74">
        <v>18549.3</v>
      </c>
      <c r="P74">
        <v>13827.66</v>
      </c>
      <c r="Q74">
        <v>0.42709999999999998</v>
      </c>
      <c r="R74">
        <v>1</v>
      </c>
      <c r="S74">
        <v>3468.96</v>
      </c>
      <c r="T74">
        <v>0</v>
      </c>
      <c r="U74">
        <v>2943.36</v>
      </c>
    </row>
    <row r="75" spans="1:21" x14ac:dyDescent="0.35">
      <c r="A75">
        <v>2024</v>
      </c>
      <c r="B75">
        <v>1</v>
      </c>
      <c r="C75">
        <v>1</v>
      </c>
      <c r="D75" s="1">
        <v>45292</v>
      </c>
      <c r="E75" s="4" t="s">
        <v>30</v>
      </c>
      <c r="F75" s="4" t="s">
        <v>24</v>
      </c>
      <c r="G75" s="4" t="s">
        <v>109</v>
      </c>
      <c r="H75">
        <v>162</v>
      </c>
      <c r="I75">
        <v>244</v>
      </c>
      <c r="J75">
        <v>5</v>
      </c>
      <c r="K75">
        <v>239</v>
      </c>
      <c r="L75">
        <v>434949.27</v>
      </c>
      <c r="M75">
        <v>10014</v>
      </c>
      <c r="N75">
        <v>424935.27</v>
      </c>
      <c r="O75">
        <v>239009.65</v>
      </c>
      <c r="P75">
        <v>185925.62</v>
      </c>
      <c r="Q75">
        <v>0.4375</v>
      </c>
      <c r="R75">
        <v>15</v>
      </c>
      <c r="S75">
        <v>42559.47</v>
      </c>
      <c r="T75">
        <v>0</v>
      </c>
      <c r="U75">
        <v>2623.06</v>
      </c>
    </row>
    <row r="76" spans="1:21" x14ac:dyDescent="0.35">
      <c r="A76">
        <v>2024</v>
      </c>
      <c r="B76">
        <v>1</v>
      </c>
      <c r="C76">
        <v>1</v>
      </c>
      <c r="D76" s="1">
        <v>45292</v>
      </c>
      <c r="E76" s="4" t="s">
        <v>30</v>
      </c>
      <c r="F76" s="4" t="s">
        <v>26</v>
      </c>
      <c r="G76" s="4" t="s">
        <v>107</v>
      </c>
      <c r="H76">
        <v>2</v>
      </c>
      <c r="I76">
        <v>3</v>
      </c>
      <c r="J76">
        <v>0</v>
      </c>
      <c r="K76">
        <v>3</v>
      </c>
      <c r="L76">
        <v>2724</v>
      </c>
      <c r="M76">
        <v>0</v>
      </c>
      <c r="N76">
        <v>2724</v>
      </c>
      <c r="O76">
        <v>1634.4</v>
      </c>
      <c r="P76">
        <v>1089.5999999999999</v>
      </c>
      <c r="Q76">
        <v>0.4</v>
      </c>
      <c r="R76">
        <v>0</v>
      </c>
      <c r="S76">
        <v>0</v>
      </c>
      <c r="T76">
        <v>0</v>
      </c>
      <c r="U76">
        <v>1362</v>
      </c>
    </row>
    <row r="77" spans="1:21" x14ac:dyDescent="0.35">
      <c r="A77">
        <v>2024</v>
      </c>
      <c r="B77">
        <v>1</v>
      </c>
      <c r="C77">
        <v>1</v>
      </c>
      <c r="D77" s="1">
        <v>45292</v>
      </c>
      <c r="E77" s="4" t="s">
        <v>30</v>
      </c>
      <c r="F77" s="4" t="s">
        <v>26</v>
      </c>
      <c r="G77" s="4" t="s">
        <v>109</v>
      </c>
      <c r="H77">
        <v>53</v>
      </c>
      <c r="I77">
        <v>80</v>
      </c>
      <c r="J77">
        <v>5</v>
      </c>
      <c r="K77">
        <v>75</v>
      </c>
      <c r="L77">
        <v>67692.259999999995</v>
      </c>
      <c r="M77">
        <v>4628</v>
      </c>
      <c r="N77">
        <v>63064.26</v>
      </c>
      <c r="O77">
        <v>39144</v>
      </c>
      <c r="P77">
        <v>23920.26</v>
      </c>
      <c r="Q77">
        <v>0.37930000000000003</v>
      </c>
      <c r="R77">
        <v>6</v>
      </c>
      <c r="S77">
        <v>8001.26</v>
      </c>
      <c r="T77">
        <v>0</v>
      </c>
      <c r="U77">
        <v>1189.8900000000001</v>
      </c>
    </row>
    <row r="78" spans="1:21" x14ac:dyDescent="0.35">
      <c r="A78">
        <v>2024</v>
      </c>
      <c r="B78">
        <v>1</v>
      </c>
      <c r="C78">
        <v>1</v>
      </c>
      <c r="D78" s="1">
        <v>45292</v>
      </c>
      <c r="E78" s="4" t="s">
        <v>78</v>
      </c>
      <c r="F78" s="4" t="s">
        <v>78</v>
      </c>
      <c r="G78" s="4" t="s">
        <v>110</v>
      </c>
      <c r="H78">
        <v>161</v>
      </c>
      <c r="I78">
        <v>228</v>
      </c>
      <c r="J78">
        <v>0</v>
      </c>
      <c r="K78">
        <v>228</v>
      </c>
      <c r="L78">
        <v>453663</v>
      </c>
      <c r="M78">
        <v>0</v>
      </c>
      <c r="N78">
        <v>453663</v>
      </c>
      <c r="O78">
        <v>68049.45</v>
      </c>
      <c r="P78">
        <v>385613.55</v>
      </c>
      <c r="Q78">
        <v>0.85</v>
      </c>
      <c r="R78">
        <v>1</v>
      </c>
      <c r="S78">
        <v>399</v>
      </c>
      <c r="T78">
        <v>0</v>
      </c>
      <c r="U78">
        <v>2817.78</v>
      </c>
    </row>
    <row r="79" spans="1:21" x14ac:dyDescent="0.35">
      <c r="A79">
        <v>2024</v>
      </c>
      <c r="B79">
        <v>2</v>
      </c>
      <c r="C79">
        <v>1</v>
      </c>
      <c r="D79" s="1">
        <v>45323</v>
      </c>
      <c r="E79" s="4" t="s">
        <v>33</v>
      </c>
      <c r="F79" s="4" t="s">
        <v>28</v>
      </c>
      <c r="G79" s="4" t="s">
        <v>107</v>
      </c>
      <c r="H79">
        <v>95</v>
      </c>
      <c r="I79">
        <v>152</v>
      </c>
      <c r="J79">
        <v>0</v>
      </c>
      <c r="K79">
        <v>152</v>
      </c>
      <c r="L79">
        <v>46780.62</v>
      </c>
      <c r="M79">
        <v>0</v>
      </c>
      <c r="N79">
        <v>46780.62</v>
      </c>
      <c r="O79">
        <v>17285.099999999999</v>
      </c>
      <c r="P79">
        <v>29495.52</v>
      </c>
      <c r="Q79">
        <v>0.63049999999999995</v>
      </c>
      <c r="R79">
        <v>18</v>
      </c>
      <c r="S79">
        <v>10147.620000000001</v>
      </c>
      <c r="T79">
        <v>0</v>
      </c>
      <c r="U79">
        <v>492.43</v>
      </c>
    </row>
    <row r="80" spans="1:21" x14ac:dyDescent="0.35">
      <c r="A80">
        <v>2024</v>
      </c>
      <c r="B80">
        <v>2</v>
      </c>
      <c r="C80">
        <v>1</v>
      </c>
      <c r="D80" s="1">
        <v>45323</v>
      </c>
      <c r="E80" s="4" t="s">
        <v>33</v>
      </c>
      <c r="F80" s="4" t="s">
        <v>28</v>
      </c>
      <c r="G80" s="4" t="s">
        <v>108</v>
      </c>
      <c r="H80">
        <v>34</v>
      </c>
      <c r="I80">
        <v>53</v>
      </c>
      <c r="J80">
        <v>0</v>
      </c>
      <c r="K80">
        <v>53</v>
      </c>
      <c r="L80">
        <v>36838.879999999997</v>
      </c>
      <c r="M80">
        <v>0</v>
      </c>
      <c r="N80">
        <v>36838.879999999997</v>
      </c>
      <c r="O80">
        <v>13207.6</v>
      </c>
      <c r="P80">
        <v>23631.279999999999</v>
      </c>
      <c r="Q80">
        <v>0.64149999999999996</v>
      </c>
      <c r="R80">
        <v>4</v>
      </c>
      <c r="S80">
        <v>4086.88</v>
      </c>
      <c r="T80">
        <v>0</v>
      </c>
      <c r="U80">
        <v>1083.5</v>
      </c>
    </row>
    <row r="81" spans="1:21" x14ac:dyDescent="0.35">
      <c r="A81">
        <v>2024</v>
      </c>
      <c r="B81">
        <v>2</v>
      </c>
      <c r="C81">
        <v>1</v>
      </c>
      <c r="D81" s="1">
        <v>45323</v>
      </c>
      <c r="E81" s="4" t="s">
        <v>33</v>
      </c>
      <c r="F81" s="4" t="s">
        <v>28</v>
      </c>
      <c r="G81" s="4" t="s">
        <v>109</v>
      </c>
      <c r="H81">
        <v>538</v>
      </c>
      <c r="I81">
        <v>834</v>
      </c>
      <c r="J81">
        <v>0</v>
      </c>
      <c r="K81">
        <v>834</v>
      </c>
      <c r="L81">
        <v>428701.98</v>
      </c>
      <c r="M81">
        <v>0</v>
      </c>
      <c r="N81">
        <v>428701.98</v>
      </c>
      <c r="O81">
        <v>156733.85</v>
      </c>
      <c r="P81">
        <v>271968.13</v>
      </c>
      <c r="Q81">
        <v>0.63439999999999996</v>
      </c>
      <c r="R81">
        <v>70</v>
      </c>
      <c r="S81">
        <v>77977.67</v>
      </c>
      <c r="T81">
        <v>0</v>
      </c>
      <c r="U81">
        <v>796.84</v>
      </c>
    </row>
    <row r="82" spans="1:21" x14ac:dyDescent="0.35">
      <c r="A82">
        <v>2024</v>
      </c>
      <c r="B82">
        <v>2</v>
      </c>
      <c r="C82">
        <v>1</v>
      </c>
      <c r="D82" s="1">
        <v>45323</v>
      </c>
      <c r="E82" s="4" t="s">
        <v>33</v>
      </c>
      <c r="F82" s="4" t="s">
        <v>24</v>
      </c>
      <c r="G82" s="4" t="s">
        <v>107</v>
      </c>
      <c r="H82">
        <v>8</v>
      </c>
      <c r="I82">
        <v>13</v>
      </c>
      <c r="J82">
        <v>0</v>
      </c>
      <c r="K82">
        <v>13</v>
      </c>
      <c r="L82">
        <v>18595.32</v>
      </c>
      <c r="M82">
        <v>0</v>
      </c>
      <c r="N82">
        <v>18595.32</v>
      </c>
      <c r="O82">
        <v>10494.55</v>
      </c>
      <c r="P82">
        <v>8100.77</v>
      </c>
      <c r="Q82">
        <v>0.43559999999999999</v>
      </c>
      <c r="R82">
        <v>1</v>
      </c>
      <c r="S82">
        <v>3250.32</v>
      </c>
      <c r="T82">
        <v>0</v>
      </c>
      <c r="U82">
        <v>2324.42</v>
      </c>
    </row>
    <row r="83" spans="1:21" x14ac:dyDescent="0.35">
      <c r="A83">
        <v>2024</v>
      </c>
      <c r="B83">
        <v>2</v>
      </c>
      <c r="C83">
        <v>1</v>
      </c>
      <c r="D83" s="1">
        <v>45323</v>
      </c>
      <c r="E83" s="4" t="s">
        <v>33</v>
      </c>
      <c r="F83" s="4" t="s">
        <v>24</v>
      </c>
      <c r="G83" s="4" t="s">
        <v>109</v>
      </c>
      <c r="H83">
        <v>122</v>
      </c>
      <c r="I83">
        <v>171</v>
      </c>
      <c r="J83">
        <v>10</v>
      </c>
      <c r="K83">
        <v>161</v>
      </c>
      <c r="L83">
        <v>271500.7</v>
      </c>
      <c r="M83">
        <v>17294</v>
      </c>
      <c r="N83">
        <v>254206.7</v>
      </c>
      <c r="O83">
        <v>142579.79999999999</v>
      </c>
      <c r="P83">
        <v>111626.9</v>
      </c>
      <c r="Q83">
        <v>0.43909999999999999</v>
      </c>
      <c r="R83">
        <v>9</v>
      </c>
      <c r="S83">
        <v>20427.7</v>
      </c>
      <c r="T83">
        <v>0</v>
      </c>
      <c r="U83">
        <v>2083.66</v>
      </c>
    </row>
    <row r="84" spans="1:21" x14ac:dyDescent="0.35">
      <c r="A84">
        <v>2024</v>
      </c>
      <c r="B84">
        <v>2</v>
      </c>
      <c r="C84">
        <v>1</v>
      </c>
      <c r="D84" s="1">
        <v>45323</v>
      </c>
      <c r="E84" s="4" t="s">
        <v>33</v>
      </c>
      <c r="F84" s="4" t="s">
        <v>26</v>
      </c>
      <c r="G84" s="4" t="s">
        <v>107</v>
      </c>
      <c r="H84">
        <v>1</v>
      </c>
      <c r="I84">
        <v>1</v>
      </c>
      <c r="J84">
        <v>0</v>
      </c>
      <c r="K84">
        <v>1</v>
      </c>
      <c r="L84">
        <v>581</v>
      </c>
      <c r="M84">
        <v>0</v>
      </c>
      <c r="N84">
        <v>581</v>
      </c>
      <c r="O84">
        <v>348.6</v>
      </c>
      <c r="P84">
        <v>232.4</v>
      </c>
      <c r="Q84">
        <v>0.4</v>
      </c>
      <c r="R84">
        <v>0</v>
      </c>
      <c r="S84">
        <v>0</v>
      </c>
      <c r="T84">
        <v>0</v>
      </c>
      <c r="U84">
        <v>581</v>
      </c>
    </row>
    <row r="85" spans="1:21" x14ac:dyDescent="0.35">
      <c r="A85">
        <v>2024</v>
      </c>
      <c r="B85">
        <v>2</v>
      </c>
      <c r="C85">
        <v>1</v>
      </c>
      <c r="D85" s="1">
        <v>45323</v>
      </c>
      <c r="E85" s="4" t="s">
        <v>33</v>
      </c>
      <c r="F85" s="4" t="s">
        <v>26</v>
      </c>
      <c r="G85" s="4" t="s">
        <v>108</v>
      </c>
      <c r="H85">
        <v>9</v>
      </c>
      <c r="I85">
        <v>16</v>
      </c>
      <c r="J85">
        <v>0</v>
      </c>
      <c r="K85">
        <v>16</v>
      </c>
      <c r="L85">
        <v>12736.73</v>
      </c>
      <c r="M85">
        <v>0</v>
      </c>
      <c r="N85">
        <v>12736.73</v>
      </c>
      <c r="O85">
        <v>8086.8</v>
      </c>
      <c r="P85">
        <v>4649.93</v>
      </c>
      <c r="Q85">
        <v>0.36509999999999998</v>
      </c>
      <c r="R85">
        <v>3</v>
      </c>
      <c r="S85">
        <v>3986.73</v>
      </c>
      <c r="T85">
        <v>0</v>
      </c>
      <c r="U85">
        <v>1415.19</v>
      </c>
    </row>
    <row r="86" spans="1:21" x14ac:dyDescent="0.35">
      <c r="A86">
        <v>2024</v>
      </c>
      <c r="B86">
        <v>2</v>
      </c>
      <c r="C86">
        <v>1</v>
      </c>
      <c r="D86" s="1">
        <v>45323</v>
      </c>
      <c r="E86" s="4" t="s">
        <v>33</v>
      </c>
      <c r="F86" s="4" t="s">
        <v>26</v>
      </c>
      <c r="G86" s="4" t="s">
        <v>109</v>
      </c>
      <c r="H86">
        <v>41</v>
      </c>
      <c r="I86">
        <v>65</v>
      </c>
      <c r="J86">
        <v>4</v>
      </c>
      <c r="K86">
        <v>61</v>
      </c>
      <c r="L86">
        <v>46810.19</v>
      </c>
      <c r="M86">
        <v>3644</v>
      </c>
      <c r="N86">
        <v>43166.19</v>
      </c>
      <c r="O86">
        <v>26998.2</v>
      </c>
      <c r="P86">
        <v>16167.99</v>
      </c>
      <c r="Q86">
        <v>0.37459999999999999</v>
      </c>
      <c r="R86">
        <v>6</v>
      </c>
      <c r="S86">
        <v>7769.19</v>
      </c>
      <c r="T86">
        <v>0</v>
      </c>
      <c r="U86">
        <v>1052.83</v>
      </c>
    </row>
    <row r="87" spans="1:21" x14ac:dyDescent="0.35">
      <c r="A87">
        <v>2024</v>
      </c>
      <c r="B87">
        <v>2</v>
      </c>
      <c r="C87">
        <v>1</v>
      </c>
      <c r="D87" s="1">
        <v>45323</v>
      </c>
      <c r="E87" s="4" t="s">
        <v>32</v>
      </c>
      <c r="F87" s="4" t="s">
        <v>28</v>
      </c>
      <c r="G87" s="4" t="s">
        <v>107</v>
      </c>
      <c r="H87">
        <v>26</v>
      </c>
      <c r="I87">
        <v>35</v>
      </c>
      <c r="J87">
        <v>0</v>
      </c>
      <c r="K87">
        <v>35</v>
      </c>
      <c r="L87">
        <v>15349.74</v>
      </c>
      <c r="M87">
        <v>0</v>
      </c>
      <c r="N87">
        <v>15349.74</v>
      </c>
      <c r="O87">
        <v>5561.5</v>
      </c>
      <c r="P87">
        <v>9788.24</v>
      </c>
      <c r="Q87">
        <v>0.63770000000000004</v>
      </c>
      <c r="R87">
        <v>3</v>
      </c>
      <c r="S87">
        <v>2637.74</v>
      </c>
      <c r="T87">
        <v>0</v>
      </c>
      <c r="U87">
        <v>590.37</v>
      </c>
    </row>
    <row r="88" spans="1:21" x14ac:dyDescent="0.35">
      <c r="A88">
        <v>2024</v>
      </c>
      <c r="B88">
        <v>2</v>
      </c>
      <c r="C88">
        <v>1</v>
      </c>
      <c r="D88" s="1">
        <v>45323</v>
      </c>
      <c r="E88" s="4" t="s">
        <v>32</v>
      </c>
      <c r="F88" s="4" t="s">
        <v>28</v>
      </c>
      <c r="G88" s="4" t="s">
        <v>109</v>
      </c>
      <c r="H88">
        <v>384</v>
      </c>
      <c r="I88">
        <v>588</v>
      </c>
      <c r="J88">
        <v>0</v>
      </c>
      <c r="K88">
        <v>588</v>
      </c>
      <c r="L88">
        <v>206626.92</v>
      </c>
      <c r="M88">
        <v>0</v>
      </c>
      <c r="N88">
        <v>206626.92</v>
      </c>
      <c r="O88">
        <v>75392.45</v>
      </c>
      <c r="P88">
        <v>131234.47</v>
      </c>
      <c r="Q88">
        <v>0.6351</v>
      </c>
      <c r="R88">
        <v>53</v>
      </c>
      <c r="S88">
        <v>36542.11</v>
      </c>
      <c r="T88">
        <v>0</v>
      </c>
      <c r="U88">
        <v>538.09</v>
      </c>
    </row>
    <row r="89" spans="1:21" x14ac:dyDescent="0.35">
      <c r="A89">
        <v>2024</v>
      </c>
      <c r="B89">
        <v>2</v>
      </c>
      <c r="C89">
        <v>1</v>
      </c>
      <c r="D89" s="1">
        <v>45323</v>
      </c>
      <c r="E89" s="4" t="s">
        <v>32</v>
      </c>
      <c r="F89" s="4" t="s">
        <v>35</v>
      </c>
      <c r="G89" s="4" t="s">
        <v>109</v>
      </c>
      <c r="H89">
        <v>1</v>
      </c>
      <c r="I89">
        <v>2</v>
      </c>
      <c r="J89">
        <v>0</v>
      </c>
      <c r="K89">
        <v>2</v>
      </c>
      <c r="L89">
        <v>1114</v>
      </c>
      <c r="M89">
        <v>0</v>
      </c>
      <c r="N89">
        <v>1114</v>
      </c>
      <c r="O89">
        <v>222.8</v>
      </c>
      <c r="P89">
        <v>891.2</v>
      </c>
      <c r="Q89">
        <v>0.8</v>
      </c>
      <c r="R89">
        <v>0</v>
      </c>
      <c r="S89">
        <v>0</v>
      </c>
      <c r="T89">
        <v>0</v>
      </c>
      <c r="U89">
        <v>1114</v>
      </c>
    </row>
    <row r="90" spans="1:21" x14ac:dyDescent="0.35">
      <c r="A90">
        <v>2024</v>
      </c>
      <c r="B90">
        <v>2</v>
      </c>
      <c r="C90">
        <v>1</v>
      </c>
      <c r="D90" s="1">
        <v>45323</v>
      </c>
      <c r="E90" s="4" t="s">
        <v>32</v>
      </c>
      <c r="F90" s="4" t="s">
        <v>24</v>
      </c>
      <c r="G90" s="4" t="s">
        <v>107</v>
      </c>
      <c r="H90">
        <v>37</v>
      </c>
      <c r="I90">
        <v>59</v>
      </c>
      <c r="J90">
        <v>0</v>
      </c>
      <c r="K90">
        <v>59</v>
      </c>
      <c r="L90">
        <v>82320.960000000006</v>
      </c>
      <c r="M90">
        <v>0</v>
      </c>
      <c r="N90">
        <v>82320.960000000006</v>
      </c>
      <c r="O90">
        <v>45879.9</v>
      </c>
      <c r="P90">
        <v>36441.06</v>
      </c>
      <c r="Q90">
        <v>0.44269999999999998</v>
      </c>
      <c r="R90">
        <v>2</v>
      </c>
      <c r="S90">
        <v>6202.68</v>
      </c>
      <c r="T90">
        <v>0</v>
      </c>
      <c r="U90">
        <v>2224.89</v>
      </c>
    </row>
    <row r="91" spans="1:21" x14ac:dyDescent="0.35">
      <c r="A91">
        <v>2024</v>
      </c>
      <c r="B91">
        <v>2</v>
      </c>
      <c r="C91">
        <v>1</v>
      </c>
      <c r="D91" s="1">
        <v>45323</v>
      </c>
      <c r="E91" s="4" t="s">
        <v>32</v>
      </c>
      <c r="F91" s="4" t="s">
        <v>24</v>
      </c>
      <c r="G91" s="4" t="s">
        <v>109</v>
      </c>
      <c r="H91">
        <v>154</v>
      </c>
      <c r="I91">
        <v>259</v>
      </c>
      <c r="J91">
        <v>9</v>
      </c>
      <c r="K91">
        <v>250</v>
      </c>
      <c r="L91">
        <v>322055.08</v>
      </c>
      <c r="M91">
        <v>7423.64</v>
      </c>
      <c r="N91">
        <v>314631.44</v>
      </c>
      <c r="O91">
        <v>184344.05</v>
      </c>
      <c r="P91">
        <v>130287.39</v>
      </c>
      <c r="Q91">
        <v>0.41410000000000002</v>
      </c>
      <c r="R91">
        <v>29</v>
      </c>
      <c r="S91">
        <v>62047.49</v>
      </c>
      <c r="T91">
        <v>0</v>
      </c>
      <c r="U91">
        <v>2043.06</v>
      </c>
    </row>
    <row r="92" spans="1:21" x14ac:dyDescent="0.35">
      <c r="A92">
        <v>2024</v>
      </c>
      <c r="B92">
        <v>2</v>
      </c>
      <c r="C92">
        <v>1</v>
      </c>
      <c r="D92" s="1">
        <v>45323</v>
      </c>
      <c r="E92" s="4" t="s">
        <v>32</v>
      </c>
      <c r="F92" s="4" t="s">
        <v>26</v>
      </c>
      <c r="G92" s="4" t="s">
        <v>108</v>
      </c>
      <c r="H92">
        <v>10</v>
      </c>
      <c r="I92">
        <v>12</v>
      </c>
      <c r="J92">
        <v>0</v>
      </c>
      <c r="K92">
        <v>12</v>
      </c>
      <c r="L92">
        <v>3751.65</v>
      </c>
      <c r="M92">
        <v>0</v>
      </c>
      <c r="N92">
        <v>3751.65</v>
      </c>
      <c r="O92">
        <v>2268</v>
      </c>
      <c r="P92">
        <v>1483.65</v>
      </c>
      <c r="Q92">
        <v>0.39550000000000002</v>
      </c>
      <c r="R92">
        <v>1</v>
      </c>
      <c r="S92">
        <v>286.64999999999998</v>
      </c>
      <c r="T92">
        <v>0</v>
      </c>
      <c r="U92">
        <v>375.17</v>
      </c>
    </row>
    <row r="93" spans="1:21" x14ac:dyDescent="0.35">
      <c r="A93">
        <v>2024</v>
      </c>
      <c r="B93">
        <v>2</v>
      </c>
      <c r="C93">
        <v>1</v>
      </c>
      <c r="D93" s="1">
        <v>45323</v>
      </c>
      <c r="E93" s="4" t="s">
        <v>32</v>
      </c>
      <c r="F93" s="4" t="s">
        <v>26</v>
      </c>
      <c r="G93" s="4" t="s">
        <v>109</v>
      </c>
      <c r="H93">
        <v>39</v>
      </c>
      <c r="I93">
        <v>64</v>
      </c>
      <c r="J93">
        <v>2</v>
      </c>
      <c r="K93">
        <v>62</v>
      </c>
      <c r="L93">
        <v>49700.639999999999</v>
      </c>
      <c r="M93">
        <v>1777</v>
      </c>
      <c r="N93">
        <v>47923.64</v>
      </c>
      <c r="O93">
        <v>30442.2</v>
      </c>
      <c r="P93">
        <v>17481.439999999999</v>
      </c>
      <c r="Q93">
        <v>0.36480000000000001</v>
      </c>
      <c r="R93">
        <v>6</v>
      </c>
      <c r="S93">
        <v>9104.64</v>
      </c>
      <c r="T93">
        <v>0</v>
      </c>
      <c r="U93">
        <v>1228.81</v>
      </c>
    </row>
    <row r="94" spans="1:21" x14ac:dyDescent="0.35">
      <c r="A94">
        <v>2024</v>
      </c>
      <c r="B94">
        <v>2</v>
      </c>
      <c r="C94">
        <v>1</v>
      </c>
      <c r="D94" s="1">
        <v>45323</v>
      </c>
      <c r="E94" s="4" t="s">
        <v>27</v>
      </c>
      <c r="F94" s="4" t="s">
        <v>28</v>
      </c>
      <c r="G94" s="4" t="s">
        <v>107</v>
      </c>
      <c r="H94">
        <v>227</v>
      </c>
      <c r="I94">
        <v>341</v>
      </c>
      <c r="J94">
        <v>0</v>
      </c>
      <c r="K94">
        <v>341</v>
      </c>
      <c r="L94">
        <v>152170.25</v>
      </c>
      <c r="M94">
        <v>0</v>
      </c>
      <c r="N94">
        <v>152170.25</v>
      </c>
      <c r="O94">
        <v>54591.6</v>
      </c>
      <c r="P94">
        <v>97578.65</v>
      </c>
      <c r="Q94">
        <v>0.64119999999999999</v>
      </c>
      <c r="R94">
        <v>24</v>
      </c>
      <c r="S94">
        <v>17779.88</v>
      </c>
      <c r="T94">
        <v>0</v>
      </c>
      <c r="U94">
        <v>670.35</v>
      </c>
    </row>
    <row r="95" spans="1:21" x14ac:dyDescent="0.35">
      <c r="A95">
        <v>2024</v>
      </c>
      <c r="B95">
        <v>2</v>
      </c>
      <c r="C95">
        <v>1</v>
      </c>
      <c r="D95" s="1">
        <v>45323</v>
      </c>
      <c r="E95" s="4" t="s">
        <v>27</v>
      </c>
      <c r="F95" s="4" t="s">
        <v>28</v>
      </c>
      <c r="G95" s="4" t="s">
        <v>109</v>
      </c>
      <c r="H95">
        <v>627</v>
      </c>
      <c r="I95">
        <v>969</v>
      </c>
      <c r="J95">
        <v>0</v>
      </c>
      <c r="K95">
        <v>969</v>
      </c>
      <c r="L95">
        <v>508066.21</v>
      </c>
      <c r="M95">
        <v>0</v>
      </c>
      <c r="N95">
        <v>508066.21</v>
      </c>
      <c r="O95">
        <v>184488.15</v>
      </c>
      <c r="P95">
        <v>323578.06</v>
      </c>
      <c r="Q95">
        <v>0.63690000000000002</v>
      </c>
      <c r="R95">
        <v>71</v>
      </c>
      <c r="S95">
        <v>78142.8</v>
      </c>
      <c r="T95">
        <v>0</v>
      </c>
      <c r="U95">
        <v>810.31</v>
      </c>
    </row>
    <row r="96" spans="1:21" x14ac:dyDescent="0.35">
      <c r="A96">
        <v>2024</v>
      </c>
      <c r="B96">
        <v>2</v>
      </c>
      <c r="C96">
        <v>1</v>
      </c>
      <c r="D96" s="1">
        <v>45323</v>
      </c>
      <c r="E96" s="4" t="s">
        <v>27</v>
      </c>
      <c r="F96" s="4" t="s">
        <v>24</v>
      </c>
      <c r="G96" s="4" t="s">
        <v>107</v>
      </c>
      <c r="H96">
        <v>47</v>
      </c>
      <c r="I96">
        <v>77</v>
      </c>
      <c r="J96">
        <v>1</v>
      </c>
      <c r="K96">
        <v>76</v>
      </c>
      <c r="L96">
        <v>134736.19</v>
      </c>
      <c r="M96">
        <v>1614</v>
      </c>
      <c r="N96">
        <v>133122.19</v>
      </c>
      <c r="O96">
        <v>77960.850000000006</v>
      </c>
      <c r="P96">
        <v>55161.34</v>
      </c>
      <c r="Q96">
        <v>0.41439999999999999</v>
      </c>
      <c r="R96">
        <v>7</v>
      </c>
      <c r="S96">
        <v>30900.19</v>
      </c>
      <c r="T96">
        <v>0</v>
      </c>
      <c r="U96">
        <v>2832.39</v>
      </c>
    </row>
    <row r="97" spans="1:21" x14ac:dyDescent="0.35">
      <c r="A97">
        <v>2024</v>
      </c>
      <c r="B97">
        <v>2</v>
      </c>
      <c r="C97">
        <v>1</v>
      </c>
      <c r="D97" s="1">
        <v>45323</v>
      </c>
      <c r="E97" s="4" t="s">
        <v>27</v>
      </c>
      <c r="F97" s="4" t="s">
        <v>24</v>
      </c>
      <c r="G97" s="4" t="s">
        <v>109</v>
      </c>
      <c r="H97">
        <v>231</v>
      </c>
      <c r="I97">
        <v>331</v>
      </c>
      <c r="J97">
        <v>8</v>
      </c>
      <c r="K97">
        <v>323</v>
      </c>
      <c r="L97">
        <v>557607.14</v>
      </c>
      <c r="M97">
        <v>10404.620000000001</v>
      </c>
      <c r="N97">
        <v>547202.52</v>
      </c>
      <c r="O97">
        <v>313966.95</v>
      </c>
      <c r="P97">
        <v>233235.57</v>
      </c>
      <c r="Q97">
        <v>0.42620000000000002</v>
      </c>
      <c r="R97">
        <v>33</v>
      </c>
      <c r="S97">
        <v>96801.52</v>
      </c>
      <c r="T97">
        <v>0</v>
      </c>
      <c r="U97">
        <v>2368.84</v>
      </c>
    </row>
    <row r="98" spans="1:21" x14ac:dyDescent="0.35">
      <c r="A98">
        <v>2024</v>
      </c>
      <c r="B98">
        <v>2</v>
      </c>
      <c r="C98">
        <v>1</v>
      </c>
      <c r="D98" s="1">
        <v>45323</v>
      </c>
      <c r="E98" s="4" t="s">
        <v>27</v>
      </c>
      <c r="F98" s="4" t="s">
        <v>26</v>
      </c>
      <c r="G98" s="4" t="s">
        <v>107</v>
      </c>
      <c r="H98">
        <v>9</v>
      </c>
      <c r="I98">
        <v>13</v>
      </c>
      <c r="J98">
        <v>0</v>
      </c>
      <c r="K98">
        <v>13</v>
      </c>
      <c r="L98">
        <v>12844.25</v>
      </c>
      <c r="M98">
        <v>0</v>
      </c>
      <c r="N98">
        <v>12844.25</v>
      </c>
      <c r="O98">
        <v>7955.4</v>
      </c>
      <c r="P98">
        <v>4888.8500000000004</v>
      </c>
      <c r="Q98">
        <v>0.38059999999999999</v>
      </c>
      <c r="R98">
        <v>1</v>
      </c>
      <c r="S98">
        <v>770.25</v>
      </c>
      <c r="T98">
        <v>0</v>
      </c>
      <c r="U98">
        <v>1427.14</v>
      </c>
    </row>
    <row r="99" spans="1:21" x14ac:dyDescent="0.35">
      <c r="A99">
        <v>2024</v>
      </c>
      <c r="B99">
        <v>2</v>
      </c>
      <c r="C99">
        <v>1</v>
      </c>
      <c r="D99" s="1">
        <v>45323</v>
      </c>
      <c r="E99" s="4" t="s">
        <v>27</v>
      </c>
      <c r="F99" s="4" t="s">
        <v>26</v>
      </c>
      <c r="G99" s="4" t="s">
        <v>109</v>
      </c>
      <c r="H99">
        <v>33</v>
      </c>
      <c r="I99">
        <v>52</v>
      </c>
      <c r="J99">
        <v>3</v>
      </c>
      <c r="K99">
        <v>49</v>
      </c>
      <c r="L99">
        <v>29814.66</v>
      </c>
      <c r="M99">
        <v>1159.02</v>
      </c>
      <c r="N99">
        <v>28655.64</v>
      </c>
      <c r="O99">
        <v>18284.400000000001</v>
      </c>
      <c r="P99">
        <v>10371.24</v>
      </c>
      <c r="Q99">
        <v>0.3619</v>
      </c>
      <c r="R99">
        <v>7</v>
      </c>
      <c r="S99">
        <v>8705.64</v>
      </c>
      <c r="T99">
        <v>0</v>
      </c>
      <c r="U99">
        <v>868.35</v>
      </c>
    </row>
    <row r="100" spans="1:21" x14ac:dyDescent="0.35">
      <c r="A100">
        <v>2024</v>
      </c>
      <c r="B100">
        <v>2</v>
      </c>
      <c r="C100">
        <v>1</v>
      </c>
      <c r="D100" s="1">
        <v>45323</v>
      </c>
      <c r="E100" s="4" t="s">
        <v>34</v>
      </c>
      <c r="F100" s="4" t="s">
        <v>28</v>
      </c>
      <c r="G100" s="4" t="s">
        <v>107</v>
      </c>
      <c r="H100">
        <v>132</v>
      </c>
      <c r="I100">
        <v>189</v>
      </c>
      <c r="J100">
        <v>0</v>
      </c>
      <c r="K100">
        <v>189</v>
      </c>
      <c r="L100">
        <v>124467.07</v>
      </c>
      <c r="M100">
        <v>0</v>
      </c>
      <c r="N100">
        <v>124467.07</v>
      </c>
      <c r="O100">
        <v>45426.5</v>
      </c>
      <c r="P100">
        <v>79040.570000000007</v>
      </c>
      <c r="Q100">
        <v>0.63500000000000001</v>
      </c>
      <c r="R100">
        <v>15</v>
      </c>
      <c r="S100">
        <v>18698.07</v>
      </c>
      <c r="T100">
        <v>0</v>
      </c>
      <c r="U100">
        <v>942.93</v>
      </c>
    </row>
    <row r="101" spans="1:21" x14ac:dyDescent="0.35">
      <c r="A101">
        <v>2024</v>
      </c>
      <c r="B101">
        <v>2</v>
      </c>
      <c r="C101">
        <v>1</v>
      </c>
      <c r="D101" s="1">
        <v>45323</v>
      </c>
      <c r="E101" s="4" t="s">
        <v>34</v>
      </c>
      <c r="F101" s="4" t="s">
        <v>28</v>
      </c>
      <c r="G101" s="4" t="s">
        <v>108</v>
      </c>
      <c r="H101">
        <v>47</v>
      </c>
      <c r="I101">
        <v>63</v>
      </c>
      <c r="J101">
        <v>0</v>
      </c>
      <c r="K101">
        <v>63</v>
      </c>
      <c r="L101">
        <v>26023.1</v>
      </c>
      <c r="M101">
        <v>0</v>
      </c>
      <c r="N101">
        <v>26023.1</v>
      </c>
      <c r="O101">
        <v>9393.2999999999993</v>
      </c>
      <c r="P101">
        <v>16629.8</v>
      </c>
      <c r="Q101">
        <v>0.63900000000000001</v>
      </c>
      <c r="R101">
        <v>5</v>
      </c>
      <c r="S101">
        <v>3880.86</v>
      </c>
      <c r="T101">
        <v>0</v>
      </c>
      <c r="U101">
        <v>553.67999999999995</v>
      </c>
    </row>
    <row r="102" spans="1:21" x14ac:dyDescent="0.35">
      <c r="A102">
        <v>2024</v>
      </c>
      <c r="B102">
        <v>2</v>
      </c>
      <c r="C102">
        <v>1</v>
      </c>
      <c r="D102" s="1">
        <v>45323</v>
      </c>
      <c r="E102" s="4" t="s">
        <v>34</v>
      </c>
      <c r="F102" s="4" t="s">
        <v>28</v>
      </c>
      <c r="G102" s="4" t="s">
        <v>109</v>
      </c>
      <c r="H102">
        <v>565</v>
      </c>
      <c r="I102">
        <v>860</v>
      </c>
      <c r="J102">
        <v>0</v>
      </c>
      <c r="K102">
        <v>860</v>
      </c>
      <c r="L102">
        <v>424872.89</v>
      </c>
      <c r="M102">
        <v>0</v>
      </c>
      <c r="N102">
        <v>424872.89</v>
      </c>
      <c r="O102">
        <v>153581.4</v>
      </c>
      <c r="P102">
        <v>271291.49</v>
      </c>
      <c r="Q102">
        <v>0.63849999999999996</v>
      </c>
      <c r="R102">
        <v>67</v>
      </c>
      <c r="S102">
        <v>51606.9</v>
      </c>
      <c r="T102">
        <v>0</v>
      </c>
      <c r="U102">
        <v>751.99</v>
      </c>
    </row>
    <row r="103" spans="1:21" x14ac:dyDescent="0.35">
      <c r="A103">
        <v>2024</v>
      </c>
      <c r="B103">
        <v>2</v>
      </c>
      <c r="C103">
        <v>1</v>
      </c>
      <c r="D103" s="1">
        <v>45323</v>
      </c>
      <c r="E103" s="4" t="s">
        <v>34</v>
      </c>
      <c r="F103" s="4" t="s">
        <v>24</v>
      </c>
      <c r="G103" s="4" t="s">
        <v>107</v>
      </c>
      <c r="H103">
        <v>55</v>
      </c>
      <c r="I103">
        <v>89</v>
      </c>
      <c r="J103">
        <v>0</v>
      </c>
      <c r="K103">
        <v>89</v>
      </c>
      <c r="L103">
        <v>153843.51999999999</v>
      </c>
      <c r="M103">
        <v>0</v>
      </c>
      <c r="N103">
        <v>153843.51999999999</v>
      </c>
      <c r="O103">
        <v>89085.7</v>
      </c>
      <c r="P103">
        <v>64757.82</v>
      </c>
      <c r="Q103">
        <v>0.4209</v>
      </c>
      <c r="R103">
        <v>10</v>
      </c>
      <c r="S103">
        <v>29651.52</v>
      </c>
      <c r="T103">
        <v>0</v>
      </c>
      <c r="U103">
        <v>2797.15</v>
      </c>
    </row>
    <row r="104" spans="1:21" x14ac:dyDescent="0.35">
      <c r="A104">
        <v>2024</v>
      </c>
      <c r="B104">
        <v>2</v>
      </c>
      <c r="C104">
        <v>1</v>
      </c>
      <c r="D104" s="1">
        <v>45323</v>
      </c>
      <c r="E104" s="4" t="s">
        <v>34</v>
      </c>
      <c r="F104" s="4" t="s">
        <v>24</v>
      </c>
      <c r="G104" s="4" t="s">
        <v>108</v>
      </c>
      <c r="H104">
        <v>7</v>
      </c>
      <c r="I104">
        <v>8</v>
      </c>
      <c r="J104">
        <v>0</v>
      </c>
      <c r="K104">
        <v>8</v>
      </c>
      <c r="L104">
        <v>10094.280000000001</v>
      </c>
      <c r="M104">
        <v>0</v>
      </c>
      <c r="N104">
        <v>10094.280000000001</v>
      </c>
      <c r="O104">
        <v>6067.6</v>
      </c>
      <c r="P104">
        <v>4026.68</v>
      </c>
      <c r="Q104">
        <v>0.39889999999999998</v>
      </c>
      <c r="R104">
        <v>2</v>
      </c>
      <c r="S104">
        <v>3199.28</v>
      </c>
      <c r="T104">
        <v>0</v>
      </c>
      <c r="U104">
        <v>1442.04</v>
      </c>
    </row>
    <row r="105" spans="1:21" x14ac:dyDescent="0.35">
      <c r="A105">
        <v>2024</v>
      </c>
      <c r="B105">
        <v>2</v>
      </c>
      <c r="C105">
        <v>1</v>
      </c>
      <c r="D105" s="1">
        <v>45323</v>
      </c>
      <c r="E105" s="4" t="s">
        <v>34</v>
      </c>
      <c r="F105" s="4" t="s">
        <v>24</v>
      </c>
      <c r="G105" s="4" t="s">
        <v>109</v>
      </c>
      <c r="H105">
        <v>145</v>
      </c>
      <c r="I105">
        <v>231</v>
      </c>
      <c r="J105">
        <v>7</v>
      </c>
      <c r="K105">
        <v>224</v>
      </c>
      <c r="L105">
        <v>376724.65</v>
      </c>
      <c r="M105">
        <v>8729.2800000000007</v>
      </c>
      <c r="N105">
        <v>367995.37</v>
      </c>
      <c r="O105">
        <v>208630.39999999999</v>
      </c>
      <c r="P105">
        <v>159364.97</v>
      </c>
      <c r="Q105">
        <v>0.43309999999999998</v>
      </c>
      <c r="R105">
        <v>16</v>
      </c>
      <c r="S105">
        <v>46710.37</v>
      </c>
      <c r="T105">
        <v>0</v>
      </c>
      <c r="U105">
        <v>2537.9</v>
      </c>
    </row>
    <row r="106" spans="1:21" x14ac:dyDescent="0.35">
      <c r="A106">
        <v>2024</v>
      </c>
      <c r="B106">
        <v>2</v>
      </c>
      <c r="C106">
        <v>1</v>
      </c>
      <c r="D106" s="1">
        <v>45323</v>
      </c>
      <c r="E106" s="4" t="s">
        <v>34</v>
      </c>
      <c r="F106" s="4" t="s">
        <v>26</v>
      </c>
      <c r="G106" s="4" t="s">
        <v>107</v>
      </c>
      <c r="H106">
        <v>4</v>
      </c>
      <c r="I106">
        <v>7</v>
      </c>
      <c r="J106">
        <v>0</v>
      </c>
      <c r="K106">
        <v>7</v>
      </c>
      <c r="L106">
        <v>4410</v>
      </c>
      <c r="M106">
        <v>0</v>
      </c>
      <c r="N106">
        <v>4410</v>
      </c>
      <c r="O106">
        <v>2646</v>
      </c>
      <c r="P106">
        <v>1764</v>
      </c>
      <c r="Q106">
        <v>0.4</v>
      </c>
      <c r="R106">
        <v>0</v>
      </c>
      <c r="S106">
        <v>0</v>
      </c>
      <c r="T106">
        <v>0</v>
      </c>
      <c r="U106">
        <v>1102.5</v>
      </c>
    </row>
    <row r="107" spans="1:21" x14ac:dyDescent="0.35">
      <c r="A107">
        <v>2024</v>
      </c>
      <c r="B107">
        <v>2</v>
      </c>
      <c r="C107">
        <v>1</v>
      </c>
      <c r="D107" s="1">
        <v>45323</v>
      </c>
      <c r="E107" s="4" t="s">
        <v>34</v>
      </c>
      <c r="F107" s="4" t="s">
        <v>26</v>
      </c>
      <c r="G107" s="4" t="s">
        <v>108</v>
      </c>
      <c r="H107">
        <v>2</v>
      </c>
      <c r="I107">
        <v>4</v>
      </c>
      <c r="J107">
        <v>0</v>
      </c>
      <c r="K107">
        <v>4</v>
      </c>
      <c r="L107">
        <v>1464</v>
      </c>
      <c r="M107">
        <v>0</v>
      </c>
      <c r="N107">
        <v>1464</v>
      </c>
      <c r="O107">
        <v>878.4</v>
      </c>
      <c r="P107">
        <v>585.6</v>
      </c>
      <c r="Q107">
        <v>0.4</v>
      </c>
      <c r="R107">
        <v>0</v>
      </c>
      <c r="S107">
        <v>0</v>
      </c>
      <c r="T107">
        <v>0</v>
      </c>
      <c r="U107">
        <v>732</v>
      </c>
    </row>
    <row r="108" spans="1:21" x14ac:dyDescent="0.35">
      <c r="A108">
        <v>2024</v>
      </c>
      <c r="B108">
        <v>2</v>
      </c>
      <c r="C108">
        <v>1</v>
      </c>
      <c r="D108" s="1">
        <v>45323</v>
      </c>
      <c r="E108" s="4" t="s">
        <v>34</v>
      </c>
      <c r="F108" s="4" t="s">
        <v>26</v>
      </c>
      <c r="G108" s="4" t="s">
        <v>109</v>
      </c>
      <c r="H108">
        <v>31</v>
      </c>
      <c r="I108">
        <v>50</v>
      </c>
      <c r="J108">
        <v>3</v>
      </c>
      <c r="K108">
        <v>47</v>
      </c>
      <c r="L108">
        <v>33067.85</v>
      </c>
      <c r="M108">
        <v>1935</v>
      </c>
      <c r="N108">
        <v>31132.85</v>
      </c>
      <c r="O108">
        <v>19577.400000000001</v>
      </c>
      <c r="P108">
        <v>11555.45</v>
      </c>
      <c r="Q108">
        <v>0.37119999999999997</v>
      </c>
      <c r="R108">
        <v>5</v>
      </c>
      <c r="S108">
        <v>7713.85</v>
      </c>
      <c r="T108">
        <v>0</v>
      </c>
      <c r="U108">
        <v>1004.29</v>
      </c>
    </row>
    <row r="109" spans="1:21" x14ac:dyDescent="0.35">
      <c r="A109">
        <v>2024</v>
      </c>
      <c r="B109">
        <v>2</v>
      </c>
      <c r="C109">
        <v>1</v>
      </c>
      <c r="D109" s="1">
        <v>45323</v>
      </c>
      <c r="E109" s="4" t="s">
        <v>36</v>
      </c>
      <c r="F109" s="4" t="s">
        <v>28</v>
      </c>
      <c r="G109" s="4" t="s">
        <v>107</v>
      </c>
      <c r="H109">
        <v>59</v>
      </c>
      <c r="I109">
        <v>87</v>
      </c>
      <c r="J109">
        <v>0</v>
      </c>
      <c r="K109">
        <v>87</v>
      </c>
      <c r="L109">
        <v>54350.05</v>
      </c>
      <c r="M109">
        <v>0</v>
      </c>
      <c r="N109">
        <v>54350.05</v>
      </c>
      <c r="O109">
        <v>19684.349999999999</v>
      </c>
      <c r="P109">
        <v>34665.699999999997</v>
      </c>
      <c r="Q109">
        <v>0.63780000000000003</v>
      </c>
      <c r="R109">
        <v>7</v>
      </c>
      <c r="S109">
        <v>5828.05</v>
      </c>
      <c r="T109">
        <v>0</v>
      </c>
      <c r="U109">
        <v>921.19</v>
      </c>
    </row>
    <row r="110" spans="1:21" x14ac:dyDescent="0.35">
      <c r="A110">
        <v>2024</v>
      </c>
      <c r="B110">
        <v>2</v>
      </c>
      <c r="C110">
        <v>1</v>
      </c>
      <c r="D110" s="1">
        <v>45323</v>
      </c>
      <c r="E110" s="4" t="s">
        <v>36</v>
      </c>
      <c r="F110" s="4" t="s">
        <v>28</v>
      </c>
      <c r="G110" s="4" t="s">
        <v>108</v>
      </c>
      <c r="H110">
        <v>110</v>
      </c>
      <c r="I110">
        <v>165</v>
      </c>
      <c r="J110">
        <v>0</v>
      </c>
      <c r="K110">
        <v>165</v>
      </c>
      <c r="L110">
        <v>54389.34</v>
      </c>
      <c r="M110">
        <v>0</v>
      </c>
      <c r="N110">
        <v>54389.34</v>
      </c>
      <c r="O110">
        <v>19524.05</v>
      </c>
      <c r="P110">
        <v>34865.29</v>
      </c>
      <c r="Q110">
        <v>0.64100000000000001</v>
      </c>
      <c r="R110">
        <v>12</v>
      </c>
      <c r="S110">
        <v>5318.69</v>
      </c>
      <c r="T110">
        <v>0</v>
      </c>
      <c r="U110">
        <v>494.45</v>
      </c>
    </row>
    <row r="111" spans="1:21" x14ac:dyDescent="0.35">
      <c r="A111">
        <v>2024</v>
      </c>
      <c r="B111">
        <v>2</v>
      </c>
      <c r="C111">
        <v>1</v>
      </c>
      <c r="D111" s="1">
        <v>45323</v>
      </c>
      <c r="E111" s="4" t="s">
        <v>36</v>
      </c>
      <c r="F111" s="4" t="s">
        <v>28</v>
      </c>
      <c r="G111" s="4" t="s">
        <v>109</v>
      </c>
      <c r="H111">
        <v>537</v>
      </c>
      <c r="I111">
        <v>852</v>
      </c>
      <c r="J111">
        <v>0</v>
      </c>
      <c r="K111">
        <v>852</v>
      </c>
      <c r="L111">
        <v>419783.38</v>
      </c>
      <c r="M111">
        <v>0</v>
      </c>
      <c r="N111">
        <v>419783.38</v>
      </c>
      <c r="O111">
        <v>152423.25</v>
      </c>
      <c r="P111">
        <v>267360.13</v>
      </c>
      <c r="Q111">
        <v>0.63690000000000002</v>
      </c>
      <c r="R111">
        <v>69</v>
      </c>
      <c r="S111">
        <v>66618.38</v>
      </c>
      <c r="T111">
        <v>0</v>
      </c>
      <c r="U111">
        <v>781.72</v>
      </c>
    </row>
    <row r="112" spans="1:21" x14ac:dyDescent="0.35">
      <c r="A112">
        <v>2024</v>
      </c>
      <c r="B112">
        <v>2</v>
      </c>
      <c r="C112">
        <v>1</v>
      </c>
      <c r="D112" s="1">
        <v>45323</v>
      </c>
      <c r="E112" s="4" t="s">
        <v>36</v>
      </c>
      <c r="F112" s="4" t="s">
        <v>24</v>
      </c>
      <c r="G112" s="4" t="s">
        <v>107</v>
      </c>
      <c r="H112">
        <v>51</v>
      </c>
      <c r="I112">
        <v>79</v>
      </c>
      <c r="J112">
        <v>3</v>
      </c>
      <c r="K112">
        <v>76</v>
      </c>
      <c r="L112">
        <v>105958.95</v>
      </c>
      <c r="M112">
        <v>2995</v>
      </c>
      <c r="N112">
        <v>102963.95</v>
      </c>
      <c r="O112">
        <v>58610.75</v>
      </c>
      <c r="P112">
        <v>44353.2</v>
      </c>
      <c r="Q112">
        <v>0.43080000000000002</v>
      </c>
      <c r="R112">
        <v>7</v>
      </c>
      <c r="S112">
        <v>12319.95</v>
      </c>
      <c r="T112">
        <v>0</v>
      </c>
      <c r="U112">
        <v>2018.9</v>
      </c>
    </row>
    <row r="113" spans="1:21" x14ac:dyDescent="0.35">
      <c r="A113">
        <v>2024</v>
      </c>
      <c r="B113">
        <v>2</v>
      </c>
      <c r="C113">
        <v>1</v>
      </c>
      <c r="D113" s="1">
        <v>45323</v>
      </c>
      <c r="E113" s="4" t="s">
        <v>36</v>
      </c>
      <c r="F113" s="4" t="s">
        <v>24</v>
      </c>
      <c r="G113" s="4" t="s">
        <v>108</v>
      </c>
      <c r="H113">
        <v>24</v>
      </c>
      <c r="I113">
        <v>41</v>
      </c>
      <c r="J113">
        <v>1</v>
      </c>
      <c r="K113">
        <v>40</v>
      </c>
      <c r="L113">
        <v>69849.36</v>
      </c>
      <c r="M113">
        <v>1956</v>
      </c>
      <c r="N113">
        <v>67893.36</v>
      </c>
      <c r="O113">
        <v>38528.6</v>
      </c>
      <c r="P113">
        <v>29364.76</v>
      </c>
      <c r="Q113">
        <v>0.4325</v>
      </c>
      <c r="R113">
        <v>4</v>
      </c>
      <c r="S113">
        <v>15977.36</v>
      </c>
      <c r="T113">
        <v>0</v>
      </c>
      <c r="U113">
        <v>2828.89</v>
      </c>
    </row>
    <row r="114" spans="1:21" x14ac:dyDescent="0.35">
      <c r="A114">
        <v>2024</v>
      </c>
      <c r="B114">
        <v>2</v>
      </c>
      <c r="C114">
        <v>1</v>
      </c>
      <c r="D114" s="1">
        <v>45323</v>
      </c>
      <c r="E114" s="4" t="s">
        <v>36</v>
      </c>
      <c r="F114" s="4" t="s">
        <v>24</v>
      </c>
      <c r="G114" s="4" t="s">
        <v>109</v>
      </c>
      <c r="H114">
        <v>100</v>
      </c>
      <c r="I114">
        <v>158</v>
      </c>
      <c r="J114">
        <v>2</v>
      </c>
      <c r="K114">
        <v>156</v>
      </c>
      <c r="L114">
        <v>249531</v>
      </c>
      <c r="M114">
        <v>3477.4</v>
      </c>
      <c r="N114">
        <v>246053.6</v>
      </c>
      <c r="O114">
        <v>140334.70000000001</v>
      </c>
      <c r="P114">
        <v>105718.9</v>
      </c>
      <c r="Q114">
        <v>0.42970000000000003</v>
      </c>
      <c r="R114">
        <v>11</v>
      </c>
      <c r="S114">
        <v>40076.6</v>
      </c>
      <c r="T114">
        <v>0</v>
      </c>
      <c r="U114">
        <v>2460.54</v>
      </c>
    </row>
    <row r="115" spans="1:21" x14ac:dyDescent="0.35">
      <c r="A115">
        <v>2024</v>
      </c>
      <c r="B115">
        <v>2</v>
      </c>
      <c r="C115">
        <v>1</v>
      </c>
      <c r="D115" s="1">
        <v>45323</v>
      </c>
      <c r="E115" s="4" t="s">
        <v>36</v>
      </c>
      <c r="F115" s="4" t="s">
        <v>26</v>
      </c>
      <c r="G115" s="4" t="s">
        <v>107</v>
      </c>
      <c r="H115">
        <v>2</v>
      </c>
      <c r="I115">
        <v>2</v>
      </c>
      <c r="J115">
        <v>0</v>
      </c>
      <c r="K115">
        <v>2</v>
      </c>
      <c r="L115">
        <v>938</v>
      </c>
      <c r="M115">
        <v>0</v>
      </c>
      <c r="N115">
        <v>938</v>
      </c>
      <c r="O115">
        <v>562.79999999999995</v>
      </c>
      <c r="P115">
        <v>375.2</v>
      </c>
      <c r="Q115">
        <v>0.4</v>
      </c>
      <c r="R115">
        <v>0</v>
      </c>
      <c r="S115">
        <v>0</v>
      </c>
      <c r="T115">
        <v>0</v>
      </c>
      <c r="U115">
        <v>469</v>
      </c>
    </row>
    <row r="116" spans="1:21" x14ac:dyDescent="0.35">
      <c r="A116">
        <v>2024</v>
      </c>
      <c r="B116">
        <v>2</v>
      </c>
      <c r="C116">
        <v>1</v>
      </c>
      <c r="D116" s="1">
        <v>45323</v>
      </c>
      <c r="E116" s="4" t="s">
        <v>36</v>
      </c>
      <c r="F116" s="4" t="s">
        <v>26</v>
      </c>
      <c r="G116" s="4" t="s">
        <v>109</v>
      </c>
      <c r="H116">
        <v>49</v>
      </c>
      <c r="I116">
        <v>72</v>
      </c>
      <c r="J116">
        <v>4</v>
      </c>
      <c r="K116">
        <v>68</v>
      </c>
      <c r="L116">
        <v>62683.27</v>
      </c>
      <c r="M116">
        <v>3495</v>
      </c>
      <c r="N116">
        <v>59188.27</v>
      </c>
      <c r="O116">
        <v>36155.4</v>
      </c>
      <c r="P116">
        <v>23032.87</v>
      </c>
      <c r="Q116">
        <v>0.3891</v>
      </c>
      <c r="R116">
        <v>3</v>
      </c>
      <c r="S116">
        <v>3896.27</v>
      </c>
      <c r="T116">
        <v>0</v>
      </c>
      <c r="U116">
        <v>1207.92</v>
      </c>
    </row>
    <row r="117" spans="1:21" x14ac:dyDescent="0.35">
      <c r="A117">
        <v>2024</v>
      </c>
      <c r="B117">
        <v>2</v>
      </c>
      <c r="C117">
        <v>1</v>
      </c>
      <c r="D117" s="1">
        <v>45323</v>
      </c>
      <c r="E117" s="4" t="s">
        <v>23</v>
      </c>
      <c r="F117" s="4" t="s">
        <v>28</v>
      </c>
      <c r="G117" s="4" t="s">
        <v>107</v>
      </c>
      <c r="H117">
        <v>98</v>
      </c>
      <c r="I117">
        <v>147</v>
      </c>
      <c r="J117">
        <v>0</v>
      </c>
      <c r="K117">
        <v>147</v>
      </c>
      <c r="L117">
        <v>48171.76</v>
      </c>
      <c r="M117">
        <v>0</v>
      </c>
      <c r="N117">
        <v>48171.76</v>
      </c>
      <c r="O117">
        <v>17390.099999999999</v>
      </c>
      <c r="P117">
        <v>30781.66</v>
      </c>
      <c r="Q117">
        <v>0.63900000000000001</v>
      </c>
      <c r="R117">
        <v>12</v>
      </c>
      <c r="S117">
        <v>6597.76</v>
      </c>
      <c r="T117">
        <v>0</v>
      </c>
      <c r="U117">
        <v>491.55</v>
      </c>
    </row>
    <row r="118" spans="1:21" x14ac:dyDescent="0.35">
      <c r="A118">
        <v>2024</v>
      </c>
      <c r="B118">
        <v>2</v>
      </c>
      <c r="C118">
        <v>1</v>
      </c>
      <c r="D118" s="1">
        <v>45323</v>
      </c>
      <c r="E118" s="4" t="s">
        <v>23</v>
      </c>
      <c r="F118" s="4" t="s">
        <v>28</v>
      </c>
      <c r="G118" s="4" t="s">
        <v>108</v>
      </c>
      <c r="H118">
        <v>37</v>
      </c>
      <c r="I118">
        <v>57</v>
      </c>
      <c r="J118">
        <v>0</v>
      </c>
      <c r="K118">
        <v>57</v>
      </c>
      <c r="L118">
        <v>38067.449999999997</v>
      </c>
      <c r="M118">
        <v>0</v>
      </c>
      <c r="N118">
        <v>38067.449999999997</v>
      </c>
      <c r="O118">
        <v>14024.85</v>
      </c>
      <c r="P118">
        <v>24042.6</v>
      </c>
      <c r="Q118">
        <v>0.63160000000000005</v>
      </c>
      <c r="R118">
        <v>6</v>
      </c>
      <c r="S118">
        <v>7838.45</v>
      </c>
      <c r="T118">
        <v>0</v>
      </c>
      <c r="U118">
        <v>1028.8499999999999</v>
      </c>
    </row>
    <row r="119" spans="1:21" x14ac:dyDescent="0.35">
      <c r="A119">
        <v>2024</v>
      </c>
      <c r="B119">
        <v>2</v>
      </c>
      <c r="C119">
        <v>1</v>
      </c>
      <c r="D119" s="1">
        <v>45323</v>
      </c>
      <c r="E119" s="4" t="s">
        <v>23</v>
      </c>
      <c r="F119" s="4" t="s">
        <v>28</v>
      </c>
      <c r="G119" s="4" t="s">
        <v>109</v>
      </c>
      <c r="H119">
        <v>479</v>
      </c>
      <c r="I119">
        <v>726</v>
      </c>
      <c r="J119">
        <v>0</v>
      </c>
      <c r="K119">
        <v>726</v>
      </c>
      <c r="L119">
        <v>338659.65</v>
      </c>
      <c r="M119">
        <v>0</v>
      </c>
      <c r="N119">
        <v>338659.65</v>
      </c>
      <c r="O119">
        <v>122608.5</v>
      </c>
      <c r="P119">
        <v>216051.15</v>
      </c>
      <c r="Q119">
        <v>0.63800000000000001</v>
      </c>
      <c r="R119">
        <v>53</v>
      </c>
      <c r="S119">
        <v>42843.65</v>
      </c>
      <c r="T119">
        <v>0</v>
      </c>
      <c r="U119">
        <v>707.01</v>
      </c>
    </row>
    <row r="120" spans="1:21" x14ac:dyDescent="0.35">
      <c r="A120">
        <v>2024</v>
      </c>
      <c r="B120">
        <v>2</v>
      </c>
      <c r="C120">
        <v>1</v>
      </c>
      <c r="D120" s="1">
        <v>45323</v>
      </c>
      <c r="E120" s="4" t="s">
        <v>23</v>
      </c>
      <c r="F120" s="4" t="s">
        <v>24</v>
      </c>
      <c r="G120" s="4" t="s">
        <v>107</v>
      </c>
      <c r="H120">
        <v>67</v>
      </c>
      <c r="I120">
        <v>99</v>
      </c>
      <c r="J120">
        <v>5</v>
      </c>
      <c r="K120">
        <v>94</v>
      </c>
      <c r="L120">
        <v>184442.8</v>
      </c>
      <c r="M120">
        <v>11067</v>
      </c>
      <c r="N120">
        <v>173375.8</v>
      </c>
      <c r="O120">
        <v>98241.55</v>
      </c>
      <c r="P120">
        <v>75134.25</v>
      </c>
      <c r="Q120">
        <v>0.43340000000000001</v>
      </c>
      <c r="R120">
        <v>6</v>
      </c>
      <c r="S120">
        <v>19616.8</v>
      </c>
      <c r="T120">
        <v>0</v>
      </c>
      <c r="U120">
        <v>2587.6999999999998</v>
      </c>
    </row>
    <row r="121" spans="1:21" x14ac:dyDescent="0.35">
      <c r="A121">
        <v>2024</v>
      </c>
      <c r="B121">
        <v>2</v>
      </c>
      <c r="C121">
        <v>1</v>
      </c>
      <c r="D121" s="1">
        <v>45323</v>
      </c>
      <c r="E121" s="4" t="s">
        <v>23</v>
      </c>
      <c r="F121" s="4" t="s">
        <v>24</v>
      </c>
      <c r="G121" s="4" t="s">
        <v>109</v>
      </c>
      <c r="H121">
        <v>104</v>
      </c>
      <c r="I121">
        <v>150</v>
      </c>
      <c r="J121">
        <v>4</v>
      </c>
      <c r="K121">
        <v>146</v>
      </c>
      <c r="L121">
        <v>164012.82</v>
      </c>
      <c r="M121">
        <v>5523.88</v>
      </c>
      <c r="N121">
        <v>158488.94</v>
      </c>
      <c r="O121">
        <v>89436.6</v>
      </c>
      <c r="P121">
        <v>69052.34</v>
      </c>
      <c r="Q121">
        <v>0.43569999999999998</v>
      </c>
      <c r="R121">
        <v>11</v>
      </c>
      <c r="S121">
        <v>24085.94</v>
      </c>
      <c r="T121">
        <v>0</v>
      </c>
      <c r="U121">
        <v>1523.93</v>
      </c>
    </row>
    <row r="122" spans="1:21" x14ac:dyDescent="0.35">
      <c r="A122">
        <v>2024</v>
      </c>
      <c r="B122">
        <v>2</v>
      </c>
      <c r="C122">
        <v>1</v>
      </c>
      <c r="D122" s="1">
        <v>45323</v>
      </c>
      <c r="E122" s="4" t="s">
        <v>23</v>
      </c>
      <c r="F122" s="4" t="s">
        <v>26</v>
      </c>
      <c r="G122" s="4" t="s">
        <v>107</v>
      </c>
      <c r="H122">
        <v>5</v>
      </c>
      <c r="I122">
        <v>7</v>
      </c>
      <c r="J122">
        <v>0</v>
      </c>
      <c r="K122">
        <v>7</v>
      </c>
      <c r="L122">
        <v>3698.15</v>
      </c>
      <c r="M122">
        <v>0</v>
      </c>
      <c r="N122">
        <v>3698.15</v>
      </c>
      <c r="O122">
        <v>2379</v>
      </c>
      <c r="P122">
        <v>1319.15</v>
      </c>
      <c r="Q122">
        <v>0.35670000000000002</v>
      </c>
      <c r="R122">
        <v>1</v>
      </c>
      <c r="S122">
        <v>1512.15</v>
      </c>
      <c r="T122">
        <v>0</v>
      </c>
      <c r="U122">
        <v>739.63</v>
      </c>
    </row>
    <row r="123" spans="1:21" x14ac:dyDescent="0.35">
      <c r="A123">
        <v>2024</v>
      </c>
      <c r="B123">
        <v>2</v>
      </c>
      <c r="C123">
        <v>1</v>
      </c>
      <c r="D123" s="1">
        <v>45323</v>
      </c>
      <c r="E123" s="4" t="s">
        <v>23</v>
      </c>
      <c r="F123" s="4" t="s">
        <v>26</v>
      </c>
      <c r="G123" s="4" t="s">
        <v>109</v>
      </c>
      <c r="H123">
        <v>32</v>
      </c>
      <c r="I123">
        <v>42</v>
      </c>
      <c r="J123">
        <v>0</v>
      </c>
      <c r="K123">
        <v>42</v>
      </c>
      <c r="L123">
        <v>29108.880000000001</v>
      </c>
      <c r="M123">
        <v>0</v>
      </c>
      <c r="N123">
        <v>29108.880000000001</v>
      </c>
      <c r="O123">
        <v>17600.400000000001</v>
      </c>
      <c r="P123">
        <v>11508.48</v>
      </c>
      <c r="Q123">
        <v>0.39539999999999997</v>
      </c>
      <c r="R123">
        <v>1</v>
      </c>
      <c r="S123">
        <v>712.88</v>
      </c>
      <c r="T123">
        <v>0</v>
      </c>
      <c r="U123">
        <v>909.65</v>
      </c>
    </row>
    <row r="124" spans="1:21" x14ac:dyDescent="0.35">
      <c r="A124">
        <v>2024</v>
      </c>
      <c r="B124">
        <v>2</v>
      </c>
      <c r="C124">
        <v>1</v>
      </c>
      <c r="D124" s="1">
        <v>45323</v>
      </c>
      <c r="E124" s="4" t="s">
        <v>25</v>
      </c>
      <c r="F124" s="4" t="s">
        <v>28</v>
      </c>
      <c r="G124" s="4" t="s">
        <v>107</v>
      </c>
      <c r="H124">
        <v>23</v>
      </c>
      <c r="I124">
        <v>41</v>
      </c>
      <c r="J124">
        <v>0</v>
      </c>
      <c r="K124">
        <v>41</v>
      </c>
      <c r="L124">
        <v>19810.419999999998</v>
      </c>
      <c r="M124">
        <v>0</v>
      </c>
      <c r="N124">
        <v>19810.419999999998</v>
      </c>
      <c r="O124">
        <v>7131.95</v>
      </c>
      <c r="P124">
        <v>12678.47</v>
      </c>
      <c r="Q124">
        <v>0.64</v>
      </c>
      <c r="R124">
        <v>2</v>
      </c>
      <c r="S124">
        <v>1918.42</v>
      </c>
      <c r="T124">
        <v>0</v>
      </c>
      <c r="U124">
        <v>861.32</v>
      </c>
    </row>
    <row r="125" spans="1:21" x14ac:dyDescent="0.35">
      <c r="A125">
        <v>2024</v>
      </c>
      <c r="B125">
        <v>2</v>
      </c>
      <c r="C125">
        <v>1</v>
      </c>
      <c r="D125" s="1">
        <v>45323</v>
      </c>
      <c r="E125" s="4" t="s">
        <v>25</v>
      </c>
      <c r="F125" s="4" t="s">
        <v>28</v>
      </c>
      <c r="G125" s="4" t="s">
        <v>109</v>
      </c>
      <c r="H125">
        <v>508</v>
      </c>
      <c r="I125">
        <v>770</v>
      </c>
      <c r="J125">
        <v>0</v>
      </c>
      <c r="K125">
        <v>770</v>
      </c>
      <c r="L125">
        <v>404719</v>
      </c>
      <c r="M125">
        <v>0</v>
      </c>
      <c r="N125">
        <v>404719</v>
      </c>
      <c r="O125">
        <v>146974.1</v>
      </c>
      <c r="P125">
        <v>257744.9</v>
      </c>
      <c r="Q125">
        <v>0.63680000000000003</v>
      </c>
      <c r="R125">
        <v>61</v>
      </c>
      <c r="S125">
        <v>61016.35</v>
      </c>
      <c r="T125">
        <v>0</v>
      </c>
      <c r="U125">
        <v>796.69</v>
      </c>
    </row>
    <row r="126" spans="1:21" x14ac:dyDescent="0.35">
      <c r="A126">
        <v>2024</v>
      </c>
      <c r="B126">
        <v>2</v>
      </c>
      <c r="C126">
        <v>1</v>
      </c>
      <c r="D126" s="1">
        <v>45323</v>
      </c>
      <c r="E126" s="4" t="s">
        <v>25</v>
      </c>
      <c r="F126" s="4" t="s">
        <v>24</v>
      </c>
      <c r="G126" s="4" t="s">
        <v>107</v>
      </c>
      <c r="H126">
        <v>17</v>
      </c>
      <c r="I126">
        <v>29</v>
      </c>
      <c r="J126">
        <v>2</v>
      </c>
      <c r="K126">
        <v>27</v>
      </c>
      <c r="L126">
        <v>51469.74</v>
      </c>
      <c r="M126">
        <v>3670</v>
      </c>
      <c r="N126">
        <v>47799.74</v>
      </c>
      <c r="O126">
        <v>27891.599999999999</v>
      </c>
      <c r="P126">
        <v>19908.14</v>
      </c>
      <c r="Q126">
        <v>0.41649999999999998</v>
      </c>
      <c r="R126">
        <v>4</v>
      </c>
      <c r="S126">
        <v>11257.74</v>
      </c>
      <c r="T126">
        <v>0</v>
      </c>
      <c r="U126">
        <v>2811.75</v>
      </c>
    </row>
    <row r="127" spans="1:21" x14ac:dyDescent="0.35">
      <c r="A127">
        <v>2024</v>
      </c>
      <c r="B127">
        <v>2</v>
      </c>
      <c r="C127">
        <v>1</v>
      </c>
      <c r="D127" s="1">
        <v>45323</v>
      </c>
      <c r="E127" s="4" t="s">
        <v>25</v>
      </c>
      <c r="F127" s="4" t="s">
        <v>24</v>
      </c>
      <c r="G127" s="4" t="s">
        <v>109</v>
      </c>
      <c r="H127">
        <v>158</v>
      </c>
      <c r="I127">
        <v>246</v>
      </c>
      <c r="J127">
        <v>12</v>
      </c>
      <c r="K127">
        <v>234</v>
      </c>
      <c r="L127">
        <v>379373.43</v>
      </c>
      <c r="M127">
        <v>18063.080000000002</v>
      </c>
      <c r="N127">
        <v>361310.35</v>
      </c>
      <c r="O127">
        <v>206410.05</v>
      </c>
      <c r="P127">
        <v>154900.29999999999</v>
      </c>
      <c r="Q127">
        <v>0.42870000000000003</v>
      </c>
      <c r="R127">
        <v>21</v>
      </c>
      <c r="S127">
        <v>58089.35</v>
      </c>
      <c r="T127">
        <v>0</v>
      </c>
      <c r="U127">
        <v>2286.77</v>
      </c>
    </row>
    <row r="128" spans="1:21" x14ac:dyDescent="0.35">
      <c r="A128">
        <v>2024</v>
      </c>
      <c r="B128">
        <v>2</v>
      </c>
      <c r="C128">
        <v>1</v>
      </c>
      <c r="D128" s="1">
        <v>45323</v>
      </c>
      <c r="E128" s="4" t="s">
        <v>25</v>
      </c>
      <c r="F128" s="4" t="s">
        <v>26</v>
      </c>
      <c r="G128" s="4" t="s">
        <v>107</v>
      </c>
      <c r="H128">
        <v>13</v>
      </c>
      <c r="I128">
        <v>23</v>
      </c>
      <c r="J128">
        <v>0</v>
      </c>
      <c r="K128">
        <v>23</v>
      </c>
      <c r="L128">
        <v>22567.49</v>
      </c>
      <c r="M128">
        <v>0</v>
      </c>
      <c r="N128">
        <v>22567.49</v>
      </c>
      <c r="O128">
        <v>13909.8</v>
      </c>
      <c r="P128">
        <v>8657.69</v>
      </c>
      <c r="Q128">
        <v>0.3836</v>
      </c>
      <c r="R128">
        <v>2</v>
      </c>
      <c r="S128">
        <v>2723.49</v>
      </c>
      <c r="T128">
        <v>0</v>
      </c>
      <c r="U128">
        <v>1735.96</v>
      </c>
    </row>
    <row r="129" spans="1:21" x14ac:dyDescent="0.35">
      <c r="A129">
        <v>2024</v>
      </c>
      <c r="B129">
        <v>2</v>
      </c>
      <c r="C129">
        <v>1</v>
      </c>
      <c r="D129" s="1">
        <v>45323</v>
      </c>
      <c r="E129" s="4" t="s">
        <v>25</v>
      </c>
      <c r="F129" s="4" t="s">
        <v>26</v>
      </c>
      <c r="G129" s="4" t="s">
        <v>109</v>
      </c>
      <c r="H129">
        <v>36</v>
      </c>
      <c r="I129">
        <v>50</v>
      </c>
      <c r="J129">
        <v>2</v>
      </c>
      <c r="K129">
        <v>48</v>
      </c>
      <c r="L129">
        <v>38050.720000000001</v>
      </c>
      <c r="M129">
        <v>736</v>
      </c>
      <c r="N129">
        <v>37314.720000000001</v>
      </c>
      <c r="O129">
        <v>23085</v>
      </c>
      <c r="P129">
        <v>14229.72</v>
      </c>
      <c r="Q129">
        <v>0.38129999999999997</v>
      </c>
      <c r="R129">
        <v>3</v>
      </c>
      <c r="S129">
        <v>4755.72</v>
      </c>
      <c r="T129">
        <v>0</v>
      </c>
      <c r="U129">
        <v>1036.52</v>
      </c>
    </row>
    <row r="130" spans="1:21" x14ac:dyDescent="0.35">
      <c r="A130">
        <v>2024</v>
      </c>
      <c r="B130">
        <v>2</v>
      </c>
      <c r="C130">
        <v>1</v>
      </c>
      <c r="D130" s="1">
        <v>45323</v>
      </c>
      <c r="E130" s="4" t="s">
        <v>29</v>
      </c>
      <c r="F130" s="4" t="s">
        <v>28</v>
      </c>
      <c r="G130" s="4" t="s">
        <v>107</v>
      </c>
      <c r="H130">
        <v>156</v>
      </c>
      <c r="I130">
        <v>254</v>
      </c>
      <c r="J130">
        <v>0</v>
      </c>
      <c r="K130">
        <v>254</v>
      </c>
      <c r="L130">
        <v>113840.35</v>
      </c>
      <c r="M130">
        <v>0</v>
      </c>
      <c r="N130">
        <v>113840.35</v>
      </c>
      <c r="O130">
        <v>40748.400000000001</v>
      </c>
      <c r="P130">
        <v>73091.95</v>
      </c>
      <c r="Q130">
        <v>0.6421</v>
      </c>
      <c r="R130">
        <v>18</v>
      </c>
      <c r="S130">
        <v>13124.76</v>
      </c>
      <c r="T130">
        <v>0</v>
      </c>
      <c r="U130">
        <v>729.75</v>
      </c>
    </row>
    <row r="131" spans="1:21" x14ac:dyDescent="0.35">
      <c r="A131">
        <v>2024</v>
      </c>
      <c r="B131">
        <v>2</v>
      </c>
      <c r="C131">
        <v>1</v>
      </c>
      <c r="D131" s="1">
        <v>45323</v>
      </c>
      <c r="E131" s="4" t="s">
        <v>29</v>
      </c>
      <c r="F131" s="4" t="s">
        <v>28</v>
      </c>
      <c r="G131" s="4" t="s">
        <v>108</v>
      </c>
      <c r="H131">
        <v>33</v>
      </c>
      <c r="I131">
        <v>52</v>
      </c>
      <c r="J131">
        <v>0</v>
      </c>
      <c r="K131">
        <v>52</v>
      </c>
      <c r="L131">
        <v>30576.32</v>
      </c>
      <c r="M131">
        <v>0</v>
      </c>
      <c r="N131">
        <v>30576.32</v>
      </c>
      <c r="O131">
        <v>11065.6</v>
      </c>
      <c r="P131">
        <v>19510.72</v>
      </c>
      <c r="Q131">
        <v>0.6381</v>
      </c>
      <c r="R131">
        <v>3</v>
      </c>
      <c r="S131">
        <v>5040.32</v>
      </c>
      <c r="T131">
        <v>0</v>
      </c>
      <c r="U131">
        <v>926.56</v>
      </c>
    </row>
    <row r="132" spans="1:21" x14ac:dyDescent="0.35">
      <c r="A132">
        <v>2024</v>
      </c>
      <c r="B132">
        <v>2</v>
      </c>
      <c r="C132">
        <v>1</v>
      </c>
      <c r="D132" s="1">
        <v>45323</v>
      </c>
      <c r="E132" s="4" t="s">
        <v>29</v>
      </c>
      <c r="F132" s="4" t="s">
        <v>28</v>
      </c>
      <c r="G132" s="4" t="s">
        <v>109</v>
      </c>
      <c r="H132">
        <v>659</v>
      </c>
      <c r="I132">
        <v>1018</v>
      </c>
      <c r="J132">
        <v>0</v>
      </c>
      <c r="K132">
        <v>1018</v>
      </c>
      <c r="L132">
        <v>483333.16</v>
      </c>
      <c r="M132">
        <v>0</v>
      </c>
      <c r="N132">
        <v>483333.16</v>
      </c>
      <c r="O132">
        <v>176763.65</v>
      </c>
      <c r="P132">
        <v>306569.51</v>
      </c>
      <c r="Q132">
        <v>0.63429999999999997</v>
      </c>
      <c r="R132">
        <v>102</v>
      </c>
      <c r="S132">
        <v>84708.78</v>
      </c>
      <c r="T132">
        <v>0</v>
      </c>
      <c r="U132">
        <v>733.43</v>
      </c>
    </row>
    <row r="133" spans="1:21" x14ac:dyDescent="0.35">
      <c r="A133">
        <v>2024</v>
      </c>
      <c r="B133">
        <v>2</v>
      </c>
      <c r="C133">
        <v>1</v>
      </c>
      <c r="D133" s="1">
        <v>45323</v>
      </c>
      <c r="E133" s="4" t="s">
        <v>29</v>
      </c>
      <c r="F133" s="4" t="s">
        <v>24</v>
      </c>
      <c r="G133" s="4" t="s">
        <v>107</v>
      </c>
      <c r="H133">
        <v>6</v>
      </c>
      <c r="I133">
        <v>8</v>
      </c>
      <c r="J133">
        <v>0</v>
      </c>
      <c r="K133">
        <v>8</v>
      </c>
      <c r="L133">
        <v>6626.88</v>
      </c>
      <c r="M133">
        <v>0</v>
      </c>
      <c r="N133">
        <v>6626.88</v>
      </c>
      <c r="O133">
        <v>3801.6</v>
      </c>
      <c r="P133">
        <v>2825.28</v>
      </c>
      <c r="Q133">
        <v>0.42630000000000001</v>
      </c>
      <c r="R133">
        <v>1</v>
      </c>
      <c r="S133">
        <v>578.88</v>
      </c>
      <c r="T133">
        <v>0</v>
      </c>
      <c r="U133">
        <v>1104.48</v>
      </c>
    </row>
    <row r="134" spans="1:21" x14ac:dyDescent="0.35">
      <c r="A134">
        <v>2024</v>
      </c>
      <c r="B134">
        <v>2</v>
      </c>
      <c r="C134">
        <v>1</v>
      </c>
      <c r="D134" s="1">
        <v>45323</v>
      </c>
      <c r="E134" s="4" t="s">
        <v>29</v>
      </c>
      <c r="F134" s="4" t="s">
        <v>24</v>
      </c>
      <c r="G134" s="4" t="s">
        <v>108</v>
      </c>
      <c r="H134">
        <v>14</v>
      </c>
      <c r="I134">
        <v>18</v>
      </c>
      <c r="J134">
        <v>1</v>
      </c>
      <c r="K134">
        <v>17</v>
      </c>
      <c r="L134">
        <v>13133.4</v>
      </c>
      <c r="M134">
        <v>742</v>
      </c>
      <c r="N134">
        <v>12391.4</v>
      </c>
      <c r="O134">
        <v>6937.7</v>
      </c>
      <c r="P134">
        <v>5453.7</v>
      </c>
      <c r="Q134">
        <v>0.44009999999999999</v>
      </c>
      <c r="R134">
        <v>1</v>
      </c>
      <c r="S134">
        <v>519.4</v>
      </c>
      <c r="T134">
        <v>0</v>
      </c>
      <c r="U134">
        <v>885.1</v>
      </c>
    </row>
    <row r="135" spans="1:21" x14ac:dyDescent="0.35">
      <c r="A135">
        <v>2024</v>
      </c>
      <c r="B135">
        <v>2</v>
      </c>
      <c r="C135">
        <v>1</v>
      </c>
      <c r="D135" s="1">
        <v>45323</v>
      </c>
      <c r="E135" s="4" t="s">
        <v>29</v>
      </c>
      <c r="F135" s="4" t="s">
        <v>24</v>
      </c>
      <c r="G135" s="4" t="s">
        <v>109</v>
      </c>
      <c r="H135">
        <v>105</v>
      </c>
      <c r="I135">
        <v>142</v>
      </c>
      <c r="J135">
        <v>6</v>
      </c>
      <c r="K135">
        <v>136</v>
      </c>
      <c r="L135">
        <v>281709.34999999998</v>
      </c>
      <c r="M135">
        <v>13532</v>
      </c>
      <c r="N135">
        <v>268177.34999999998</v>
      </c>
      <c r="O135">
        <v>152066.75</v>
      </c>
      <c r="P135">
        <v>116110.6</v>
      </c>
      <c r="Q135">
        <v>0.433</v>
      </c>
      <c r="R135">
        <v>10</v>
      </c>
      <c r="S135">
        <v>34484.35</v>
      </c>
      <c r="T135">
        <v>0</v>
      </c>
      <c r="U135">
        <v>2554.0700000000002</v>
      </c>
    </row>
    <row r="136" spans="1:21" x14ac:dyDescent="0.35">
      <c r="A136">
        <v>2024</v>
      </c>
      <c r="B136">
        <v>2</v>
      </c>
      <c r="C136">
        <v>1</v>
      </c>
      <c r="D136" s="1">
        <v>45323</v>
      </c>
      <c r="E136" s="4" t="s">
        <v>29</v>
      </c>
      <c r="F136" s="4" t="s">
        <v>26</v>
      </c>
      <c r="G136" s="4" t="s">
        <v>107</v>
      </c>
      <c r="H136">
        <v>10</v>
      </c>
      <c r="I136">
        <v>17</v>
      </c>
      <c r="J136">
        <v>0</v>
      </c>
      <c r="K136">
        <v>17</v>
      </c>
      <c r="L136">
        <v>12161.6</v>
      </c>
      <c r="M136">
        <v>0</v>
      </c>
      <c r="N136">
        <v>12161.6</v>
      </c>
      <c r="O136">
        <v>7829.4</v>
      </c>
      <c r="P136">
        <v>4332.2</v>
      </c>
      <c r="Q136">
        <v>0.35620000000000002</v>
      </c>
      <c r="R136">
        <v>2</v>
      </c>
      <c r="S136">
        <v>5376.6</v>
      </c>
      <c r="T136">
        <v>0</v>
      </c>
      <c r="U136">
        <v>1216.1600000000001</v>
      </c>
    </row>
    <row r="137" spans="1:21" x14ac:dyDescent="0.35">
      <c r="A137">
        <v>2024</v>
      </c>
      <c r="B137">
        <v>2</v>
      </c>
      <c r="C137">
        <v>1</v>
      </c>
      <c r="D137" s="1">
        <v>45323</v>
      </c>
      <c r="E137" s="4" t="s">
        <v>29</v>
      </c>
      <c r="F137" s="4" t="s">
        <v>26</v>
      </c>
      <c r="G137" s="4" t="s">
        <v>109</v>
      </c>
      <c r="H137">
        <v>28</v>
      </c>
      <c r="I137">
        <v>38</v>
      </c>
      <c r="J137">
        <v>1</v>
      </c>
      <c r="K137">
        <v>37</v>
      </c>
      <c r="L137">
        <v>29250.7</v>
      </c>
      <c r="M137">
        <v>1109</v>
      </c>
      <c r="N137">
        <v>28141.7</v>
      </c>
      <c r="O137">
        <v>17320.8</v>
      </c>
      <c r="P137">
        <v>10820.9</v>
      </c>
      <c r="Q137">
        <v>0.38450000000000001</v>
      </c>
      <c r="R137">
        <v>2</v>
      </c>
      <c r="S137">
        <v>1963.7</v>
      </c>
      <c r="T137">
        <v>0</v>
      </c>
      <c r="U137">
        <v>1005.06</v>
      </c>
    </row>
    <row r="138" spans="1:21" x14ac:dyDescent="0.35">
      <c r="A138">
        <v>2024</v>
      </c>
      <c r="B138">
        <v>2</v>
      </c>
      <c r="C138">
        <v>1</v>
      </c>
      <c r="D138" s="1">
        <v>45323</v>
      </c>
      <c r="E138" s="4" t="s">
        <v>31</v>
      </c>
      <c r="F138" s="4" t="s">
        <v>28</v>
      </c>
      <c r="G138" s="4" t="s">
        <v>107</v>
      </c>
      <c r="H138">
        <v>75</v>
      </c>
      <c r="I138">
        <v>107</v>
      </c>
      <c r="J138">
        <v>0</v>
      </c>
      <c r="K138">
        <v>107</v>
      </c>
      <c r="L138">
        <v>42559.48</v>
      </c>
      <c r="M138">
        <v>0</v>
      </c>
      <c r="N138">
        <v>42559.48</v>
      </c>
      <c r="O138">
        <v>15285.55</v>
      </c>
      <c r="P138">
        <v>27273.93</v>
      </c>
      <c r="Q138">
        <v>0.64080000000000004</v>
      </c>
      <c r="R138">
        <v>6</v>
      </c>
      <c r="S138">
        <v>3376.48</v>
      </c>
      <c r="T138">
        <v>0</v>
      </c>
      <c r="U138">
        <v>567.46</v>
      </c>
    </row>
    <row r="139" spans="1:21" x14ac:dyDescent="0.35">
      <c r="A139">
        <v>2024</v>
      </c>
      <c r="B139">
        <v>2</v>
      </c>
      <c r="C139">
        <v>1</v>
      </c>
      <c r="D139" s="1">
        <v>45323</v>
      </c>
      <c r="E139" s="4" t="s">
        <v>31</v>
      </c>
      <c r="F139" s="4" t="s">
        <v>28</v>
      </c>
      <c r="G139" s="4" t="s">
        <v>108</v>
      </c>
      <c r="H139">
        <v>245</v>
      </c>
      <c r="I139">
        <v>355</v>
      </c>
      <c r="J139">
        <v>0</v>
      </c>
      <c r="K139">
        <v>355</v>
      </c>
      <c r="L139">
        <v>136717.59</v>
      </c>
      <c r="M139">
        <v>0</v>
      </c>
      <c r="N139">
        <v>136717.59</v>
      </c>
      <c r="O139">
        <v>49946.400000000001</v>
      </c>
      <c r="P139">
        <v>86771.19</v>
      </c>
      <c r="Q139">
        <v>0.63470000000000004</v>
      </c>
      <c r="R139">
        <v>38</v>
      </c>
      <c r="S139">
        <v>23406.59</v>
      </c>
      <c r="T139">
        <v>0</v>
      </c>
      <c r="U139">
        <v>558.03</v>
      </c>
    </row>
    <row r="140" spans="1:21" x14ac:dyDescent="0.35">
      <c r="A140">
        <v>2024</v>
      </c>
      <c r="B140">
        <v>2</v>
      </c>
      <c r="C140">
        <v>1</v>
      </c>
      <c r="D140" s="1">
        <v>45323</v>
      </c>
      <c r="E140" s="4" t="s">
        <v>31</v>
      </c>
      <c r="F140" s="4" t="s">
        <v>28</v>
      </c>
      <c r="G140" s="4" t="s">
        <v>109</v>
      </c>
      <c r="H140">
        <v>757</v>
      </c>
      <c r="I140">
        <v>1154</v>
      </c>
      <c r="J140">
        <v>0</v>
      </c>
      <c r="K140">
        <v>1154</v>
      </c>
      <c r="L140">
        <v>561780.85</v>
      </c>
      <c r="M140">
        <v>0</v>
      </c>
      <c r="N140">
        <v>561780.85</v>
      </c>
      <c r="O140">
        <v>205017.4</v>
      </c>
      <c r="P140">
        <v>356763.45</v>
      </c>
      <c r="Q140">
        <v>0.6351</v>
      </c>
      <c r="R140">
        <v>115</v>
      </c>
      <c r="S140">
        <v>97857.07</v>
      </c>
      <c r="T140">
        <v>0</v>
      </c>
      <c r="U140">
        <v>742.11</v>
      </c>
    </row>
    <row r="141" spans="1:21" x14ac:dyDescent="0.35">
      <c r="A141">
        <v>2024</v>
      </c>
      <c r="B141">
        <v>2</v>
      </c>
      <c r="C141">
        <v>1</v>
      </c>
      <c r="D141" s="1">
        <v>45323</v>
      </c>
      <c r="E141" s="4" t="s">
        <v>31</v>
      </c>
      <c r="F141" s="4" t="s">
        <v>35</v>
      </c>
      <c r="G141" s="4" t="s">
        <v>107</v>
      </c>
      <c r="H141">
        <v>1</v>
      </c>
      <c r="I141">
        <v>2</v>
      </c>
      <c r="J141">
        <v>0</v>
      </c>
      <c r="K141">
        <v>2</v>
      </c>
      <c r="L141">
        <v>814</v>
      </c>
      <c r="M141">
        <v>0</v>
      </c>
      <c r="N141">
        <v>814</v>
      </c>
      <c r="O141">
        <v>162.80000000000001</v>
      </c>
      <c r="P141">
        <v>651.20000000000005</v>
      </c>
      <c r="Q141">
        <v>0.8</v>
      </c>
      <c r="R141">
        <v>0</v>
      </c>
      <c r="S141">
        <v>0</v>
      </c>
      <c r="T141">
        <v>0</v>
      </c>
      <c r="U141">
        <v>814</v>
      </c>
    </row>
    <row r="142" spans="1:21" x14ac:dyDescent="0.35">
      <c r="A142">
        <v>2024</v>
      </c>
      <c r="B142">
        <v>2</v>
      </c>
      <c r="C142">
        <v>1</v>
      </c>
      <c r="D142" s="1">
        <v>45323</v>
      </c>
      <c r="E142" s="4" t="s">
        <v>31</v>
      </c>
      <c r="F142" s="4" t="s">
        <v>24</v>
      </c>
      <c r="G142" s="4" t="s">
        <v>107</v>
      </c>
      <c r="H142">
        <v>16</v>
      </c>
      <c r="I142">
        <v>29</v>
      </c>
      <c r="J142">
        <v>0</v>
      </c>
      <c r="K142">
        <v>29</v>
      </c>
      <c r="L142">
        <v>50281.8</v>
      </c>
      <c r="M142">
        <v>0</v>
      </c>
      <c r="N142">
        <v>50281.8</v>
      </c>
      <c r="O142">
        <v>28869.5</v>
      </c>
      <c r="P142">
        <v>21412.3</v>
      </c>
      <c r="Q142">
        <v>0.42580000000000001</v>
      </c>
      <c r="R142">
        <v>3</v>
      </c>
      <c r="S142">
        <v>5031.8</v>
      </c>
      <c r="T142">
        <v>0</v>
      </c>
      <c r="U142">
        <v>3142.61</v>
      </c>
    </row>
    <row r="143" spans="1:21" x14ac:dyDescent="0.35">
      <c r="A143">
        <v>2024</v>
      </c>
      <c r="B143">
        <v>2</v>
      </c>
      <c r="C143">
        <v>1</v>
      </c>
      <c r="D143" s="1">
        <v>45323</v>
      </c>
      <c r="E143" s="4" t="s">
        <v>31</v>
      </c>
      <c r="F143" s="4" t="s">
        <v>24</v>
      </c>
      <c r="G143" s="4" t="s">
        <v>109</v>
      </c>
      <c r="H143">
        <v>185</v>
      </c>
      <c r="I143">
        <v>286</v>
      </c>
      <c r="J143">
        <v>15</v>
      </c>
      <c r="K143">
        <v>271</v>
      </c>
      <c r="L143">
        <v>402292.3</v>
      </c>
      <c r="M143">
        <v>19185.52</v>
      </c>
      <c r="N143">
        <v>383106.78</v>
      </c>
      <c r="O143">
        <v>219596.3</v>
      </c>
      <c r="P143">
        <v>163510.48000000001</v>
      </c>
      <c r="Q143">
        <v>0.42680000000000001</v>
      </c>
      <c r="R143">
        <v>22</v>
      </c>
      <c r="S143">
        <v>55555.78</v>
      </c>
      <c r="T143">
        <v>0</v>
      </c>
      <c r="U143">
        <v>2070.85</v>
      </c>
    </row>
    <row r="144" spans="1:21" x14ac:dyDescent="0.35">
      <c r="A144">
        <v>2024</v>
      </c>
      <c r="B144">
        <v>2</v>
      </c>
      <c r="C144">
        <v>1</v>
      </c>
      <c r="D144" s="1">
        <v>45323</v>
      </c>
      <c r="E144" s="4" t="s">
        <v>31</v>
      </c>
      <c r="F144" s="4" t="s">
        <v>26</v>
      </c>
      <c r="G144" s="4" t="s">
        <v>107</v>
      </c>
      <c r="H144">
        <v>6</v>
      </c>
      <c r="I144">
        <v>7</v>
      </c>
      <c r="J144">
        <v>0</v>
      </c>
      <c r="K144">
        <v>7</v>
      </c>
      <c r="L144">
        <v>3166</v>
      </c>
      <c r="M144">
        <v>0</v>
      </c>
      <c r="N144">
        <v>3166</v>
      </c>
      <c r="O144">
        <v>1899.6</v>
      </c>
      <c r="P144">
        <v>1266.4000000000001</v>
      </c>
      <c r="Q144">
        <v>0.4</v>
      </c>
      <c r="R144">
        <v>0</v>
      </c>
      <c r="S144">
        <v>0</v>
      </c>
      <c r="T144">
        <v>0</v>
      </c>
      <c r="U144">
        <v>527.66999999999996</v>
      </c>
    </row>
    <row r="145" spans="1:21" x14ac:dyDescent="0.35">
      <c r="A145">
        <v>2024</v>
      </c>
      <c r="B145">
        <v>2</v>
      </c>
      <c r="C145">
        <v>1</v>
      </c>
      <c r="D145" s="1">
        <v>45323</v>
      </c>
      <c r="E145" s="4" t="s">
        <v>31</v>
      </c>
      <c r="F145" s="4" t="s">
        <v>26</v>
      </c>
      <c r="G145" s="4" t="s">
        <v>109</v>
      </c>
      <c r="H145">
        <v>28</v>
      </c>
      <c r="I145">
        <v>42</v>
      </c>
      <c r="J145">
        <v>0</v>
      </c>
      <c r="K145">
        <v>42</v>
      </c>
      <c r="L145">
        <v>34604.959999999999</v>
      </c>
      <c r="M145">
        <v>0</v>
      </c>
      <c r="N145">
        <v>34604.959999999999</v>
      </c>
      <c r="O145">
        <v>21726</v>
      </c>
      <c r="P145">
        <v>12878.96</v>
      </c>
      <c r="Q145">
        <v>0.37219999999999998</v>
      </c>
      <c r="R145">
        <v>4</v>
      </c>
      <c r="S145">
        <v>5838.96</v>
      </c>
      <c r="T145">
        <v>0</v>
      </c>
      <c r="U145">
        <v>1235.8900000000001</v>
      </c>
    </row>
    <row r="146" spans="1:21" x14ac:dyDescent="0.35">
      <c r="A146">
        <v>2024</v>
      </c>
      <c r="B146">
        <v>2</v>
      </c>
      <c r="C146">
        <v>1</v>
      </c>
      <c r="D146" s="1">
        <v>45323</v>
      </c>
      <c r="E146" s="4" t="s">
        <v>30</v>
      </c>
      <c r="F146" s="4" t="s">
        <v>28</v>
      </c>
      <c r="G146" s="4" t="s">
        <v>107</v>
      </c>
      <c r="H146">
        <v>83</v>
      </c>
      <c r="I146">
        <v>128</v>
      </c>
      <c r="J146">
        <v>0</v>
      </c>
      <c r="K146">
        <v>128</v>
      </c>
      <c r="L146">
        <v>55892.43</v>
      </c>
      <c r="M146">
        <v>0</v>
      </c>
      <c r="N146">
        <v>55892.43</v>
      </c>
      <c r="O146">
        <v>20204.8</v>
      </c>
      <c r="P146">
        <v>35687.629999999997</v>
      </c>
      <c r="Q146">
        <v>0.63849999999999996</v>
      </c>
      <c r="R146">
        <v>7</v>
      </c>
      <c r="S146">
        <v>5380.43</v>
      </c>
      <c r="T146">
        <v>0</v>
      </c>
      <c r="U146">
        <v>673.4</v>
      </c>
    </row>
    <row r="147" spans="1:21" x14ac:dyDescent="0.35">
      <c r="A147">
        <v>2024</v>
      </c>
      <c r="B147">
        <v>2</v>
      </c>
      <c r="C147">
        <v>1</v>
      </c>
      <c r="D147" s="1">
        <v>45323</v>
      </c>
      <c r="E147" s="4" t="s">
        <v>30</v>
      </c>
      <c r="F147" s="4" t="s">
        <v>28</v>
      </c>
      <c r="G147" s="4" t="s">
        <v>108</v>
      </c>
      <c r="H147">
        <v>45</v>
      </c>
      <c r="I147">
        <v>71</v>
      </c>
      <c r="J147">
        <v>0</v>
      </c>
      <c r="K147">
        <v>71</v>
      </c>
      <c r="L147">
        <v>43000.800000000003</v>
      </c>
      <c r="M147">
        <v>0</v>
      </c>
      <c r="N147">
        <v>43000.800000000003</v>
      </c>
      <c r="O147">
        <v>15282.75</v>
      </c>
      <c r="P147">
        <v>27718.05</v>
      </c>
      <c r="Q147">
        <v>0.64459999999999995</v>
      </c>
      <c r="R147">
        <v>4</v>
      </c>
      <c r="S147">
        <v>5485.8</v>
      </c>
      <c r="T147">
        <v>0</v>
      </c>
      <c r="U147">
        <v>955.57</v>
      </c>
    </row>
    <row r="148" spans="1:21" x14ac:dyDescent="0.35">
      <c r="A148">
        <v>2024</v>
      </c>
      <c r="B148">
        <v>2</v>
      </c>
      <c r="C148">
        <v>1</v>
      </c>
      <c r="D148" s="1">
        <v>45323</v>
      </c>
      <c r="E148" s="4" t="s">
        <v>30</v>
      </c>
      <c r="F148" s="4" t="s">
        <v>28</v>
      </c>
      <c r="G148" s="4" t="s">
        <v>109</v>
      </c>
      <c r="H148">
        <v>622</v>
      </c>
      <c r="I148">
        <v>948</v>
      </c>
      <c r="J148">
        <v>0</v>
      </c>
      <c r="K148">
        <v>948</v>
      </c>
      <c r="L148">
        <v>368631.09</v>
      </c>
      <c r="M148">
        <v>0</v>
      </c>
      <c r="N148">
        <v>368631.09</v>
      </c>
      <c r="O148">
        <v>133156.79999999999</v>
      </c>
      <c r="P148">
        <v>235474.29</v>
      </c>
      <c r="Q148">
        <v>0.63880000000000003</v>
      </c>
      <c r="R148">
        <v>64</v>
      </c>
      <c r="S148">
        <v>48129.53</v>
      </c>
      <c r="T148">
        <v>0</v>
      </c>
      <c r="U148">
        <v>592.65</v>
      </c>
    </row>
    <row r="149" spans="1:21" x14ac:dyDescent="0.35">
      <c r="A149">
        <v>2024</v>
      </c>
      <c r="B149">
        <v>2</v>
      </c>
      <c r="C149">
        <v>1</v>
      </c>
      <c r="D149" s="1">
        <v>45323</v>
      </c>
      <c r="E149" s="4" t="s">
        <v>30</v>
      </c>
      <c r="F149" s="4" t="s">
        <v>24</v>
      </c>
      <c r="G149" s="4" t="s">
        <v>107</v>
      </c>
      <c r="H149">
        <v>49</v>
      </c>
      <c r="I149">
        <v>82</v>
      </c>
      <c r="J149">
        <v>4</v>
      </c>
      <c r="K149">
        <v>78</v>
      </c>
      <c r="L149">
        <v>167900.53</v>
      </c>
      <c r="M149">
        <v>7037</v>
      </c>
      <c r="N149">
        <v>160863.53</v>
      </c>
      <c r="O149">
        <v>90226.4</v>
      </c>
      <c r="P149">
        <v>70637.13</v>
      </c>
      <c r="Q149">
        <v>0.43909999999999999</v>
      </c>
      <c r="R149">
        <v>4</v>
      </c>
      <c r="S149">
        <v>22928.53</v>
      </c>
      <c r="T149">
        <v>0</v>
      </c>
      <c r="U149">
        <v>3282.93</v>
      </c>
    </row>
    <row r="150" spans="1:21" x14ac:dyDescent="0.35">
      <c r="A150">
        <v>2024</v>
      </c>
      <c r="B150">
        <v>2</v>
      </c>
      <c r="C150">
        <v>1</v>
      </c>
      <c r="D150" s="1">
        <v>45323</v>
      </c>
      <c r="E150" s="4" t="s">
        <v>30</v>
      </c>
      <c r="F150" s="4" t="s">
        <v>24</v>
      </c>
      <c r="G150" s="4" t="s">
        <v>108</v>
      </c>
      <c r="H150">
        <v>6</v>
      </c>
      <c r="I150">
        <v>7</v>
      </c>
      <c r="J150">
        <v>0</v>
      </c>
      <c r="K150">
        <v>7</v>
      </c>
      <c r="L150">
        <v>15417.6</v>
      </c>
      <c r="M150">
        <v>0</v>
      </c>
      <c r="N150">
        <v>15417.6</v>
      </c>
      <c r="O150">
        <v>9274.65</v>
      </c>
      <c r="P150">
        <v>6142.95</v>
      </c>
      <c r="Q150">
        <v>0.39839999999999998</v>
      </c>
      <c r="R150">
        <v>2</v>
      </c>
      <c r="S150">
        <v>5781.6</v>
      </c>
      <c r="T150">
        <v>0</v>
      </c>
      <c r="U150">
        <v>2569.6</v>
      </c>
    </row>
    <row r="151" spans="1:21" x14ac:dyDescent="0.35">
      <c r="A151">
        <v>2024</v>
      </c>
      <c r="B151">
        <v>2</v>
      </c>
      <c r="C151">
        <v>1</v>
      </c>
      <c r="D151" s="1">
        <v>45323</v>
      </c>
      <c r="E151" s="4" t="s">
        <v>30</v>
      </c>
      <c r="F151" s="4" t="s">
        <v>24</v>
      </c>
      <c r="G151" s="4" t="s">
        <v>109</v>
      </c>
      <c r="H151">
        <v>180</v>
      </c>
      <c r="I151">
        <v>281</v>
      </c>
      <c r="J151">
        <v>2</v>
      </c>
      <c r="K151">
        <v>279</v>
      </c>
      <c r="L151">
        <v>505119.95</v>
      </c>
      <c r="M151">
        <v>2300</v>
      </c>
      <c r="N151">
        <v>502819.95</v>
      </c>
      <c r="O151">
        <v>282689.55</v>
      </c>
      <c r="P151">
        <v>220130.4</v>
      </c>
      <c r="Q151">
        <v>0.43780000000000002</v>
      </c>
      <c r="R151">
        <v>19</v>
      </c>
      <c r="S151">
        <v>57078.04</v>
      </c>
      <c r="T151">
        <v>0</v>
      </c>
      <c r="U151">
        <v>2793.44</v>
      </c>
    </row>
    <row r="152" spans="1:21" x14ac:dyDescent="0.35">
      <c r="A152">
        <v>2024</v>
      </c>
      <c r="B152">
        <v>2</v>
      </c>
      <c r="C152">
        <v>1</v>
      </c>
      <c r="D152" s="1">
        <v>45323</v>
      </c>
      <c r="E152" s="4" t="s">
        <v>30</v>
      </c>
      <c r="F152" s="4" t="s">
        <v>26</v>
      </c>
      <c r="G152" s="4" t="s">
        <v>109</v>
      </c>
      <c r="H152">
        <v>40</v>
      </c>
      <c r="I152">
        <v>59</v>
      </c>
      <c r="J152">
        <v>3</v>
      </c>
      <c r="K152">
        <v>56</v>
      </c>
      <c r="L152">
        <v>46156.94</v>
      </c>
      <c r="M152">
        <v>2421.34</v>
      </c>
      <c r="N152">
        <v>43735.6</v>
      </c>
      <c r="O152">
        <v>26742.6</v>
      </c>
      <c r="P152">
        <v>16993</v>
      </c>
      <c r="Q152">
        <v>0.38850000000000001</v>
      </c>
      <c r="R152">
        <v>4</v>
      </c>
      <c r="S152">
        <v>3024.6</v>
      </c>
      <c r="T152">
        <v>0</v>
      </c>
      <c r="U152">
        <v>1093.3900000000001</v>
      </c>
    </row>
    <row r="153" spans="1:21" x14ac:dyDescent="0.35">
      <c r="A153">
        <v>2024</v>
      </c>
      <c r="B153">
        <v>2</v>
      </c>
      <c r="C153">
        <v>1</v>
      </c>
      <c r="D153" s="1">
        <v>45323</v>
      </c>
      <c r="E153" s="4" t="s">
        <v>78</v>
      </c>
      <c r="F153" s="4" t="s">
        <v>78</v>
      </c>
      <c r="G153" s="4" t="s">
        <v>110</v>
      </c>
      <c r="H153">
        <v>189</v>
      </c>
      <c r="I153">
        <v>282</v>
      </c>
      <c r="J153">
        <v>0</v>
      </c>
      <c r="K153">
        <v>282</v>
      </c>
      <c r="L153">
        <v>643145.65</v>
      </c>
      <c r="M153">
        <v>0</v>
      </c>
      <c r="N153">
        <v>643145.65</v>
      </c>
      <c r="O153">
        <v>96597.9</v>
      </c>
      <c r="P153">
        <v>546547.75</v>
      </c>
      <c r="Q153">
        <v>0.8498</v>
      </c>
      <c r="R153">
        <v>0</v>
      </c>
      <c r="S153">
        <v>0</v>
      </c>
      <c r="T153">
        <v>0</v>
      </c>
      <c r="U153">
        <v>3402.89</v>
      </c>
    </row>
    <row r="154" spans="1:21" x14ac:dyDescent="0.35">
      <c r="A154">
        <v>2024</v>
      </c>
      <c r="B154">
        <v>3</v>
      </c>
      <c r="C154">
        <v>1</v>
      </c>
      <c r="D154" s="1">
        <v>45352</v>
      </c>
      <c r="E154" s="4" t="s">
        <v>33</v>
      </c>
      <c r="F154" s="4" t="s">
        <v>28</v>
      </c>
      <c r="G154" s="4" t="s">
        <v>107</v>
      </c>
      <c r="H154">
        <v>117</v>
      </c>
      <c r="I154">
        <v>183</v>
      </c>
      <c r="J154">
        <v>0</v>
      </c>
      <c r="K154">
        <v>183</v>
      </c>
      <c r="L154">
        <v>58411.11</v>
      </c>
      <c r="M154">
        <v>0</v>
      </c>
      <c r="N154">
        <v>58411.11</v>
      </c>
      <c r="O154">
        <v>21129.15</v>
      </c>
      <c r="P154">
        <v>37281.96</v>
      </c>
      <c r="Q154">
        <v>0.63829999999999998</v>
      </c>
      <c r="R154">
        <v>16</v>
      </c>
      <c r="S154">
        <v>9172.11</v>
      </c>
      <c r="T154">
        <v>0</v>
      </c>
      <c r="U154">
        <v>499.24</v>
      </c>
    </row>
    <row r="155" spans="1:21" x14ac:dyDescent="0.35">
      <c r="A155">
        <v>2024</v>
      </c>
      <c r="B155">
        <v>3</v>
      </c>
      <c r="C155">
        <v>1</v>
      </c>
      <c r="D155" s="1">
        <v>45352</v>
      </c>
      <c r="E155" s="4" t="s">
        <v>33</v>
      </c>
      <c r="F155" s="4" t="s">
        <v>28</v>
      </c>
      <c r="G155" s="4" t="s">
        <v>108</v>
      </c>
      <c r="H155">
        <v>38</v>
      </c>
      <c r="I155">
        <v>54</v>
      </c>
      <c r="J155">
        <v>0</v>
      </c>
      <c r="K155">
        <v>54</v>
      </c>
      <c r="L155">
        <v>37543.760000000002</v>
      </c>
      <c r="M155">
        <v>0</v>
      </c>
      <c r="N155">
        <v>37543.760000000002</v>
      </c>
      <c r="O155">
        <v>13456.8</v>
      </c>
      <c r="P155">
        <v>24086.959999999999</v>
      </c>
      <c r="Q155">
        <v>0.64159999999999995</v>
      </c>
      <c r="R155">
        <v>4</v>
      </c>
      <c r="S155">
        <v>4079.76</v>
      </c>
      <c r="T155">
        <v>0</v>
      </c>
      <c r="U155">
        <v>987.99</v>
      </c>
    </row>
    <row r="156" spans="1:21" x14ac:dyDescent="0.35">
      <c r="A156">
        <v>2024</v>
      </c>
      <c r="B156">
        <v>3</v>
      </c>
      <c r="C156">
        <v>1</v>
      </c>
      <c r="D156" s="1">
        <v>45352</v>
      </c>
      <c r="E156" s="4" t="s">
        <v>33</v>
      </c>
      <c r="F156" s="4" t="s">
        <v>28</v>
      </c>
      <c r="G156" s="4" t="s">
        <v>109</v>
      </c>
      <c r="H156">
        <v>600</v>
      </c>
      <c r="I156">
        <v>924</v>
      </c>
      <c r="J156">
        <v>0</v>
      </c>
      <c r="K156">
        <v>924</v>
      </c>
      <c r="L156">
        <v>467561.85</v>
      </c>
      <c r="M156">
        <v>0</v>
      </c>
      <c r="N156">
        <v>467561.85</v>
      </c>
      <c r="O156">
        <v>169641.85</v>
      </c>
      <c r="P156">
        <v>297920</v>
      </c>
      <c r="Q156">
        <v>0.63719999999999999</v>
      </c>
      <c r="R156">
        <v>70</v>
      </c>
      <c r="S156">
        <v>70429.850000000006</v>
      </c>
      <c r="T156">
        <v>0</v>
      </c>
      <c r="U156">
        <v>779.27</v>
      </c>
    </row>
    <row r="157" spans="1:21" x14ac:dyDescent="0.35">
      <c r="A157">
        <v>2024</v>
      </c>
      <c r="B157">
        <v>3</v>
      </c>
      <c r="C157">
        <v>1</v>
      </c>
      <c r="D157" s="1">
        <v>45352</v>
      </c>
      <c r="E157" s="4" t="s">
        <v>33</v>
      </c>
      <c r="F157" s="4" t="s">
        <v>24</v>
      </c>
      <c r="G157" s="4" t="s">
        <v>107</v>
      </c>
      <c r="H157">
        <v>11</v>
      </c>
      <c r="I157">
        <v>14</v>
      </c>
      <c r="J157">
        <v>0</v>
      </c>
      <c r="K157">
        <v>14</v>
      </c>
      <c r="L157">
        <v>23314</v>
      </c>
      <c r="M157">
        <v>0</v>
      </c>
      <c r="N157">
        <v>23314</v>
      </c>
      <c r="O157">
        <v>12822.7</v>
      </c>
      <c r="P157">
        <v>10491.3</v>
      </c>
      <c r="Q157">
        <v>0.45</v>
      </c>
      <c r="R157">
        <v>0</v>
      </c>
      <c r="S157">
        <v>0</v>
      </c>
      <c r="T157">
        <v>0</v>
      </c>
      <c r="U157">
        <v>2119.4499999999998</v>
      </c>
    </row>
    <row r="158" spans="1:21" x14ac:dyDescent="0.35">
      <c r="A158">
        <v>2024</v>
      </c>
      <c r="B158">
        <v>3</v>
      </c>
      <c r="C158">
        <v>1</v>
      </c>
      <c r="D158" s="1">
        <v>45352</v>
      </c>
      <c r="E158" s="4" t="s">
        <v>33</v>
      </c>
      <c r="F158" s="4" t="s">
        <v>24</v>
      </c>
      <c r="G158" s="4" t="s">
        <v>109</v>
      </c>
      <c r="H158">
        <v>140</v>
      </c>
      <c r="I158">
        <v>221</v>
      </c>
      <c r="J158">
        <v>5</v>
      </c>
      <c r="K158">
        <v>216</v>
      </c>
      <c r="L158">
        <v>332823.23</v>
      </c>
      <c r="M158">
        <v>8330</v>
      </c>
      <c r="N158">
        <v>324493.23</v>
      </c>
      <c r="O158">
        <v>184489.25</v>
      </c>
      <c r="P158">
        <v>140003.98000000001</v>
      </c>
      <c r="Q158">
        <v>0.43149999999999999</v>
      </c>
      <c r="R158">
        <v>17</v>
      </c>
      <c r="S158">
        <v>37533.230000000003</v>
      </c>
      <c r="T158">
        <v>0</v>
      </c>
      <c r="U158">
        <v>2317.81</v>
      </c>
    </row>
    <row r="159" spans="1:21" x14ac:dyDescent="0.35">
      <c r="A159">
        <v>2024</v>
      </c>
      <c r="B159">
        <v>3</v>
      </c>
      <c r="C159">
        <v>1</v>
      </c>
      <c r="D159" s="1">
        <v>45352</v>
      </c>
      <c r="E159" s="4" t="s">
        <v>33</v>
      </c>
      <c r="F159" s="4" t="s">
        <v>26</v>
      </c>
      <c r="G159" s="4" t="s">
        <v>107</v>
      </c>
      <c r="H159">
        <v>2</v>
      </c>
      <c r="I159">
        <v>2</v>
      </c>
      <c r="J159">
        <v>0</v>
      </c>
      <c r="K159">
        <v>2</v>
      </c>
      <c r="L159">
        <v>1169</v>
      </c>
      <c r="M159">
        <v>0</v>
      </c>
      <c r="N159">
        <v>1169</v>
      </c>
      <c r="O159">
        <v>701.4</v>
      </c>
      <c r="P159">
        <v>467.6</v>
      </c>
      <c r="Q159">
        <v>0.4</v>
      </c>
      <c r="R159">
        <v>0</v>
      </c>
      <c r="S159">
        <v>0</v>
      </c>
      <c r="T159">
        <v>0</v>
      </c>
      <c r="U159">
        <v>584.5</v>
      </c>
    </row>
    <row r="160" spans="1:21" x14ac:dyDescent="0.35">
      <c r="A160">
        <v>2024</v>
      </c>
      <c r="B160">
        <v>3</v>
      </c>
      <c r="C160">
        <v>1</v>
      </c>
      <c r="D160" s="1">
        <v>45352</v>
      </c>
      <c r="E160" s="4" t="s">
        <v>33</v>
      </c>
      <c r="F160" s="4" t="s">
        <v>26</v>
      </c>
      <c r="G160" s="4" t="s">
        <v>108</v>
      </c>
      <c r="H160">
        <v>6</v>
      </c>
      <c r="I160">
        <v>7</v>
      </c>
      <c r="J160">
        <v>0</v>
      </c>
      <c r="K160">
        <v>7</v>
      </c>
      <c r="L160">
        <v>6125</v>
      </c>
      <c r="M160">
        <v>0</v>
      </c>
      <c r="N160">
        <v>6125</v>
      </c>
      <c r="O160">
        <v>3675</v>
      </c>
      <c r="P160">
        <v>2450</v>
      </c>
      <c r="Q160">
        <v>0.4</v>
      </c>
      <c r="R160">
        <v>0</v>
      </c>
      <c r="S160">
        <v>0</v>
      </c>
      <c r="T160">
        <v>0</v>
      </c>
      <c r="U160">
        <v>1020.83</v>
      </c>
    </row>
    <row r="161" spans="1:21" x14ac:dyDescent="0.35">
      <c r="A161">
        <v>2024</v>
      </c>
      <c r="B161">
        <v>3</v>
      </c>
      <c r="C161">
        <v>1</v>
      </c>
      <c r="D161" s="1">
        <v>45352</v>
      </c>
      <c r="E161" s="4" t="s">
        <v>33</v>
      </c>
      <c r="F161" s="4" t="s">
        <v>26</v>
      </c>
      <c r="G161" s="4" t="s">
        <v>109</v>
      </c>
      <c r="H161">
        <v>57</v>
      </c>
      <c r="I161">
        <v>75</v>
      </c>
      <c r="J161">
        <v>0</v>
      </c>
      <c r="K161">
        <v>75</v>
      </c>
      <c r="L161">
        <v>51791.839999999997</v>
      </c>
      <c r="M161">
        <v>0</v>
      </c>
      <c r="N161">
        <v>51791.839999999997</v>
      </c>
      <c r="O161">
        <v>32013.599999999999</v>
      </c>
      <c r="P161">
        <v>19778.240000000002</v>
      </c>
      <c r="Q161">
        <v>0.38190000000000002</v>
      </c>
      <c r="R161">
        <v>4</v>
      </c>
      <c r="S161">
        <v>4376.84</v>
      </c>
      <c r="T161">
        <v>0</v>
      </c>
      <c r="U161">
        <v>908.63</v>
      </c>
    </row>
    <row r="162" spans="1:21" x14ac:dyDescent="0.35">
      <c r="A162">
        <v>2024</v>
      </c>
      <c r="B162">
        <v>3</v>
      </c>
      <c r="C162">
        <v>1</v>
      </c>
      <c r="D162" s="1">
        <v>45352</v>
      </c>
      <c r="E162" s="4" t="s">
        <v>32</v>
      </c>
      <c r="F162" s="4" t="s">
        <v>28</v>
      </c>
      <c r="G162" s="4" t="s">
        <v>107</v>
      </c>
      <c r="H162">
        <v>26</v>
      </c>
      <c r="I162">
        <v>31</v>
      </c>
      <c r="J162">
        <v>0</v>
      </c>
      <c r="K162">
        <v>31</v>
      </c>
      <c r="L162">
        <v>13738.04</v>
      </c>
      <c r="M162">
        <v>0</v>
      </c>
      <c r="N162">
        <v>13738.04</v>
      </c>
      <c r="O162">
        <v>4925.8999999999996</v>
      </c>
      <c r="P162">
        <v>8812.14</v>
      </c>
      <c r="Q162">
        <v>0.64139999999999997</v>
      </c>
      <c r="R162">
        <v>2</v>
      </c>
      <c r="S162">
        <v>1480.04</v>
      </c>
      <c r="T162">
        <v>0</v>
      </c>
      <c r="U162">
        <v>528.39</v>
      </c>
    </row>
    <row r="163" spans="1:21" x14ac:dyDescent="0.35">
      <c r="A163">
        <v>2024</v>
      </c>
      <c r="B163">
        <v>3</v>
      </c>
      <c r="C163">
        <v>1</v>
      </c>
      <c r="D163" s="1">
        <v>45352</v>
      </c>
      <c r="E163" s="4" t="s">
        <v>32</v>
      </c>
      <c r="F163" s="4" t="s">
        <v>28</v>
      </c>
      <c r="G163" s="4" t="s">
        <v>109</v>
      </c>
      <c r="H163">
        <v>433</v>
      </c>
      <c r="I163">
        <v>675</v>
      </c>
      <c r="J163">
        <v>0</v>
      </c>
      <c r="K163">
        <v>675</v>
      </c>
      <c r="L163">
        <v>234556.89</v>
      </c>
      <c r="M163">
        <v>0</v>
      </c>
      <c r="N163">
        <v>234556.89</v>
      </c>
      <c r="O163">
        <v>84975.45</v>
      </c>
      <c r="P163">
        <v>149581.44</v>
      </c>
      <c r="Q163">
        <v>0.63770000000000004</v>
      </c>
      <c r="R163">
        <v>49</v>
      </c>
      <c r="S163">
        <v>27041.89</v>
      </c>
      <c r="T163">
        <v>0</v>
      </c>
      <c r="U163">
        <v>541.70000000000005</v>
      </c>
    </row>
    <row r="164" spans="1:21" x14ac:dyDescent="0.35">
      <c r="A164">
        <v>2024</v>
      </c>
      <c r="B164">
        <v>3</v>
      </c>
      <c r="C164">
        <v>1</v>
      </c>
      <c r="D164" s="1">
        <v>45352</v>
      </c>
      <c r="E164" s="4" t="s">
        <v>32</v>
      </c>
      <c r="F164" s="4" t="s">
        <v>24</v>
      </c>
      <c r="G164" s="4" t="s">
        <v>107</v>
      </c>
      <c r="H164">
        <v>44</v>
      </c>
      <c r="I164">
        <v>67</v>
      </c>
      <c r="J164">
        <v>5</v>
      </c>
      <c r="K164">
        <v>62</v>
      </c>
      <c r="L164">
        <v>99865.44</v>
      </c>
      <c r="M164">
        <v>7900.56</v>
      </c>
      <c r="N164">
        <v>91964.88</v>
      </c>
      <c r="O164">
        <v>51392.55</v>
      </c>
      <c r="P164">
        <v>40572.33</v>
      </c>
      <c r="Q164">
        <v>0.44119999999999998</v>
      </c>
      <c r="R164">
        <v>3</v>
      </c>
      <c r="S164">
        <v>6440.88</v>
      </c>
      <c r="T164">
        <v>0</v>
      </c>
      <c r="U164">
        <v>2090.11</v>
      </c>
    </row>
    <row r="165" spans="1:21" x14ac:dyDescent="0.35">
      <c r="A165">
        <v>2024</v>
      </c>
      <c r="B165">
        <v>3</v>
      </c>
      <c r="C165">
        <v>1</v>
      </c>
      <c r="D165" s="1">
        <v>45352</v>
      </c>
      <c r="E165" s="4" t="s">
        <v>32</v>
      </c>
      <c r="F165" s="4" t="s">
        <v>24</v>
      </c>
      <c r="G165" s="4" t="s">
        <v>109</v>
      </c>
      <c r="H165">
        <v>150</v>
      </c>
      <c r="I165">
        <v>212</v>
      </c>
      <c r="J165">
        <v>9</v>
      </c>
      <c r="K165">
        <v>203</v>
      </c>
      <c r="L165">
        <v>264063.94</v>
      </c>
      <c r="M165">
        <v>13072</v>
      </c>
      <c r="N165">
        <v>250991.94</v>
      </c>
      <c r="O165">
        <v>140621.25</v>
      </c>
      <c r="P165">
        <v>110370.69</v>
      </c>
      <c r="Q165">
        <v>0.43969999999999998</v>
      </c>
      <c r="R165">
        <v>11</v>
      </c>
      <c r="S165">
        <v>17808.939999999999</v>
      </c>
      <c r="T165">
        <v>0</v>
      </c>
      <c r="U165">
        <v>1673.28</v>
      </c>
    </row>
    <row r="166" spans="1:21" x14ac:dyDescent="0.35">
      <c r="A166">
        <v>2024</v>
      </c>
      <c r="B166">
        <v>3</v>
      </c>
      <c r="C166">
        <v>1</v>
      </c>
      <c r="D166" s="1">
        <v>45352</v>
      </c>
      <c r="E166" s="4" t="s">
        <v>32</v>
      </c>
      <c r="F166" s="4" t="s">
        <v>26</v>
      </c>
      <c r="G166" s="4" t="s">
        <v>107</v>
      </c>
      <c r="H166">
        <v>1</v>
      </c>
      <c r="I166">
        <v>3</v>
      </c>
      <c r="J166">
        <v>0</v>
      </c>
      <c r="K166">
        <v>3</v>
      </c>
      <c r="L166">
        <v>2048.52</v>
      </c>
      <c r="M166">
        <v>0</v>
      </c>
      <c r="N166">
        <v>2048.52</v>
      </c>
      <c r="O166">
        <v>1429.2</v>
      </c>
      <c r="P166">
        <v>619.32000000000005</v>
      </c>
      <c r="Q166">
        <v>0.30230000000000001</v>
      </c>
      <c r="R166">
        <v>1</v>
      </c>
      <c r="S166">
        <v>2048.52</v>
      </c>
      <c r="T166">
        <v>0</v>
      </c>
      <c r="U166">
        <v>2048.52</v>
      </c>
    </row>
    <row r="167" spans="1:21" x14ac:dyDescent="0.35">
      <c r="A167">
        <v>2024</v>
      </c>
      <c r="B167">
        <v>3</v>
      </c>
      <c r="C167">
        <v>1</v>
      </c>
      <c r="D167" s="1">
        <v>45352</v>
      </c>
      <c r="E167" s="4" t="s">
        <v>32</v>
      </c>
      <c r="F167" s="4" t="s">
        <v>26</v>
      </c>
      <c r="G167" s="4" t="s">
        <v>108</v>
      </c>
      <c r="H167">
        <v>1</v>
      </c>
      <c r="I167">
        <v>1</v>
      </c>
      <c r="J167">
        <v>0</v>
      </c>
      <c r="K167">
        <v>1</v>
      </c>
      <c r="L167">
        <v>315</v>
      </c>
      <c r="M167">
        <v>0</v>
      </c>
      <c r="N167">
        <v>315</v>
      </c>
      <c r="O167">
        <v>189</v>
      </c>
      <c r="P167">
        <v>126</v>
      </c>
      <c r="Q167">
        <v>0.4</v>
      </c>
      <c r="R167">
        <v>0</v>
      </c>
      <c r="S167">
        <v>0</v>
      </c>
      <c r="T167">
        <v>0</v>
      </c>
      <c r="U167">
        <v>315</v>
      </c>
    </row>
    <row r="168" spans="1:21" x14ac:dyDescent="0.35">
      <c r="A168">
        <v>2024</v>
      </c>
      <c r="B168">
        <v>3</v>
      </c>
      <c r="C168">
        <v>1</v>
      </c>
      <c r="D168" s="1">
        <v>45352</v>
      </c>
      <c r="E168" s="4" t="s">
        <v>32</v>
      </c>
      <c r="F168" s="4" t="s">
        <v>26</v>
      </c>
      <c r="G168" s="4" t="s">
        <v>109</v>
      </c>
      <c r="H168">
        <v>46</v>
      </c>
      <c r="I168">
        <v>74</v>
      </c>
      <c r="J168">
        <v>0</v>
      </c>
      <c r="K168">
        <v>74</v>
      </c>
      <c r="L168">
        <v>48693.82</v>
      </c>
      <c r="M168">
        <v>0</v>
      </c>
      <c r="N168">
        <v>48693.82</v>
      </c>
      <c r="O168">
        <v>29912.400000000001</v>
      </c>
      <c r="P168">
        <v>18781.419999999998</v>
      </c>
      <c r="Q168">
        <v>0.38569999999999999</v>
      </c>
      <c r="R168">
        <v>6</v>
      </c>
      <c r="S168">
        <v>7074.82</v>
      </c>
      <c r="T168">
        <v>0</v>
      </c>
      <c r="U168">
        <v>1058.56</v>
      </c>
    </row>
    <row r="169" spans="1:21" x14ac:dyDescent="0.35">
      <c r="A169">
        <v>2024</v>
      </c>
      <c r="B169">
        <v>3</v>
      </c>
      <c r="C169">
        <v>1</v>
      </c>
      <c r="D169" s="1">
        <v>45352</v>
      </c>
      <c r="E169" s="4" t="s">
        <v>27</v>
      </c>
      <c r="F169" s="4" t="s">
        <v>28</v>
      </c>
      <c r="G169" s="4" t="s">
        <v>107</v>
      </c>
      <c r="H169">
        <v>269</v>
      </c>
      <c r="I169">
        <v>417</v>
      </c>
      <c r="J169">
        <v>0</v>
      </c>
      <c r="K169">
        <v>417</v>
      </c>
      <c r="L169">
        <v>189006.35</v>
      </c>
      <c r="M169">
        <v>0</v>
      </c>
      <c r="N169">
        <v>189006.35</v>
      </c>
      <c r="O169">
        <v>68644.800000000003</v>
      </c>
      <c r="P169">
        <v>120361.55</v>
      </c>
      <c r="Q169">
        <v>0.63680000000000003</v>
      </c>
      <c r="R169">
        <v>37</v>
      </c>
      <c r="S169">
        <v>26910.35</v>
      </c>
      <c r="T169">
        <v>0</v>
      </c>
      <c r="U169">
        <v>702.63</v>
      </c>
    </row>
    <row r="170" spans="1:21" x14ac:dyDescent="0.35">
      <c r="A170">
        <v>2024</v>
      </c>
      <c r="B170">
        <v>3</v>
      </c>
      <c r="C170">
        <v>1</v>
      </c>
      <c r="D170" s="1">
        <v>45352</v>
      </c>
      <c r="E170" s="4" t="s">
        <v>27</v>
      </c>
      <c r="F170" s="4" t="s">
        <v>28</v>
      </c>
      <c r="G170" s="4" t="s">
        <v>109</v>
      </c>
      <c r="H170">
        <v>717</v>
      </c>
      <c r="I170">
        <v>1078</v>
      </c>
      <c r="J170">
        <v>0</v>
      </c>
      <c r="K170">
        <v>1078</v>
      </c>
      <c r="L170">
        <v>571308.49</v>
      </c>
      <c r="M170">
        <v>0</v>
      </c>
      <c r="N170">
        <v>571308.49</v>
      </c>
      <c r="O170">
        <v>208268.55</v>
      </c>
      <c r="P170">
        <v>363039.94</v>
      </c>
      <c r="Q170">
        <v>0.63549999999999995</v>
      </c>
      <c r="R170">
        <v>90</v>
      </c>
      <c r="S170">
        <v>87581.6</v>
      </c>
      <c r="T170">
        <v>0</v>
      </c>
      <c r="U170">
        <v>796.8</v>
      </c>
    </row>
    <row r="171" spans="1:21" x14ac:dyDescent="0.35">
      <c r="A171">
        <v>2024</v>
      </c>
      <c r="B171">
        <v>3</v>
      </c>
      <c r="C171">
        <v>1</v>
      </c>
      <c r="D171" s="1">
        <v>45352</v>
      </c>
      <c r="E171" s="4" t="s">
        <v>27</v>
      </c>
      <c r="F171" s="4" t="s">
        <v>24</v>
      </c>
      <c r="G171" s="4" t="s">
        <v>107</v>
      </c>
      <c r="H171">
        <v>54</v>
      </c>
      <c r="I171">
        <v>84</v>
      </c>
      <c r="J171">
        <v>3</v>
      </c>
      <c r="K171">
        <v>81</v>
      </c>
      <c r="L171">
        <v>158497.73000000001</v>
      </c>
      <c r="M171">
        <v>4842</v>
      </c>
      <c r="N171">
        <v>153655.73000000001</v>
      </c>
      <c r="O171">
        <v>86123.95</v>
      </c>
      <c r="P171">
        <v>67531.78</v>
      </c>
      <c r="Q171">
        <v>0.4395</v>
      </c>
      <c r="R171">
        <v>6</v>
      </c>
      <c r="S171">
        <v>19277.73</v>
      </c>
      <c r="T171">
        <v>0</v>
      </c>
      <c r="U171">
        <v>2845.48</v>
      </c>
    </row>
    <row r="172" spans="1:21" x14ac:dyDescent="0.35">
      <c r="A172">
        <v>2024</v>
      </c>
      <c r="B172">
        <v>3</v>
      </c>
      <c r="C172">
        <v>1</v>
      </c>
      <c r="D172" s="1">
        <v>45352</v>
      </c>
      <c r="E172" s="4" t="s">
        <v>27</v>
      </c>
      <c r="F172" s="4" t="s">
        <v>24</v>
      </c>
      <c r="G172" s="4" t="s">
        <v>109</v>
      </c>
      <c r="H172">
        <v>252</v>
      </c>
      <c r="I172">
        <v>381</v>
      </c>
      <c r="J172">
        <v>11</v>
      </c>
      <c r="K172">
        <v>370</v>
      </c>
      <c r="L172">
        <v>626921.29</v>
      </c>
      <c r="M172">
        <v>14184.75</v>
      </c>
      <c r="N172">
        <v>612736.54</v>
      </c>
      <c r="O172">
        <v>350375.3</v>
      </c>
      <c r="P172">
        <v>262361.24</v>
      </c>
      <c r="Q172">
        <v>0.42820000000000003</v>
      </c>
      <c r="R172">
        <v>36</v>
      </c>
      <c r="S172">
        <v>103212.54</v>
      </c>
      <c r="T172">
        <v>0</v>
      </c>
      <c r="U172">
        <v>2431.4899999999998</v>
      </c>
    </row>
    <row r="173" spans="1:21" x14ac:dyDescent="0.35">
      <c r="A173">
        <v>2024</v>
      </c>
      <c r="B173">
        <v>3</v>
      </c>
      <c r="C173">
        <v>1</v>
      </c>
      <c r="D173" s="1">
        <v>45352</v>
      </c>
      <c r="E173" s="4" t="s">
        <v>27</v>
      </c>
      <c r="F173" s="4" t="s">
        <v>26</v>
      </c>
      <c r="G173" s="4" t="s">
        <v>107</v>
      </c>
      <c r="H173">
        <v>8</v>
      </c>
      <c r="I173">
        <v>9</v>
      </c>
      <c r="J173">
        <v>0</v>
      </c>
      <c r="K173">
        <v>9</v>
      </c>
      <c r="L173">
        <v>7356.1</v>
      </c>
      <c r="M173">
        <v>0</v>
      </c>
      <c r="N173">
        <v>7356.1</v>
      </c>
      <c r="O173">
        <v>4797.6000000000004</v>
      </c>
      <c r="P173">
        <v>2558.5</v>
      </c>
      <c r="Q173">
        <v>0.3478</v>
      </c>
      <c r="R173">
        <v>1</v>
      </c>
      <c r="S173">
        <v>1730.1</v>
      </c>
      <c r="T173">
        <v>0</v>
      </c>
      <c r="U173">
        <v>919.51</v>
      </c>
    </row>
    <row r="174" spans="1:21" x14ac:dyDescent="0.35">
      <c r="A174">
        <v>2024</v>
      </c>
      <c r="B174">
        <v>3</v>
      </c>
      <c r="C174">
        <v>1</v>
      </c>
      <c r="D174" s="1">
        <v>45352</v>
      </c>
      <c r="E174" s="4" t="s">
        <v>27</v>
      </c>
      <c r="F174" s="4" t="s">
        <v>26</v>
      </c>
      <c r="G174" s="4" t="s">
        <v>109</v>
      </c>
      <c r="H174">
        <v>32</v>
      </c>
      <c r="I174">
        <v>54</v>
      </c>
      <c r="J174">
        <v>1</v>
      </c>
      <c r="K174">
        <v>53</v>
      </c>
      <c r="L174">
        <v>28484.76</v>
      </c>
      <c r="M174">
        <v>241.8</v>
      </c>
      <c r="N174">
        <v>28242.959999999999</v>
      </c>
      <c r="O174">
        <v>17581.8</v>
      </c>
      <c r="P174">
        <v>10661.16</v>
      </c>
      <c r="Q174">
        <v>0.3775</v>
      </c>
      <c r="R174">
        <v>5</v>
      </c>
      <c r="S174">
        <v>4283.96</v>
      </c>
      <c r="T174">
        <v>0</v>
      </c>
      <c r="U174">
        <v>882.59</v>
      </c>
    </row>
    <row r="175" spans="1:21" x14ac:dyDescent="0.35">
      <c r="A175">
        <v>2024</v>
      </c>
      <c r="B175">
        <v>3</v>
      </c>
      <c r="C175">
        <v>1</v>
      </c>
      <c r="D175" s="1">
        <v>45352</v>
      </c>
      <c r="E175" s="4" t="s">
        <v>34</v>
      </c>
      <c r="F175" s="4" t="s">
        <v>28</v>
      </c>
      <c r="G175" s="4" t="s">
        <v>107</v>
      </c>
      <c r="H175">
        <v>142</v>
      </c>
      <c r="I175">
        <v>205</v>
      </c>
      <c r="J175">
        <v>0</v>
      </c>
      <c r="K175">
        <v>205</v>
      </c>
      <c r="L175">
        <v>135963.76</v>
      </c>
      <c r="M175">
        <v>0</v>
      </c>
      <c r="N175">
        <v>135963.76</v>
      </c>
      <c r="O175">
        <v>49316.4</v>
      </c>
      <c r="P175">
        <v>86647.360000000001</v>
      </c>
      <c r="Q175">
        <v>0.63729999999999998</v>
      </c>
      <c r="R175">
        <v>18</v>
      </c>
      <c r="S175">
        <v>17905.759999999998</v>
      </c>
      <c r="T175">
        <v>0</v>
      </c>
      <c r="U175">
        <v>957.49</v>
      </c>
    </row>
    <row r="176" spans="1:21" x14ac:dyDescent="0.35">
      <c r="A176">
        <v>2024</v>
      </c>
      <c r="B176">
        <v>3</v>
      </c>
      <c r="C176">
        <v>1</v>
      </c>
      <c r="D176" s="1">
        <v>45352</v>
      </c>
      <c r="E176" s="4" t="s">
        <v>34</v>
      </c>
      <c r="F176" s="4" t="s">
        <v>28</v>
      </c>
      <c r="G176" s="4" t="s">
        <v>108</v>
      </c>
      <c r="H176">
        <v>47</v>
      </c>
      <c r="I176">
        <v>72</v>
      </c>
      <c r="J176">
        <v>0</v>
      </c>
      <c r="K176">
        <v>72</v>
      </c>
      <c r="L176">
        <v>30003.18</v>
      </c>
      <c r="M176">
        <v>0</v>
      </c>
      <c r="N176">
        <v>30003.18</v>
      </c>
      <c r="O176">
        <v>10735.2</v>
      </c>
      <c r="P176">
        <v>19267.98</v>
      </c>
      <c r="Q176">
        <v>0.64219999999999999</v>
      </c>
      <c r="R176">
        <v>5</v>
      </c>
      <c r="S176">
        <v>3165.18</v>
      </c>
      <c r="T176">
        <v>0</v>
      </c>
      <c r="U176">
        <v>638.37</v>
      </c>
    </row>
    <row r="177" spans="1:21" x14ac:dyDescent="0.35">
      <c r="A177">
        <v>2024</v>
      </c>
      <c r="B177">
        <v>3</v>
      </c>
      <c r="C177">
        <v>1</v>
      </c>
      <c r="D177" s="1">
        <v>45352</v>
      </c>
      <c r="E177" s="4" t="s">
        <v>34</v>
      </c>
      <c r="F177" s="4" t="s">
        <v>28</v>
      </c>
      <c r="G177" s="4" t="s">
        <v>109</v>
      </c>
      <c r="H177">
        <v>624</v>
      </c>
      <c r="I177">
        <v>913</v>
      </c>
      <c r="J177">
        <v>0</v>
      </c>
      <c r="K177">
        <v>913</v>
      </c>
      <c r="L177">
        <v>459752.65</v>
      </c>
      <c r="M177">
        <v>0</v>
      </c>
      <c r="N177">
        <v>459752.65</v>
      </c>
      <c r="O177">
        <v>167046.95000000001</v>
      </c>
      <c r="P177">
        <v>292705.7</v>
      </c>
      <c r="Q177">
        <v>0.63670000000000004</v>
      </c>
      <c r="R177">
        <v>83</v>
      </c>
      <c r="S177">
        <v>65237.34</v>
      </c>
      <c r="T177">
        <v>0</v>
      </c>
      <c r="U177">
        <v>736.78</v>
      </c>
    </row>
    <row r="178" spans="1:21" x14ac:dyDescent="0.35">
      <c r="A178">
        <v>2024</v>
      </c>
      <c r="B178">
        <v>3</v>
      </c>
      <c r="C178">
        <v>1</v>
      </c>
      <c r="D178" s="1">
        <v>45352</v>
      </c>
      <c r="E178" s="4" t="s">
        <v>34</v>
      </c>
      <c r="F178" s="4" t="s">
        <v>35</v>
      </c>
      <c r="G178" s="4" t="s">
        <v>109</v>
      </c>
      <c r="H178">
        <v>1</v>
      </c>
      <c r="I178">
        <v>2</v>
      </c>
      <c r="J178">
        <v>0</v>
      </c>
      <c r="K178">
        <v>2</v>
      </c>
      <c r="L178">
        <v>654</v>
      </c>
      <c r="M178">
        <v>0</v>
      </c>
      <c r="N178">
        <v>654</v>
      </c>
      <c r="O178">
        <v>130.80000000000001</v>
      </c>
      <c r="P178">
        <v>523.20000000000005</v>
      </c>
      <c r="Q178">
        <v>0.8</v>
      </c>
      <c r="R178">
        <v>0</v>
      </c>
      <c r="S178">
        <v>0</v>
      </c>
      <c r="T178">
        <v>0</v>
      </c>
      <c r="U178">
        <v>654</v>
      </c>
    </row>
    <row r="179" spans="1:21" x14ac:dyDescent="0.35">
      <c r="A179">
        <v>2024</v>
      </c>
      <c r="B179">
        <v>3</v>
      </c>
      <c r="C179">
        <v>1</v>
      </c>
      <c r="D179" s="1">
        <v>45352</v>
      </c>
      <c r="E179" s="4" t="s">
        <v>34</v>
      </c>
      <c r="F179" s="4" t="s">
        <v>24</v>
      </c>
      <c r="G179" s="4" t="s">
        <v>107</v>
      </c>
      <c r="H179">
        <v>62</v>
      </c>
      <c r="I179">
        <v>99</v>
      </c>
      <c r="J179">
        <v>4</v>
      </c>
      <c r="K179">
        <v>95</v>
      </c>
      <c r="L179">
        <v>156761.1</v>
      </c>
      <c r="M179">
        <v>7308</v>
      </c>
      <c r="N179">
        <v>149453.1</v>
      </c>
      <c r="O179">
        <v>86134.95</v>
      </c>
      <c r="P179">
        <v>63318.15</v>
      </c>
      <c r="Q179">
        <v>0.42370000000000002</v>
      </c>
      <c r="R179">
        <v>8</v>
      </c>
      <c r="S179">
        <v>25010.1</v>
      </c>
      <c r="T179">
        <v>0</v>
      </c>
      <c r="U179">
        <v>2410.5300000000002</v>
      </c>
    </row>
    <row r="180" spans="1:21" x14ac:dyDescent="0.35">
      <c r="A180">
        <v>2024</v>
      </c>
      <c r="B180">
        <v>3</v>
      </c>
      <c r="C180">
        <v>1</v>
      </c>
      <c r="D180" s="1">
        <v>45352</v>
      </c>
      <c r="E180" s="4" t="s">
        <v>34</v>
      </c>
      <c r="F180" s="4" t="s">
        <v>24</v>
      </c>
      <c r="G180" s="4" t="s">
        <v>108</v>
      </c>
      <c r="H180">
        <v>14</v>
      </c>
      <c r="I180">
        <v>19</v>
      </c>
      <c r="J180">
        <v>0</v>
      </c>
      <c r="K180">
        <v>19</v>
      </c>
      <c r="L180">
        <v>25304.65</v>
      </c>
      <c r="M180">
        <v>0</v>
      </c>
      <c r="N180">
        <v>25304.65</v>
      </c>
      <c r="O180">
        <v>14410.55</v>
      </c>
      <c r="P180">
        <v>10894.1</v>
      </c>
      <c r="Q180">
        <v>0.43049999999999999</v>
      </c>
      <c r="R180">
        <v>4</v>
      </c>
      <c r="S180">
        <v>5998.65</v>
      </c>
      <c r="T180">
        <v>0</v>
      </c>
      <c r="U180">
        <v>1807.48</v>
      </c>
    </row>
    <row r="181" spans="1:21" x14ac:dyDescent="0.35">
      <c r="A181">
        <v>2024</v>
      </c>
      <c r="B181">
        <v>3</v>
      </c>
      <c r="C181">
        <v>1</v>
      </c>
      <c r="D181" s="1">
        <v>45352</v>
      </c>
      <c r="E181" s="4" t="s">
        <v>34</v>
      </c>
      <c r="F181" s="4" t="s">
        <v>24</v>
      </c>
      <c r="G181" s="4" t="s">
        <v>109</v>
      </c>
      <c r="H181">
        <v>158</v>
      </c>
      <c r="I181">
        <v>239</v>
      </c>
      <c r="J181">
        <v>3</v>
      </c>
      <c r="K181">
        <v>236</v>
      </c>
      <c r="L181">
        <v>421862.21</v>
      </c>
      <c r="M181">
        <v>6584</v>
      </c>
      <c r="N181">
        <v>415278.21</v>
      </c>
      <c r="O181">
        <v>236706.8</v>
      </c>
      <c r="P181">
        <v>178571.41</v>
      </c>
      <c r="Q181">
        <v>0.43</v>
      </c>
      <c r="R181">
        <v>17</v>
      </c>
      <c r="S181">
        <v>51532.21</v>
      </c>
      <c r="T181">
        <v>0</v>
      </c>
      <c r="U181">
        <v>2628.34</v>
      </c>
    </row>
    <row r="182" spans="1:21" x14ac:dyDescent="0.35">
      <c r="A182">
        <v>2024</v>
      </c>
      <c r="B182">
        <v>3</v>
      </c>
      <c r="C182">
        <v>1</v>
      </c>
      <c r="D182" s="1">
        <v>45352</v>
      </c>
      <c r="E182" s="4" t="s">
        <v>34</v>
      </c>
      <c r="F182" s="4" t="s">
        <v>26</v>
      </c>
      <c r="G182" s="4" t="s">
        <v>107</v>
      </c>
      <c r="H182">
        <v>7</v>
      </c>
      <c r="I182">
        <v>8</v>
      </c>
      <c r="J182">
        <v>0</v>
      </c>
      <c r="K182">
        <v>8</v>
      </c>
      <c r="L182">
        <v>4592</v>
      </c>
      <c r="M182">
        <v>0</v>
      </c>
      <c r="N182">
        <v>4592</v>
      </c>
      <c r="O182">
        <v>2755.2</v>
      </c>
      <c r="P182">
        <v>1836.8</v>
      </c>
      <c r="Q182">
        <v>0.4</v>
      </c>
      <c r="R182">
        <v>0</v>
      </c>
      <c r="S182">
        <v>0</v>
      </c>
      <c r="T182">
        <v>0</v>
      </c>
      <c r="U182">
        <v>656</v>
      </c>
    </row>
    <row r="183" spans="1:21" x14ac:dyDescent="0.35">
      <c r="A183">
        <v>2024</v>
      </c>
      <c r="B183">
        <v>3</v>
      </c>
      <c r="C183">
        <v>1</v>
      </c>
      <c r="D183" s="1">
        <v>45352</v>
      </c>
      <c r="E183" s="4" t="s">
        <v>34</v>
      </c>
      <c r="F183" s="4" t="s">
        <v>26</v>
      </c>
      <c r="G183" s="4" t="s">
        <v>108</v>
      </c>
      <c r="H183">
        <v>2</v>
      </c>
      <c r="I183">
        <v>4</v>
      </c>
      <c r="J183">
        <v>1</v>
      </c>
      <c r="K183">
        <v>3</v>
      </c>
      <c r="L183">
        <v>1299.3</v>
      </c>
      <c r="M183">
        <v>366</v>
      </c>
      <c r="N183">
        <v>933.3</v>
      </c>
      <c r="O183">
        <v>658.8</v>
      </c>
      <c r="P183">
        <v>274.5</v>
      </c>
      <c r="Q183">
        <v>0.29409999999999997</v>
      </c>
      <c r="R183">
        <v>1</v>
      </c>
      <c r="S183">
        <v>933.3</v>
      </c>
      <c r="T183">
        <v>0</v>
      </c>
      <c r="U183">
        <v>466.65</v>
      </c>
    </row>
    <row r="184" spans="1:21" x14ac:dyDescent="0.35">
      <c r="A184">
        <v>2024</v>
      </c>
      <c r="B184">
        <v>3</v>
      </c>
      <c r="C184">
        <v>1</v>
      </c>
      <c r="D184" s="1">
        <v>45352</v>
      </c>
      <c r="E184" s="4" t="s">
        <v>34</v>
      </c>
      <c r="F184" s="4" t="s">
        <v>26</v>
      </c>
      <c r="G184" s="4" t="s">
        <v>109</v>
      </c>
      <c r="H184">
        <v>28</v>
      </c>
      <c r="I184">
        <v>48</v>
      </c>
      <c r="J184">
        <v>0</v>
      </c>
      <c r="K184">
        <v>48</v>
      </c>
      <c r="L184">
        <v>30055.37</v>
      </c>
      <c r="M184">
        <v>0</v>
      </c>
      <c r="N184">
        <v>30055.37</v>
      </c>
      <c r="O184">
        <v>18954</v>
      </c>
      <c r="P184">
        <v>11101.37</v>
      </c>
      <c r="Q184">
        <v>0.36940000000000001</v>
      </c>
      <c r="R184">
        <v>5</v>
      </c>
      <c r="S184">
        <v>7345.37</v>
      </c>
      <c r="T184">
        <v>0</v>
      </c>
      <c r="U184">
        <v>1073.4100000000001</v>
      </c>
    </row>
    <row r="185" spans="1:21" x14ac:dyDescent="0.35">
      <c r="A185">
        <v>2024</v>
      </c>
      <c r="B185">
        <v>3</v>
      </c>
      <c r="C185">
        <v>1</v>
      </c>
      <c r="D185" s="1">
        <v>45352</v>
      </c>
      <c r="E185" s="4" t="s">
        <v>36</v>
      </c>
      <c r="F185" s="4" t="s">
        <v>28</v>
      </c>
      <c r="G185" s="4" t="s">
        <v>107</v>
      </c>
      <c r="H185">
        <v>67</v>
      </c>
      <c r="I185">
        <v>106</v>
      </c>
      <c r="J185">
        <v>0</v>
      </c>
      <c r="K185">
        <v>106</v>
      </c>
      <c r="L185">
        <v>67886.94</v>
      </c>
      <c r="M185">
        <v>0</v>
      </c>
      <c r="N185">
        <v>67886.94</v>
      </c>
      <c r="O185">
        <v>24634.400000000001</v>
      </c>
      <c r="P185">
        <v>43252.54</v>
      </c>
      <c r="Q185">
        <v>0.6371</v>
      </c>
      <c r="R185">
        <v>10</v>
      </c>
      <c r="S185">
        <v>11368.94</v>
      </c>
      <c r="T185">
        <v>0</v>
      </c>
      <c r="U185">
        <v>1013.24</v>
      </c>
    </row>
    <row r="186" spans="1:21" x14ac:dyDescent="0.35">
      <c r="A186">
        <v>2024</v>
      </c>
      <c r="B186">
        <v>3</v>
      </c>
      <c r="C186">
        <v>1</v>
      </c>
      <c r="D186" s="1">
        <v>45352</v>
      </c>
      <c r="E186" s="4" t="s">
        <v>36</v>
      </c>
      <c r="F186" s="4" t="s">
        <v>28</v>
      </c>
      <c r="G186" s="4" t="s">
        <v>108</v>
      </c>
      <c r="H186">
        <v>128</v>
      </c>
      <c r="I186">
        <v>197</v>
      </c>
      <c r="J186">
        <v>0</v>
      </c>
      <c r="K186">
        <v>197</v>
      </c>
      <c r="L186">
        <v>63656.87</v>
      </c>
      <c r="M186">
        <v>0</v>
      </c>
      <c r="N186">
        <v>63656.87</v>
      </c>
      <c r="O186">
        <v>23087.4</v>
      </c>
      <c r="P186">
        <v>40569.47</v>
      </c>
      <c r="Q186">
        <v>0.63729999999999998</v>
      </c>
      <c r="R186">
        <v>14</v>
      </c>
      <c r="S186">
        <v>9527.8700000000008</v>
      </c>
      <c r="T186">
        <v>0</v>
      </c>
      <c r="U186">
        <v>497.32</v>
      </c>
    </row>
    <row r="187" spans="1:21" x14ac:dyDescent="0.35">
      <c r="A187">
        <v>2024</v>
      </c>
      <c r="B187">
        <v>3</v>
      </c>
      <c r="C187">
        <v>1</v>
      </c>
      <c r="D187" s="1">
        <v>45352</v>
      </c>
      <c r="E187" s="4" t="s">
        <v>36</v>
      </c>
      <c r="F187" s="4" t="s">
        <v>28</v>
      </c>
      <c r="G187" s="4" t="s">
        <v>109</v>
      </c>
      <c r="H187">
        <v>641</v>
      </c>
      <c r="I187">
        <v>973</v>
      </c>
      <c r="J187">
        <v>0</v>
      </c>
      <c r="K187">
        <v>973</v>
      </c>
      <c r="L187">
        <v>460585.64</v>
      </c>
      <c r="M187">
        <v>0</v>
      </c>
      <c r="N187">
        <v>460585.64</v>
      </c>
      <c r="O187">
        <v>166659.5</v>
      </c>
      <c r="P187">
        <v>293926.14</v>
      </c>
      <c r="Q187">
        <v>0.63819999999999999</v>
      </c>
      <c r="R187">
        <v>79</v>
      </c>
      <c r="S187">
        <v>62429.69</v>
      </c>
      <c r="T187">
        <v>0</v>
      </c>
      <c r="U187">
        <v>718.54</v>
      </c>
    </row>
    <row r="188" spans="1:21" x14ac:dyDescent="0.35">
      <c r="A188">
        <v>2024</v>
      </c>
      <c r="B188">
        <v>3</v>
      </c>
      <c r="C188">
        <v>1</v>
      </c>
      <c r="D188" s="1">
        <v>45352</v>
      </c>
      <c r="E188" s="4" t="s">
        <v>36</v>
      </c>
      <c r="F188" s="4" t="s">
        <v>35</v>
      </c>
      <c r="G188" s="4" t="s">
        <v>109</v>
      </c>
      <c r="H188">
        <v>1</v>
      </c>
      <c r="I188">
        <v>2</v>
      </c>
      <c r="J188">
        <v>0</v>
      </c>
      <c r="K188">
        <v>2</v>
      </c>
      <c r="L188">
        <v>444</v>
      </c>
      <c r="M188">
        <v>0</v>
      </c>
      <c r="N188">
        <v>444</v>
      </c>
      <c r="O188">
        <v>88.8</v>
      </c>
      <c r="P188">
        <v>355.2</v>
      </c>
      <c r="Q188">
        <v>0.8</v>
      </c>
      <c r="R188">
        <v>0</v>
      </c>
      <c r="S188">
        <v>0</v>
      </c>
      <c r="T188">
        <v>0</v>
      </c>
      <c r="U188">
        <v>444</v>
      </c>
    </row>
    <row r="189" spans="1:21" x14ac:dyDescent="0.35">
      <c r="A189">
        <v>2024</v>
      </c>
      <c r="B189">
        <v>3</v>
      </c>
      <c r="C189">
        <v>1</v>
      </c>
      <c r="D189" s="1">
        <v>45352</v>
      </c>
      <c r="E189" s="4" t="s">
        <v>36</v>
      </c>
      <c r="F189" s="4" t="s">
        <v>24</v>
      </c>
      <c r="G189" s="4" t="s">
        <v>107</v>
      </c>
      <c r="H189">
        <v>53</v>
      </c>
      <c r="I189">
        <v>89</v>
      </c>
      <c r="J189">
        <v>0</v>
      </c>
      <c r="K189">
        <v>89</v>
      </c>
      <c r="L189">
        <v>107163.59</v>
      </c>
      <c r="M189">
        <v>0</v>
      </c>
      <c r="N189">
        <v>107163.59</v>
      </c>
      <c r="O189">
        <v>61481.2</v>
      </c>
      <c r="P189">
        <v>45682.39</v>
      </c>
      <c r="Q189">
        <v>0.42630000000000001</v>
      </c>
      <c r="R189">
        <v>8</v>
      </c>
      <c r="S189">
        <v>13460.59</v>
      </c>
      <c r="T189">
        <v>0</v>
      </c>
      <c r="U189">
        <v>2021.95</v>
      </c>
    </row>
    <row r="190" spans="1:21" x14ac:dyDescent="0.35">
      <c r="A190">
        <v>2024</v>
      </c>
      <c r="B190">
        <v>3</v>
      </c>
      <c r="C190">
        <v>1</v>
      </c>
      <c r="D190" s="1">
        <v>45352</v>
      </c>
      <c r="E190" s="4" t="s">
        <v>36</v>
      </c>
      <c r="F190" s="4" t="s">
        <v>24</v>
      </c>
      <c r="G190" s="4" t="s">
        <v>108</v>
      </c>
      <c r="H190">
        <v>25</v>
      </c>
      <c r="I190">
        <v>42</v>
      </c>
      <c r="J190">
        <v>0</v>
      </c>
      <c r="K190">
        <v>42</v>
      </c>
      <c r="L190">
        <v>68305.119999999995</v>
      </c>
      <c r="M190">
        <v>0</v>
      </c>
      <c r="N190">
        <v>68305.119999999995</v>
      </c>
      <c r="O190">
        <v>39897</v>
      </c>
      <c r="P190">
        <v>28408.12</v>
      </c>
      <c r="Q190">
        <v>0.41589999999999999</v>
      </c>
      <c r="R190">
        <v>6</v>
      </c>
      <c r="S190">
        <v>17633.12</v>
      </c>
      <c r="T190">
        <v>0</v>
      </c>
      <c r="U190">
        <v>2732.2</v>
      </c>
    </row>
    <row r="191" spans="1:21" x14ac:dyDescent="0.35">
      <c r="A191">
        <v>2024</v>
      </c>
      <c r="B191">
        <v>3</v>
      </c>
      <c r="C191">
        <v>1</v>
      </c>
      <c r="D191" s="1">
        <v>45352</v>
      </c>
      <c r="E191" s="4" t="s">
        <v>36</v>
      </c>
      <c r="F191" s="4" t="s">
        <v>24</v>
      </c>
      <c r="G191" s="4" t="s">
        <v>109</v>
      </c>
      <c r="H191">
        <v>107</v>
      </c>
      <c r="I191">
        <v>165</v>
      </c>
      <c r="J191">
        <v>4</v>
      </c>
      <c r="K191">
        <v>161</v>
      </c>
      <c r="L191">
        <v>263542.56</v>
      </c>
      <c r="M191">
        <v>6208.4</v>
      </c>
      <c r="N191">
        <v>257334.16</v>
      </c>
      <c r="O191">
        <v>146358.29999999999</v>
      </c>
      <c r="P191">
        <v>110975.86</v>
      </c>
      <c r="Q191">
        <v>0.43130000000000002</v>
      </c>
      <c r="R191">
        <v>14</v>
      </c>
      <c r="S191">
        <v>31859.16</v>
      </c>
      <c r="T191">
        <v>0</v>
      </c>
      <c r="U191">
        <v>2404.9899999999998</v>
      </c>
    </row>
    <row r="192" spans="1:21" x14ac:dyDescent="0.35">
      <c r="A192">
        <v>2024</v>
      </c>
      <c r="B192">
        <v>3</v>
      </c>
      <c r="C192">
        <v>1</v>
      </c>
      <c r="D192" s="1">
        <v>45352</v>
      </c>
      <c r="E192" s="4" t="s">
        <v>36</v>
      </c>
      <c r="F192" s="4" t="s">
        <v>26</v>
      </c>
      <c r="G192" s="4" t="s">
        <v>107</v>
      </c>
      <c r="H192">
        <v>1</v>
      </c>
      <c r="I192">
        <v>1</v>
      </c>
      <c r="J192">
        <v>0</v>
      </c>
      <c r="K192">
        <v>1</v>
      </c>
      <c r="L192">
        <v>935</v>
      </c>
      <c r="M192">
        <v>0</v>
      </c>
      <c r="N192">
        <v>935</v>
      </c>
      <c r="O192">
        <v>561</v>
      </c>
      <c r="P192">
        <v>374</v>
      </c>
      <c r="Q192">
        <v>0.4</v>
      </c>
      <c r="R192">
        <v>0</v>
      </c>
      <c r="S192">
        <v>0</v>
      </c>
      <c r="T192">
        <v>0</v>
      </c>
      <c r="U192">
        <v>935</v>
      </c>
    </row>
    <row r="193" spans="1:21" x14ac:dyDescent="0.35">
      <c r="A193">
        <v>2024</v>
      </c>
      <c r="B193">
        <v>3</v>
      </c>
      <c r="C193">
        <v>1</v>
      </c>
      <c r="D193" s="1">
        <v>45352</v>
      </c>
      <c r="E193" s="4" t="s">
        <v>36</v>
      </c>
      <c r="F193" s="4" t="s">
        <v>26</v>
      </c>
      <c r="G193" s="4" t="s">
        <v>109</v>
      </c>
      <c r="H193">
        <v>47</v>
      </c>
      <c r="I193">
        <v>68</v>
      </c>
      <c r="J193">
        <v>2</v>
      </c>
      <c r="K193">
        <v>66</v>
      </c>
      <c r="L193">
        <v>54862.66</v>
      </c>
      <c r="M193">
        <v>1282.25</v>
      </c>
      <c r="N193">
        <v>53580.41</v>
      </c>
      <c r="O193">
        <v>34027.199999999997</v>
      </c>
      <c r="P193">
        <v>19553.21</v>
      </c>
      <c r="Q193">
        <v>0.3649</v>
      </c>
      <c r="R193">
        <v>9</v>
      </c>
      <c r="S193">
        <v>12760.41</v>
      </c>
      <c r="T193">
        <v>0</v>
      </c>
      <c r="U193">
        <v>1140.01</v>
      </c>
    </row>
    <row r="194" spans="1:21" x14ac:dyDescent="0.35">
      <c r="A194">
        <v>2024</v>
      </c>
      <c r="B194">
        <v>3</v>
      </c>
      <c r="C194">
        <v>1</v>
      </c>
      <c r="D194" s="1">
        <v>45352</v>
      </c>
      <c r="E194" s="4" t="s">
        <v>23</v>
      </c>
      <c r="F194" s="4" t="s">
        <v>28</v>
      </c>
      <c r="G194" s="4" t="s">
        <v>107</v>
      </c>
      <c r="H194">
        <v>97</v>
      </c>
      <c r="I194">
        <v>141</v>
      </c>
      <c r="J194">
        <v>0</v>
      </c>
      <c r="K194">
        <v>141</v>
      </c>
      <c r="L194">
        <v>45986.12</v>
      </c>
      <c r="M194">
        <v>0</v>
      </c>
      <c r="N194">
        <v>45986.12</v>
      </c>
      <c r="O194">
        <v>16680.3</v>
      </c>
      <c r="P194">
        <v>29305.82</v>
      </c>
      <c r="Q194">
        <v>0.63729999999999998</v>
      </c>
      <c r="R194">
        <v>9</v>
      </c>
      <c r="S194">
        <v>6188.78</v>
      </c>
      <c r="T194">
        <v>0</v>
      </c>
      <c r="U194">
        <v>474.08</v>
      </c>
    </row>
    <row r="195" spans="1:21" x14ac:dyDescent="0.35">
      <c r="A195">
        <v>2024</v>
      </c>
      <c r="B195">
        <v>3</v>
      </c>
      <c r="C195">
        <v>1</v>
      </c>
      <c r="D195" s="1">
        <v>45352</v>
      </c>
      <c r="E195" s="4" t="s">
        <v>23</v>
      </c>
      <c r="F195" s="4" t="s">
        <v>28</v>
      </c>
      <c r="G195" s="4" t="s">
        <v>108</v>
      </c>
      <c r="H195">
        <v>29</v>
      </c>
      <c r="I195">
        <v>39</v>
      </c>
      <c r="J195">
        <v>0</v>
      </c>
      <c r="K195">
        <v>39</v>
      </c>
      <c r="L195">
        <v>26756.18</v>
      </c>
      <c r="M195">
        <v>0</v>
      </c>
      <c r="N195">
        <v>26756.18</v>
      </c>
      <c r="O195">
        <v>9595.9500000000007</v>
      </c>
      <c r="P195">
        <v>17160.23</v>
      </c>
      <c r="Q195">
        <v>0.64139999999999997</v>
      </c>
      <c r="R195">
        <v>2</v>
      </c>
      <c r="S195">
        <v>2854.18</v>
      </c>
      <c r="T195">
        <v>0</v>
      </c>
      <c r="U195">
        <v>922.63</v>
      </c>
    </row>
    <row r="196" spans="1:21" x14ac:dyDescent="0.35">
      <c r="A196">
        <v>2024</v>
      </c>
      <c r="B196">
        <v>3</v>
      </c>
      <c r="C196">
        <v>1</v>
      </c>
      <c r="D196" s="1">
        <v>45352</v>
      </c>
      <c r="E196" s="4" t="s">
        <v>23</v>
      </c>
      <c r="F196" s="4" t="s">
        <v>28</v>
      </c>
      <c r="G196" s="4" t="s">
        <v>109</v>
      </c>
      <c r="H196">
        <v>588</v>
      </c>
      <c r="I196">
        <v>913</v>
      </c>
      <c r="J196">
        <v>0</v>
      </c>
      <c r="K196">
        <v>913</v>
      </c>
      <c r="L196">
        <v>417667.98</v>
      </c>
      <c r="M196">
        <v>0</v>
      </c>
      <c r="N196">
        <v>417667.98</v>
      </c>
      <c r="O196">
        <v>153471.15</v>
      </c>
      <c r="P196">
        <v>264196.83</v>
      </c>
      <c r="Q196">
        <v>0.63260000000000005</v>
      </c>
      <c r="R196">
        <v>84</v>
      </c>
      <c r="S196">
        <v>73895.98</v>
      </c>
      <c r="T196">
        <v>0</v>
      </c>
      <c r="U196">
        <v>710.32</v>
      </c>
    </row>
    <row r="197" spans="1:21" x14ac:dyDescent="0.35">
      <c r="A197">
        <v>2024</v>
      </c>
      <c r="B197">
        <v>3</v>
      </c>
      <c r="C197">
        <v>1</v>
      </c>
      <c r="D197" s="1">
        <v>45352</v>
      </c>
      <c r="E197" s="4" t="s">
        <v>23</v>
      </c>
      <c r="F197" s="4" t="s">
        <v>24</v>
      </c>
      <c r="G197" s="4" t="s">
        <v>107</v>
      </c>
      <c r="H197">
        <v>53</v>
      </c>
      <c r="I197">
        <v>83</v>
      </c>
      <c r="J197">
        <v>1</v>
      </c>
      <c r="K197">
        <v>82</v>
      </c>
      <c r="L197">
        <v>125885.93</v>
      </c>
      <c r="M197">
        <v>1271</v>
      </c>
      <c r="N197">
        <v>124614.93</v>
      </c>
      <c r="O197">
        <v>70384.600000000006</v>
      </c>
      <c r="P197">
        <v>54230.33</v>
      </c>
      <c r="Q197">
        <v>0.43519999999999998</v>
      </c>
      <c r="R197">
        <v>9</v>
      </c>
      <c r="S197">
        <v>16081.93</v>
      </c>
      <c r="T197">
        <v>0</v>
      </c>
      <c r="U197">
        <v>2351.23</v>
      </c>
    </row>
    <row r="198" spans="1:21" x14ac:dyDescent="0.35">
      <c r="A198">
        <v>2024</v>
      </c>
      <c r="B198">
        <v>3</v>
      </c>
      <c r="C198">
        <v>1</v>
      </c>
      <c r="D198" s="1">
        <v>45352</v>
      </c>
      <c r="E198" s="4" t="s">
        <v>23</v>
      </c>
      <c r="F198" s="4" t="s">
        <v>24</v>
      </c>
      <c r="G198" s="4" t="s">
        <v>109</v>
      </c>
      <c r="H198">
        <v>121</v>
      </c>
      <c r="I198">
        <v>180</v>
      </c>
      <c r="J198">
        <v>6</v>
      </c>
      <c r="K198">
        <v>174</v>
      </c>
      <c r="L198">
        <v>198522.48</v>
      </c>
      <c r="M198">
        <v>8045</v>
      </c>
      <c r="N198">
        <v>190477.48</v>
      </c>
      <c r="O198">
        <v>107719.7</v>
      </c>
      <c r="P198">
        <v>82757.78</v>
      </c>
      <c r="Q198">
        <v>0.4345</v>
      </c>
      <c r="R198">
        <v>10</v>
      </c>
      <c r="S198">
        <v>16818.79</v>
      </c>
      <c r="T198">
        <v>0</v>
      </c>
      <c r="U198">
        <v>1574.19</v>
      </c>
    </row>
    <row r="199" spans="1:21" x14ac:dyDescent="0.35">
      <c r="A199">
        <v>2024</v>
      </c>
      <c r="B199">
        <v>3</v>
      </c>
      <c r="C199">
        <v>1</v>
      </c>
      <c r="D199" s="1">
        <v>45352</v>
      </c>
      <c r="E199" s="4" t="s">
        <v>23</v>
      </c>
      <c r="F199" s="4" t="s">
        <v>26</v>
      </c>
      <c r="G199" s="4" t="s">
        <v>107</v>
      </c>
      <c r="H199">
        <v>12</v>
      </c>
      <c r="I199">
        <v>19</v>
      </c>
      <c r="J199">
        <v>0</v>
      </c>
      <c r="K199">
        <v>19</v>
      </c>
      <c r="L199">
        <v>10702.47</v>
      </c>
      <c r="M199">
        <v>0</v>
      </c>
      <c r="N199">
        <v>10702.47</v>
      </c>
      <c r="O199">
        <v>6562.2</v>
      </c>
      <c r="P199">
        <v>4140.2700000000004</v>
      </c>
      <c r="Q199">
        <v>0.38690000000000002</v>
      </c>
      <c r="R199">
        <v>2</v>
      </c>
      <c r="S199">
        <v>2544.4699999999998</v>
      </c>
      <c r="T199">
        <v>0</v>
      </c>
      <c r="U199">
        <v>891.87</v>
      </c>
    </row>
    <row r="200" spans="1:21" x14ac:dyDescent="0.35">
      <c r="A200">
        <v>2024</v>
      </c>
      <c r="B200">
        <v>3</v>
      </c>
      <c r="C200">
        <v>1</v>
      </c>
      <c r="D200" s="1">
        <v>45352</v>
      </c>
      <c r="E200" s="4" t="s">
        <v>23</v>
      </c>
      <c r="F200" s="4" t="s">
        <v>26</v>
      </c>
      <c r="G200" s="4" t="s">
        <v>109</v>
      </c>
      <c r="H200">
        <v>25</v>
      </c>
      <c r="I200">
        <v>38</v>
      </c>
      <c r="J200">
        <v>0</v>
      </c>
      <c r="K200">
        <v>38</v>
      </c>
      <c r="L200">
        <v>24809.59</v>
      </c>
      <c r="M200">
        <v>0</v>
      </c>
      <c r="N200">
        <v>24809.59</v>
      </c>
      <c r="O200">
        <v>15997.2</v>
      </c>
      <c r="P200">
        <v>8812.39</v>
      </c>
      <c r="Q200">
        <v>0.35520000000000002</v>
      </c>
      <c r="R200">
        <v>5</v>
      </c>
      <c r="S200">
        <v>5316.59</v>
      </c>
      <c r="T200">
        <v>0</v>
      </c>
      <c r="U200">
        <v>992.38</v>
      </c>
    </row>
    <row r="201" spans="1:21" x14ac:dyDescent="0.35">
      <c r="A201">
        <v>2024</v>
      </c>
      <c r="B201">
        <v>3</v>
      </c>
      <c r="C201">
        <v>1</v>
      </c>
      <c r="D201" s="1">
        <v>45352</v>
      </c>
      <c r="E201" s="4" t="s">
        <v>25</v>
      </c>
      <c r="F201" s="4" t="s">
        <v>28</v>
      </c>
      <c r="G201" s="4" t="s">
        <v>107</v>
      </c>
      <c r="H201">
        <v>23</v>
      </c>
      <c r="I201">
        <v>45</v>
      </c>
      <c r="J201">
        <v>0</v>
      </c>
      <c r="K201">
        <v>45</v>
      </c>
      <c r="L201">
        <v>19681.2</v>
      </c>
      <c r="M201">
        <v>0</v>
      </c>
      <c r="N201">
        <v>19681.2</v>
      </c>
      <c r="O201">
        <v>7827.75</v>
      </c>
      <c r="P201">
        <v>11853.45</v>
      </c>
      <c r="Q201">
        <v>0.60229999999999995</v>
      </c>
      <c r="R201">
        <v>5</v>
      </c>
      <c r="S201">
        <v>7256.2</v>
      </c>
      <c r="T201">
        <v>0</v>
      </c>
      <c r="U201">
        <v>855.7</v>
      </c>
    </row>
    <row r="202" spans="1:21" x14ac:dyDescent="0.35">
      <c r="A202">
        <v>2024</v>
      </c>
      <c r="B202">
        <v>3</v>
      </c>
      <c r="C202">
        <v>1</v>
      </c>
      <c r="D202" s="1">
        <v>45352</v>
      </c>
      <c r="E202" s="4" t="s">
        <v>25</v>
      </c>
      <c r="F202" s="4" t="s">
        <v>28</v>
      </c>
      <c r="G202" s="4" t="s">
        <v>109</v>
      </c>
      <c r="H202">
        <v>606</v>
      </c>
      <c r="I202">
        <v>942</v>
      </c>
      <c r="J202">
        <v>0</v>
      </c>
      <c r="K202">
        <v>942</v>
      </c>
      <c r="L202">
        <v>494777.16</v>
      </c>
      <c r="M202">
        <v>0</v>
      </c>
      <c r="N202">
        <v>494777.16</v>
      </c>
      <c r="O202">
        <v>179432.75</v>
      </c>
      <c r="P202">
        <v>315344.40999999997</v>
      </c>
      <c r="Q202">
        <v>0.63729999999999998</v>
      </c>
      <c r="R202">
        <v>81</v>
      </c>
      <c r="S202">
        <v>88069.16</v>
      </c>
      <c r="T202">
        <v>0</v>
      </c>
      <c r="U202">
        <v>816.46</v>
      </c>
    </row>
    <row r="203" spans="1:21" x14ac:dyDescent="0.35">
      <c r="A203">
        <v>2024</v>
      </c>
      <c r="B203">
        <v>3</v>
      </c>
      <c r="C203">
        <v>1</v>
      </c>
      <c r="D203" s="1">
        <v>45352</v>
      </c>
      <c r="E203" s="4" t="s">
        <v>25</v>
      </c>
      <c r="F203" s="4" t="s">
        <v>24</v>
      </c>
      <c r="G203" s="4" t="s">
        <v>107</v>
      </c>
      <c r="H203">
        <v>29</v>
      </c>
      <c r="I203">
        <v>47</v>
      </c>
      <c r="J203">
        <v>0</v>
      </c>
      <c r="K203">
        <v>47</v>
      </c>
      <c r="L203">
        <v>77392.34</v>
      </c>
      <c r="M203">
        <v>0</v>
      </c>
      <c r="N203">
        <v>77392.34</v>
      </c>
      <c r="O203">
        <v>46941.4</v>
      </c>
      <c r="P203">
        <v>30450.94</v>
      </c>
      <c r="Q203">
        <v>0.39350000000000002</v>
      </c>
      <c r="R203">
        <v>8</v>
      </c>
      <c r="S203">
        <v>28178.34</v>
      </c>
      <c r="T203">
        <v>0</v>
      </c>
      <c r="U203">
        <v>2668.7</v>
      </c>
    </row>
    <row r="204" spans="1:21" x14ac:dyDescent="0.35">
      <c r="A204">
        <v>2024</v>
      </c>
      <c r="B204">
        <v>3</v>
      </c>
      <c r="C204">
        <v>1</v>
      </c>
      <c r="D204" s="1">
        <v>45352</v>
      </c>
      <c r="E204" s="4" t="s">
        <v>25</v>
      </c>
      <c r="F204" s="4" t="s">
        <v>24</v>
      </c>
      <c r="G204" s="4" t="s">
        <v>109</v>
      </c>
      <c r="H204">
        <v>172</v>
      </c>
      <c r="I204">
        <v>260</v>
      </c>
      <c r="J204">
        <v>7</v>
      </c>
      <c r="K204">
        <v>253</v>
      </c>
      <c r="L204">
        <v>388144.18</v>
      </c>
      <c r="M204">
        <v>9661</v>
      </c>
      <c r="N204">
        <v>378483.18</v>
      </c>
      <c r="O204">
        <v>214562.7</v>
      </c>
      <c r="P204">
        <v>163920.48000000001</v>
      </c>
      <c r="Q204">
        <v>0.43309999999999998</v>
      </c>
      <c r="R204">
        <v>20</v>
      </c>
      <c r="S204">
        <v>56719.18</v>
      </c>
      <c r="T204">
        <v>0</v>
      </c>
      <c r="U204">
        <v>2200.48</v>
      </c>
    </row>
    <row r="205" spans="1:21" x14ac:dyDescent="0.35">
      <c r="A205">
        <v>2024</v>
      </c>
      <c r="B205">
        <v>3</v>
      </c>
      <c r="C205">
        <v>1</v>
      </c>
      <c r="D205" s="1">
        <v>45352</v>
      </c>
      <c r="E205" s="4" t="s">
        <v>25</v>
      </c>
      <c r="F205" s="4" t="s">
        <v>26</v>
      </c>
      <c r="G205" s="4" t="s">
        <v>107</v>
      </c>
      <c r="H205">
        <v>10</v>
      </c>
      <c r="I205">
        <v>17</v>
      </c>
      <c r="J205">
        <v>0</v>
      </c>
      <c r="K205">
        <v>17</v>
      </c>
      <c r="L205">
        <v>16307.3</v>
      </c>
      <c r="M205">
        <v>0</v>
      </c>
      <c r="N205">
        <v>16307.3</v>
      </c>
      <c r="O205">
        <v>11292.6</v>
      </c>
      <c r="P205">
        <v>5014.7</v>
      </c>
      <c r="Q205">
        <v>0.3075</v>
      </c>
      <c r="R205">
        <v>2</v>
      </c>
      <c r="S205">
        <v>4668.3</v>
      </c>
      <c r="T205">
        <v>0</v>
      </c>
      <c r="U205">
        <v>1630.73</v>
      </c>
    </row>
    <row r="206" spans="1:21" x14ac:dyDescent="0.35">
      <c r="A206">
        <v>2024</v>
      </c>
      <c r="B206">
        <v>3</v>
      </c>
      <c r="C206">
        <v>1</v>
      </c>
      <c r="D206" s="1">
        <v>45352</v>
      </c>
      <c r="E206" s="4" t="s">
        <v>25</v>
      </c>
      <c r="F206" s="4" t="s">
        <v>26</v>
      </c>
      <c r="G206" s="4" t="s">
        <v>109</v>
      </c>
      <c r="H206">
        <v>55</v>
      </c>
      <c r="I206">
        <v>85</v>
      </c>
      <c r="J206">
        <v>2</v>
      </c>
      <c r="K206">
        <v>83</v>
      </c>
      <c r="L206">
        <v>61355.82</v>
      </c>
      <c r="M206">
        <v>2050</v>
      </c>
      <c r="N206">
        <v>59305.82</v>
      </c>
      <c r="O206">
        <v>36033.599999999999</v>
      </c>
      <c r="P206">
        <v>23272.22</v>
      </c>
      <c r="Q206">
        <v>0.39240000000000003</v>
      </c>
      <c r="R206">
        <v>4</v>
      </c>
      <c r="S206">
        <v>3932.82</v>
      </c>
      <c r="T206">
        <v>0</v>
      </c>
      <c r="U206">
        <v>1078.29</v>
      </c>
    </row>
    <row r="207" spans="1:21" x14ac:dyDescent="0.35">
      <c r="A207">
        <v>2024</v>
      </c>
      <c r="B207">
        <v>3</v>
      </c>
      <c r="C207">
        <v>1</v>
      </c>
      <c r="D207" s="1">
        <v>45352</v>
      </c>
      <c r="E207" s="4" t="s">
        <v>29</v>
      </c>
      <c r="F207" s="4" t="s">
        <v>28</v>
      </c>
      <c r="G207" s="4" t="s">
        <v>107</v>
      </c>
      <c r="H207">
        <v>184</v>
      </c>
      <c r="I207">
        <v>265</v>
      </c>
      <c r="J207">
        <v>0</v>
      </c>
      <c r="K207">
        <v>265</v>
      </c>
      <c r="L207">
        <v>133837.20000000001</v>
      </c>
      <c r="M207">
        <v>0</v>
      </c>
      <c r="N207">
        <v>133837.20000000001</v>
      </c>
      <c r="O207">
        <v>47808.6</v>
      </c>
      <c r="P207">
        <v>86028.6</v>
      </c>
      <c r="Q207">
        <v>0.64280000000000004</v>
      </c>
      <c r="R207">
        <v>20</v>
      </c>
      <c r="S207">
        <v>12721.2</v>
      </c>
      <c r="T207">
        <v>0</v>
      </c>
      <c r="U207">
        <v>727.38</v>
      </c>
    </row>
    <row r="208" spans="1:21" x14ac:dyDescent="0.35">
      <c r="A208">
        <v>2024</v>
      </c>
      <c r="B208">
        <v>3</v>
      </c>
      <c r="C208">
        <v>1</v>
      </c>
      <c r="D208" s="1">
        <v>45352</v>
      </c>
      <c r="E208" s="4" t="s">
        <v>29</v>
      </c>
      <c r="F208" s="4" t="s">
        <v>28</v>
      </c>
      <c r="G208" s="4" t="s">
        <v>108</v>
      </c>
      <c r="H208">
        <v>29</v>
      </c>
      <c r="I208">
        <v>39</v>
      </c>
      <c r="J208">
        <v>0</v>
      </c>
      <c r="K208">
        <v>39</v>
      </c>
      <c r="L208">
        <v>22860.799999999999</v>
      </c>
      <c r="M208">
        <v>0</v>
      </c>
      <c r="N208">
        <v>22860.799999999999</v>
      </c>
      <c r="O208">
        <v>8299.2000000000007</v>
      </c>
      <c r="P208">
        <v>14561.6</v>
      </c>
      <c r="Q208">
        <v>0.63700000000000001</v>
      </c>
      <c r="R208">
        <v>1</v>
      </c>
      <c r="S208">
        <v>1580.8</v>
      </c>
      <c r="T208">
        <v>0</v>
      </c>
      <c r="U208">
        <v>788.3</v>
      </c>
    </row>
    <row r="209" spans="1:21" x14ac:dyDescent="0.35">
      <c r="A209">
        <v>2024</v>
      </c>
      <c r="B209">
        <v>3</v>
      </c>
      <c r="C209">
        <v>1</v>
      </c>
      <c r="D209" s="1">
        <v>45352</v>
      </c>
      <c r="E209" s="4" t="s">
        <v>29</v>
      </c>
      <c r="F209" s="4" t="s">
        <v>28</v>
      </c>
      <c r="G209" s="4" t="s">
        <v>109</v>
      </c>
      <c r="H209">
        <v>777</v>
      </c>
      <c r="I209">
        <v>1216</v>
      </c>
      <c r="J209">
        <v>0</v>
      </c>
      <c r="K209">
        <v>1216</v>
      </c>
      <c r="L209">
        <v>573317.68000000005</v>
      </c>
      <c r="M209">
        <v>0</v>
      </c>
      <c r="N209">
        <v>573317.68000000005</v>
      </c>
      <c r="O209">
        <v>208488</v>
      </c>
      <c r="P209">
        <v>364829.68</v>
      </c>
      <c r="Q209">
        <v>0.63629999999999998</v>
      </c>
      <c r="R209">
        <v>96</v>
      </c>
      <c r="S209">
        <v>87402.22</v>
      </c>
      <c r="T209">
        <v>0</v>
      </c>
      <c r="U209">
        <v>737.86</v>
      </c>
    </row>
    <row r="210" spans="1:21" x14ac:dyDescent="0.35">
      <c r="A210">
        <v>2024</v>
      </c>
      <c r="B210">
        <v>3</v>
      </c>
      <c r="C210">
        <v>1</v>
      </c>
      <c r="D210" s="1">
        <v>45352</v>
      </c>
      <c r="E210" s="4" t="s">
        <v>29</v>
      </c>
      <c r="F210" s="4" t="s">
        <v>24</v>
      </c>
      <c r="G210" s="4" t="s">
        <v>107</v>
      </c>
      <c r="H210">
        <v>3</v>
      </c>
      <c r="I210">
        <v>3</v>
      </c>
      <c r="J210">
        <v>0</v>
      </c>
      <c r="K210">
        <v>3</v>
      </c>
      <c r="L210">
        <v>2306.88</v>
      </c>
      <c r="M210">
        <v>0</v>
      </c>
      <c r="N210">
        <v>2306.88</v>
      </c>
      <c r="O210">
        <v>1425.6</v>
      </c>
      <c r="P210">
        <v>881.28</v>
      </c>
      <c r="Q210">
        <v>0.38200000000000001</v>
      </c>
      <c r="R210">
        <v>1</v>
      </c>
      <c r="S210">
        <v>578.88</v>
      </c>
      <c r="T210">
        <v>0</v>
      </c>
      <c r="U210">
        <v>768.96</v>
      </c>
    </row>
    <row r="211" spans="1:21" x14ac:dyDescent="0.35">
      <c r="A211">
        <v>2024</v>
      </c>
      <c r="B211">
        <v>3</v>
      </c>
      <c r="C211">
        <v>1</v>
      </c>
      <c r="D211" s="1">
        <v>45352</v>
      </c>
      <c r="E211" s="4" t="s">
        <v>29</v>
      </c>
      <c r="F211" s="4" t="s">
        <v>24</v>
      </c>
      <c r="G211" s="4" t="s">
        <v>108</v>
      </c>
      <c r="H211">
        <v>10</v>
      </c>
      <c r="I211">
        <v>11</v>
      </c>
      <c r="J211">
        <v>0</v>
      </c>
      <c r="K211">
        <v>11</v>
      </c>
      <c r="L211">
        <v>8028.44</v>
      </c>
      <c r="M211">
        <v>0</v>
      </c>
      <c r="N211">
        <v>8028.44</v>
      </c>
      <c r="O211">
        <v>4489.1000000000004</v>
      </c>
      <c r="P211">
        <v>3539.34</v>
      </c>
      <c r="Q211">
        <v>0.44090000000000001</v>
      </c>
      <c r="R211">
        <v>1</v>
      </c>
      <c r="S211">
        <v>608.44000000000005</v>
      </c>
      <c r="T211">
        <v>0</v>
      </c>
      <c r="U211">
        <v>802.84</v>
      </c>
    </row>
    <row r="212" spans="1:21" x14ac:dyDescent="0.35">
      <c r="A212">
        <v>2024</v>
      </c>
      <c r="B212">
        <v>3</v>
      </c>
      <c r="C212">
        <v>1</v>
      </c>
      <c r="D212" s="1">
        <v>45352</v>
      </c>
      <c r="E212" s="4" t="s">
        <v>29</v>
      </c>
      <c r="F212" s="4" t="s">
        <v>24</v>
      </c>
      <c r="G212" s="4" t="s">
        <v>109</v>
      </c>
      <c r="H212">
        <v>127</v>
      </c>
      <c r="I212">
        <v>203</v>
      </c>
      <c r="J212">
        <v>3</v>
      </c>
      <c r="K212">
        <v>200</v>
      </c>
      <c r="L212">
        <v>411485.92</v>
      </c>
      <c r="M212">
        <v>6855</v>
      </c>
      <c r="N212">
        <v>404630.92</v>
      </c>
      <c r="O212">
        <v>231364.1</v>
      </c>
      <c r="P212">
        <v>173266.82</v>
      </c>
      <c r="Q212">
        <v>0.42820000000000003</v>
      </c>
      <c r="R212">
        <v>15</v>
      </c>
      <c r="S212">
        <v>62705.03</v>
      </c>
      <c r="T212">
        <v>0</v>
      </c>
      <c r="U212">
        <v>3186.07</v>
      </c>
    </row>
    <row r="213" spans="1:21" x14ac:dyDescent="0.35">
      <c r="A213">
        <v>2024</v>
      </c>
      <c r="B213">
        <v>3</v>
      </c>
      <c r="C213">
        <v>1</v>
      </c>
      <c r="D213" s="1">
        <v>45352</v>
      </c>
      <c r="E213" s="4" t="s">
        <v>29</v>
      </c>
      <c r="F213" s="4" t="s">
        <v>26</v>
      </c>
      <c r="G213" s="4" t="s">
        <v>107</v>
      </c>
      <c r="H213">
        <v>15</v>
      </c>
      <c r="I213">
        <v>18</v>
      </c>
      <c r="J213">
        <v>0</v>
      </c>
      <c r="K213">
        <v>18</v>
      </c>
      <c r="L213">
        <v>10553.54</v>
      </c>
      <c r="M213">
        <v>0</v>
      </c>
      <c r="N213">
        <v>10553.54</v>
      </c>
      <c r="O213">
        <v>6391.2</v>
      </c>
      <c r="P213">
        <v>4162.34</v>
      </c>
      <c r="Q213">
        <v>0.39439999999999997</v>
      </c>
      <c r="R213">
        <v>1</v>
      </c>
      <c r="S213">
        <v>995.54</v>
      </c>
      <c r="T213">
        <v>0</v>
      </c>
      <c r="U213">
        <v>703.57</v>
      </c>
    </row>
    <row r="214" spans="1:21" x14ac:dyDescent="0.35">
      <c r="A214">
        <v>2024</v>
      </c>
      <c r="B214">
        <v>3</v>
      </c>
      <c r="C214">
        <v>1</v>
      </c>
      <c r="D214" s="1">
        <v>45352</v>
      </c>
      <c r="E214" s="4" t="s">
        <v>29</v>
      </c>
      <c r="F214" s="4" t="s">
        <v>26</v>
      </c>
      <c r="G214" s="4" t="s">
        <v>109</v>
      </c>
      <c r="H214">
        <v>24</v>
      </c>
      <c r="I214">
        <v>42</v>
      </c>
      <c r="J214">
        <v>4</v>
      </c>
      <c r="K214">
        <v>38</v>
      </c>
      <c r="L214">
        <v>31851</v>
      </c>
      <c r="M214">
        <v>2606</v>
      </c>
      <c r="N214">
        <v>29245</v>
      </c>
      <c r="O214">
        <v>17839.8</v>
      </c>
      <c r="P214">
        <v>11405.2</v>
      </c>
      <c r="Q214">
        <v>0.39</v>
      </c>
      <c r="R214">
        <v>1</v>
      </c>
      <c r="S214">
        <v>1464</v>
      </c>
      <c r="T214">
        <v>0</v>
      </c>
      <c r="U214">
        <v>1218.54</v>
      </c>
    </row>
    <row r="215" spans="1:21" x14ac:dyDescent="0.35">
      <c r="A215">
        <v>2024</v>
      </c>
      <c r="B215">
        <v>3</v>
      </c>
      <c r="C215">
        <v>1</v>
      </c>
      <c r="D215" s="1">
        <v>45352</v>
      </c>
      <c r="E215" s="4" t="s">
        <v>31</v>
      </c>
      <c r="F215" s="4" t="s">
        <v>28</v>
      </c>
      <c r="G215" s="4" t="s">
        <v>107</v>
      </c>
      <c r="H215">
        <v>76</v>
      </c>
      <c r="I215">
        <v>112</v>
      </c>
      <c r="J215">
        <v>0</v>
      </c>
      <c r="K215">
        <v>112</v>
      </c>
      <c r="L215">
        <v>42524.41</v>
      </c>
      <c r="M215">
        <v>0</v>
      </c>
      <c r="N215">
        <v>42524.41</v>
      </c>
      <c r="O215">
        <v>15548.05</v>
      </c>
      <c r="P215">
        <v>26976.36</v>
      </c>
      <c r="Q215">
        <v>0.63439999999999996</v>
      </c>
      <c r="R215">
        <v>9</v>
      </c>
      <c r="S215">
        <v>7946.41</v>
      </c>
      <c r="T215">
        <v>0</v>
      </c>
      <c r="U215">
        <v>559.53</v>
      </c>
    </row>
    <row r="216" spans="1:21" x14ac:dyDescent="0.35">
      <c r="A216">
        <v>2024</v>
      </c>
      <c r="B216">
        <v>3</v>
      </c>
      <c r="C216">
        <v>1</v>
      </c>
      <c r="D216" s="1">
        <v>45352</v>
      </c>
      <c r="E216" s="4" t="s">
        <v>31</v>
      </c>
      <c r="F216" s="4" t="s">
        <v>28</v>
      </c>
      <c r="G216" s="4" t="s">
        <v>108</v>
      </c>
      <c r="H216">
        <v>261</v>
      </c>
      <c r="I216">
        <v>388</v>
      </c>
      <c r="J216">
        <v>0</v>
      </c>
      <c r="K216">
        <v>388</v>
      </c>
      <c r="L216">
        <v>154555.25</v>
      </c>
      <c r="M216">
        <v>0</v>
      </c>
      <c r="N216">
        <v>154555.25</v>
      </c>
      <c r="O216">
        <v>55853.7</v>
      </c>
      <c r="P216">
        <v>98701.55</v>
      </c>
      <c r="Q216">
        <v>0.63859999999999995</v>
      </c>
      <c r="R216">
        <v>30</v>
      </c>
      <c r="S216">
        <v>20294.25</v>
      </c>
      <c r="T216">
        <v>0</v>
      </c>
      <c r="U216">
        <v>592.16999999999996</v>
      </c>
    </row>
    <row r="217" spans="1:21" x14ac:dyDescent="0.35">
      <c r="A217">
        <v>2024</v>
      </c>
      <c r="B217">
        <v>3</v>
      </c>
      <c r="C217">
        <v>1</v>
      </c>
      <c r="D217" s="1">
        <v>45352</v>
      </c>
      <c r="E217" s="4" t="s">
        <v>31</v>
      </c>
      <c r="F217" s="4" t="s">
        <v>28</v>
      </c>
      <c r="G217" s="4" t="s">
        <v>109</v>
      </c>
      <c r="H217">
        <v>862</v>
      </c>
      <c r="I217">
        <v>1345</v>
      </c>
      <c r="J217">
        <v>0</v>
      </c>
      <c r="K217">
        <v>1345</v>
      </c>
      <c r="L217">
        <v>644827.9</v>
      </c>
      <c r="M217">
        <v>0</v>
      </c>
      <c r="N217">
        <v>644827.9</v>
      </c>
      <c r="O217">
        <v>234369.8</v>
      </c>
      <c r="P217">
        <v>410458.1</v>
      </c>
      <c r="Q217">
        <v>0.63649999999999995</v>
      </c>
      <c r="R217">
        <v>129</v>
      </c>
      <c r="S217">
        <v>98362.8</v>
      </c>
      <c r="T217">
        <v>0</v>
      </c>
      <c r="U217">
        <v>748.06</v>
      </c>
    </row>
    <row r="218" spans="1:21" x14ac:dyDescent="0.35">
      <c r="A218">
        <v>2024</v>
      </c>
      <c r="B218">
        <v>3</v>
      </c>
      <c r="C218">
        <v>1</v>
      </c>
      <c r="D218" s="1">
        <v>45352</v>
      </c>
      <c r="E218" s="4" t="s">
        <v>31</v>
      </c>
      <c r="F218" s="4" t="s">
        <v>24</v>
      </c>
      <c r="G218" s="4" t="s">
        <v>107</v>
      </c>
      <c r="H218">
        <v>11</v>
      </c>
      <c r="I218">
        <v>19</v>
      </c>
      <c r="J218">
        <v>0</v>
      </c>
      <c r="K218">
        <v>19</v>
      </c>
      <c r="L218">
        <v>33521.199999999997</v>
      </c>
      <c r="M218">
        <v>0</v>
      </c>
      <c r="N218">
        <v>33521.199999999997</v>
      </c>
      <c r="O218">
        <v>18914.5</v>
      </c>
      <c r="P218">
        <v>14606.7</v>
      </c>
      <c r="Q218">
        <v>0.43569999999999998</v>
      </c>
      <c r="R218">
        <v>1</v>
      </c>
      <c r="S218">
        <v>2751.2</v>
      </c>
      <c r="T218">
        <v>0</v>
      </c>
      <c r="U218">
        <v>3047.38</v>
      </c>
    </row>
    <row r="219" spans="1:21" x14ac:dyDescent="0.35">
      <c r="A219">
        <v>2024</v>
      </c>
      <c r="B219">
        <v>3</v>
      </c>
      <c r="C219">
        <v>1</v>
      </c>
      <c r="D219" s="1">
        <v>45352</v>
      </c>
      <c r="E219" s="4" t="s">
        <v>31</v>
      </c>
      <c r="F219" s="4" t="s">
        <v>24</v>
      </c>
      <c r="G219" s="4" t="s">
        <v>109</v>
      </c>
      <c r="H219">
        <v>213</v>
      </c>
      <c r="I219">
        <v>326</v>
      </c>
      <c r="J219">
        <v>6</v>
      </c>
      <c r="K219">
        <v>320</v>
      </c>
      <c r="L219">
        <v>472469.82</v>
      </c>
      <c r="M219">
        <v>8846</v>
      </c>
      <c r="N219">
        <v>463623.82</v>
      </c>
      <c r="O219">
        <v>265709.95</v>
      </c>
      <c r="P219">
        <v>197913.87</v>
      </c>
      <c r="Q219">
        <v>0.4269</v>
      </c>
      <c r="R219">
        <v>25</v>
      </c>
      <c r="S219">
        <v>58689.82</v>
      </c>
      <c r="T219">
        <v>0</v>
      </c>
      <c r="U219">
        <v>2176.64</v>
      </c>
    </row>
    <row r="220" spans="1:21" x14ac:dyDescent="0.35">
      <c r="A220">
        <v>2024</v>
      </c>
      <c r="B220">
        <v>3</v>
      </c>
      <c r="C220">
        <v>1</v>
      </c>
      <c r="D220" s="1">
        <v>45352</v>
      </c>
      <c r="E220" s="4" t="s">
        <v>31</v>
      </c>
      <c r="F220" s="4" t="s">
        <v>26</v>
      </c>
      <c r="G220" s="4" t="s">
        <v>107</v>
      </c>
      <c r="H220">
        <v>5</v>
      </c>
      <c r="I220">
        <v>6</v>
      </c>
      <c r="J220">
        <v>0</v>
      </c>
      <c r="K220">
        <v>6</v>
      </c>
      <c r="L220">
        <v>2940</v>
      </c>
      <c r="M220">
        <v>0</v>
      </c>
      <c r="N220">
        <v>2940</v>
      </c>
      <c r="O220">
        <v>1764</v>
      </c>
      <c r="P220">
        <v>1176</v>
      </c>
      <c r="Q220">
        <v>0.4</v>
      </c>
      <c r="R220">
        <v>0</v>
      </c>
      <c r="S220">
        <v>0</v>
      </c>
      <c r="T220">
        <v>0</v>
      </c>
      <c r="U220">
        <v>588</v>
      </c>
    </row>
    <row r="221" spans="1:21" x14ac:dyDescent="0.35">
      <c r="A221">
        <v>2024</v>
      </c>
      <c r="B221">
        <v>3</v>
      </c>
      <c r="C221">
        <v>1</v>
      </c>
      <c r="D221" s="1">
        <v>45352</v>
      </c>
      <c r="E221" s="4" t="s">
        <v>31</v>
      </c>
      <c r="F221" s="4" t="s">
        <v>26</v>
      </c>
      <c r="G221" s="4" t="s">
        <v>108</v>
      </c>
      <c r="H221">
        <v>3</v>
      </c>
      <c r="I221">
        <v>3</v>
      </c>
      <c r="J221">
        <v>0</v>
      </c>
      <c r="K221">
        <v>3</v>
      </c>
      <c r="L221">
        <v>2178</v>
      </c>
      <c r="M221">
        <v>0</v>
      </c>
      <c r="N221">
        <v>2178</v>
      </c>
      <c r="O221">
        <v>1306.8</v>
      </c>
      <c r="P221">
        <v>871.2</v>
      </c>
      <c r="Q221">
        <v>0.4</v>
      </c>
      <c r="R221">
        <v>0</v>
      </c>
      <c r="S221">
        <v>0</v>
      </c>
      <c r="T221">
        <v>0</v>
      </c>
      <c r="U221">
        <v>726</v>
      </c>
    </row>
    <row r="222" spans="1:21" x14ac:dyDescent="0.35">
      <c r="A222">
        <v>2024</v>
      </c>
      <c r="B222">
        <v>3</v>
      </c>
      <c r="C222">
        <v>1</v>
      </c>
      <c r="D222" s="1">
        <v>45352</v>
      </c>
      <c r="E222" s="4" t="s">
        <v>31</v>
      </c>
      <c r="F222" s="4" t="s">
        <v>26</v>
      </c>
      <c r="G222" s="4" t="s">
        <v>109</v>
      </c>
      <c r="H222">
        <v>25</v>
      </c>
      <c r="I222">
        <v>37</v>
      </c>
      <c r="J222">
        <v>1</v>
      </c>
      <c r="K222">
        <v>36</v>
      </c>
      <c r="L222">
        <v>33136.199999999997</v>
      </c>
      <c r="M222">
        <v>1066</v>
      </c>
      <c r="N222">
        <v>32070.2</v>
      </c>
      <c r="O222">
        <v>19705.8</v>
      </c>
      <c r="P222">
        <v>12364.4</v>
      </c>
      <c r="Q222">
        <v>0.38550000000000001</v>
      </c>
      <c r="R222">
        <v>1</v>
      </c>
      <c r="S222">
        <v>2447.1999999999998</v>
      </c>
      <c r="T222">
        <v>0</v>
      </c>
      <c r="U222">
        <v>1282.81</v>
      </c>
    </row>
    <row r="223" spans="1:21" x14ac:dyDescent="0.35">
      <c r="A223">
        <v>2024</v>
      </c>
      <c r="B223">
        <v>3</v>
      </c>
      <c r="C223">
        <v>1</v>
      </c>
      <c r="D223" s="1">
        <v>45352</v>
      </c>
      <c r="E223" s="4" t="s">
        <v>30</v>
      </c>
      <c r="F223" s="4" t="s">
        <v>28</v>
      </c>
      <c r="G223" s="4" t="s">
        <v>107</v>
      </c>
      <c r="H223">
        <v>96</v>
      </c>
      <c r="I223">
        <v>127</v>
      </c>
      <c r="J223">
        <v>0</v>
      </c>
      <c r="K223">
        <v>127</v>
      </c>
      <c r="L223">
        <v>54138.04</v>
      </c>
      <c r="M223">
        <v>0</v>
      </c>
      <c r="N223">
        <v>54138.04</v>
      </c>
      <c r="O223">
        <v>20046.95</v>
      </c>
      <c r="P223">
        <v>34091.089999999997</v>
      </c>
      <c r="Q223">
        <v>0.62970000000000004</v>
      </c>
      <c r="R223">
        <v>14</v>
      </c>
      <c r="S223">
        <v>10391.040000000001</v>
      </c>
      <c r="T223">
        <v>0</v>
      </c>
      <c r="U223">
        <v>563.94000000000005</v>
      </c>
    </row>
    <row r="224" spans="1:21" x14ac:dyDescent="0.35">
      <c r="A224">
        <v>2024</v>
      </c>
      <c r="B224">
        <v>3</v>
      </c>
      <c r="C224">
        <v>1</v>
      </c>
      <c r="D224" s="1">
        <v>45352</v>
      </c>
      <c r="E224" s="4" t="s">
        <v>30</v>
      </c>
      <c r="F224" s="4" t="s">
        <v>28</v>
      </c>
      <c r="G224" s="4" t="s">
        <v>108</v>
      </c>
      <c r="H224">
        <v>45</v>
      </c>
      <c r="I224">
        <v>64</v>
      </c>
      <c r="J224">
        <v>0</v>
      </c>
      <c r="K224">
        <v>64</v>
      </c>
      <c r="L224">
        <v>38701.949999999997</v>
      </c>
      <c r="M224">
        <v>0</v>
      </c>
      <c r="N224">
        <v>38701.949999999997</v>
      </c>
      <c r="O224">
        <v>13776</v>
      </c>
      <c r="P224">
        <v>24925.95</v>
      </c>
      <c r="Q224">
        <v>0.64400000000000002</v>
      </c>
      <c r="R224">
        <v>4</v>
      </c>
      <c r="S224">
        <v>3031.95</v>
      </c>
      <c r="T224">
        <v>0</v>
      </c>
      <c r="U224">
        <v>860.04</v>
      </c>
    </row>
    <row r="225" spans="1:21" x14ac:dyDescent="0.35">
      <c r="A225">
        <v>2024</v>
      </c>
      <c r="B225">
        <v>3</v>
      </c>
      <c r="C225">
        <v>1</v>
      </c>
      <c r="D225" s="1">
        <v>45352</v>
      </c>
      <c r="E225" s="4" t="s">
        <v>30</v>
      </c>
      <c r="F225" s="4" t="s">
        <v>28</v>
      </c>
      <c r="G225" s="4" t="s">
        <v>109</v>
      </c>
      <c r="H225">
        <v>620</v>
      </c>
      <c r="I225">
        <v>939</v>
      </c>
      <c r="J225">
        <v>0</v>
      </c>
      <c r="K225">
        <v>939</v>
      </c>
      <c r="L225">
        <v>381208.65</v>
      </c>
      <c r="M225">
        <v>0</v>
      </c>
      <c r="N225">
        <v>381208.65</v>
      </c>
      <c r="O225">
        <v>138219.54999999999</v>
      </c>
      <c r="P225">
        <v>242989.1</v>
      </c>
      <c r="Q225">
        <v>0.63739999999999997</v>
      </c>
      <c r="R225">
        <v>70</v>
      </c>
      <c r="S225">
        <v>57759.65</v>
      </c>
      <c r="T225">
        <v>0</v>
      </c>
      <c r="U225">
        <v>614.85</v>
      </c>
    </row>
    <row r="226" spans="1:21" x14ac:dyDescent="0.35">
      <c r="A226">
        <v>2024</v>
      </c>
      <c r="B226">
        <v>3</v>
      </c>
      <c r="C226">
        <v>1</v>
      </c>
      <c r="D226" s="1">
        <v>45352</v>
      </c>
      <c r="E226" s="4" t="s">
        <v>30</v>
      </c>
      <c r="F226" s="4" t="s">
        <v>24</v>
      </c>
      <c r="G226" s="4" t="s">
        <v>107</v>
      </c>
      <c r="H226">
        <v>69</v>
      </c>
      <c r="I226">
        <v>100</v>
      </c>
      <c r="J226">
        <v>2</v>
      </c>
      <c r="K226">
        <v>98</v>
      </c>
      <c r="L226">
        <v>191602.8</v>
      </c>
      <c r="M226">
        <v>4036</v>
      </c>
      <c r="N226">
        <v>187566.8</v>
      </c>
      <c r="O226">
        <v>105631.9</v>
      </c>
      <c r="P226">
        <v>81934.899999999994</v>
      </c>
      <c r="Q226">
        <v>0.43680000000000002</v>
      </c>
      <c r="R226">
        <v>7</v>
      </c>
      <c r="S226">
        <v>15318.8</v>
      </c>
      <c r="T226">
        <v>0</v>
      </c>
      <c r="U226">
        <v>2718.36</v>
      </c>
    </row>
    <row r="227" spans="1:21" x14ac:dyDescent="0.35">
      <c r="A227">
        <v>2024</v>
      </c>
      <c r="B227">
        <v>3</v>
      </c>
      <c r="C227">
        <v>1</v>
      </c>
      <c r="D227" s="1">
        <v>45352</v>
      </c>
      <c r="E227" s="4" t="s">
        <v>30</v>
      </c>
      <c r="F227" s="4" t="s">
        <v>24</v>
      </c>
      <c r="G227" s="4" t="s">
        <v>108</v>
      </c>
      <c r="H227">
        <v>7</v>
      </c>
      <c r="I227">
        <v>11</v>
      </c>
      <c r="J227">
        <v>0</v>
      </c>
      <c r="K227">
        <v>11</v>
      </c>
      <c r="L227">
        <v>26499</v>
      </c>
      <c r="M227">
        <v>0</v>
      </c>
      <c r="N227">
        <v>26499</v>
      </c>
      <c r="O227">
        <v>14574.45</v>
      </c>
      <c r="P227">
        <v>11924.55</v>
      </c>
      <c r="Q227">
        <v>0.45</v>
      </c>
      <c r="R227">
        <v>0</v>
      </c>
      <c r="S227">
        <v>0</v>
      </c>
      <c r="T227">
        <v>0</v>
      </c>
      <c r="U227">
        <v>3785.57</v>
      </c>
    </row>
    <row r="228" spans="1:21" x14ac:dyDescent="0.35">
      <c r="A228">
        <v>2024</v>
      </c>
      <c r="B228">
        <v>3</v>
      </c>
      <c r="C228">
        <v>1</v>
      </c>
      <c r="D228" s="1">
        <v>45352</v>
      </c>
      <c r="E228" s="4" t="s">
        <v>30</v>
      </c>
      <c r="F228" s="4" t="s">
        <v>24</v>
      </c>
      <c r="G228" s="4" t="s">
        <v>109</v>
      </c>
      <c r="H228">
        <v>206</v>
      </c>
      <c r="I228">
        <v>290</v>
      </c>
      <c r="J228">
        <v>9</v>
      </c>
      <c r="K228">
        <v>281</v>
      </c>
      <c r="L228">
        <v>499460.91</v>
      </c>
      <c r="M228">
        <v>13347.95</v>
      </c>
      <c r="N228">
        <v>486112.96</v>
      </c>
      <c r="O228">
        <v>277060.3</v>
      </c>
      <c r="P228">
        <v>209052.66</v>
      </c>
      <c r="Q228">
        <v>0.43</v>
      </c>
      <c r="R228">
        <v>23</v>
      </c>
      <c r="S228">
        <v>64376.959999999999</v>
      </c>
      <c r="T228">
        <v>0</v>
      </c>
      <c r="U228">
        <v>2359.77</v>
      </c>
    </row>
    <row r="229" spans="1:21" x14ac:dyDescent="0.35">
      <c r="A229">
        <v>2024</v>
      </c>
      <c r="B229">
        <v>3</v>
      </c>
      <c r="C229">
        <v>1</v>
      </c>
      <c r="D229" s="1">
        <v>45352</v>
      </c>
      <c r="E229" s="4" t="s">
        <v>30</v>
      </c>
      <c r="F229" s="4" t="s">
        <v>26</v>
      </c>
      <c r="G229" s="4" t="s">
        <v>107</v>
      </c>
      <c r="H229">
        <v>1</v>
      </c>
      <c r="I229">
        <v>1</v>
      </c>
      <c r="J229">
        <v>0</v>
      </c>
      <c r="K229">
        <v>1</v>
      </c>
      <c r="L229">
        <v>908</v>
      </c>
      <c r="M229">
        <v>0</v>
      </c>
      <c r="N229">
        <v>908</v>
      </c>
      <c r="O229">
        <v>544.79999999999995</v>
      </c>
      <c r="P229">
        <v>363.2</v>
      </c>
      <c r="Q229">
        <v>0.4</v>
      </c>
      <c r="R229">
        <v>0</v>
      </c>
      <c r="S229">
        <v>0</v>
      </c>
      <c r="T229">
        <v>0</v>
      </c>
      <c r="U229">
        <v>908</v>
      </c>
    </row>
    <row r="230" spans="1:21" x14ac:dyDescent="0.35">
      <c r="A230">
        <v>2024</v>
      </c>
      <c r="B230">
        <v>3</v>
      </c>
      <c r="C230">
        <v>1</v>
      </c>
      <c r="D230" s="1">
        <v>45352</v>
      </c>
      <c r="E230" s="4" t="s">
        <v>30</v>
      </c>
      <c r="F230" s="4" t="s">
        <v>26</v>
      </c>
      <c r="G230" s="4" t="s">
        <v>109</v>
      </c>
      <c r="H230">
        <v>56</v>
      </c>
      <c r="I230">
        <v>85</v>
      </c>
      <c r="J230">
        <v>1</v>
      </c>
      <c r="K230">
        <v>84</v>
      </c>
      <c r="L230">
        <v>66610.7</v>
      </c>
      <c r="M230">
        <v>973</v>
      </c>
      <c r="N230">
        <v>65637.7</v>
      </c>
      <c r="O230">
        <v>41026.199999999997</v>
      </c>
      <c r="P230">
        <v>24611.5</v>
      </c>
      <c r="Q230">
        <v>0.375</v>
      </c>
      <c r="R230">
        <v>10</v>
      </c>
      <c r="S230">
        <v>14760.04</v>
      </c>
      <c r="T230">
        <v>0</v>
      </c>
      <c r="U230">
        <v>1172.0999999999999</v>
      </c>
    </row>
    <row r="231" spans="1:21" x14ac:dyDescent="0.35">
      <c r="A231">
        <v>2024</v>
      </c>
      <c r="B231">
        <v>3</v>
      </c>
      <c r="C231">
        <v>1</v>
      </c>
      <c r="D231" s="1">
        <v>45352</v>
      </c>
      <c r="E231" s="4" t="s">
        <v>78</v>
      </c>
      <c r="F231" s="4" t="s">
        <v>78</v>
      </c>
      <c r="G231" s="4" t="s">
        <v>110</v>
      </c>
      <c r="H231">
        <v>223</v>
      </c>
      <c r="I231">
        <v>303</v>
      </c>
      <c r="J231">
        <v>0</v>
      </c>
      <c r="K231">
        <v>303</v>
      </c>
      <c r="L231">
        <v>695457</v>
      </c>
      <c r="M231">
        <v>0</v>
      </c>
      <c r="N231">
        <v>695457</v>
      </c>
      <c r="O231">
        <v>104318.55</v>
      </c>
      <c r="P231">
        <v>591138.44999999995</v>
      </c>
      <c r="Q231">
        <v>0.85</v>
      </c>
      <c r="R231">
        <v>2</v>
      </c>
      <c r="S231">
        <v>798</v>
      </c>
      <c r="T231">
        <v>0</v>
      </c>
      <c r="U231">
        <v>3118.64</v>
      </c>
    </row>
    <row r="232" spans="1:21" x14ac:dyDescent="0.35">
      <c r="A232">
        <v>2024</v>
      </c>
      <c r="B232">
        <v>4</v>
      </c>
      <c r="C232">
        <v>2</v>
      </c>
      <c r="D232" s="1">
        <v>45383</v>
      </c>
      <c r="E232" s="4" t="s">
        <v>33</v>
      </c>
      <c r="F232" s="4" t="s">
        <v>28</v>
      </c>
      <c r="G232" s="4" t="s">
        <v>107</v>
      </c>
      <c r="H232">
        <v>100</v>
      </c>
      <c r="I232">
        <v>159</v>
      </c>
      <c r="J232">
        <v>0</v>
      </c>
      <c r="K232">
        <v>159</v>
      </c>
      <c r="L232">
        <v>50258.52</v>
      </c>
      <c r="M232">
        <v>0</v>
      </c>
      <c r="N232">
        <v>50258.52</v>
      </c>
      <c r="O232">
        <v>18110.400000000001</v>
      </c>
      <c r="P232">
        <v>32148.12</v>
      </c>
      <c r="Q232">
        <v>0.63970000000000005</v>
      </c>
      <c r="R232">
        <v>10</v>
      </c>
      <c r="S232">
        <v>6512.52</v>
      </c>
      <c r="T232">
        <v>0</v>
      </c>
      <c r="U232">
        <v>502.59</v>
      </c>
    </row>
    <row r="233" spans="1:21" x14ac:dyDescent="0.35">
      <c r="A233">
        <v>2024</v>
      </c>
      <c r="B233">
        <v>4</v>
      </c>
      <c r="C233">
        <v>2</v>
      </c>
      <c r="D233" s="1">
        <v>45383</v>
      </c>
      <c r="E233" s="4" t="s">
        <v>33</v>
      </c>
      <c r="F233" s="4" t="s">
        <v>28</v>
      </c>
      <c r="G233" s="4" t="s">
        <v>108</v>
      </c>
      <c r="H233">
        <v>39</v>
      </c>
      <c r="I233">
        <v>57</v>
      </c>
      <c r="J233">
        <v>0</v>
      </c>
      <c r="K233">
        <v>57</v>
      </c>
      <c r="L233">
        <v>39259.68</v>
      </c>
      <c r="M233">
        <v>0</v>
      </c>
      <c r="N233">
        <v>39259.68</v>
      </c>
      <c r="O233">
        <v>14204.4</v>
      </c>
      <c r="P233">
        <v>25055.279999999999</v>
      </c>
      <c r="Q233">
        <v>0.63819999999999999</v>
      </c>
      <c r="R233">
        <v>5</v>
      </c>
      <c r="S233">
        <v>5795.68</v>
      </c>
      <c r="T233">
        <v>0</v>
      </c>
      <c r="U233">
        <v>1006.66</v>
      </c>
    </row>
    <row r="234" spans="1:21" x14ac:dyDescent="0.35">
      <c r="A234">
        <v>2024</v>
      </c>
      <c r="B234">
        <v>4</v>
      </c>
      <c r="C234">
        <v>2</v>
      </c>
      <c r="D234" s="1">
        <v>45383</v>
      </c>
      <c r="E234" s="4" t="s">
        <v>33</v>
      </c>
      <c r="F234" s="4" t="s">
        <v>28</v>
      </c>
      <c r="G234" s="4" t="s">
        <v>109</v>
      </c>
      <c r="H234">
        <v>592</v>
      </c>
      <c r="I234">
        <v>883</v>
      </c>
      <c r="J234">
        <v>0</v>
      </c>
      <c r="K234">
        <v>883</v>
      </c>
      <c r="L234">
        <v>456115.69</v>
      </c>
      <c r="M234">
        <v>0</v>
      </c>
      <c r="N234">
        <v>456115.69</v>
      </c>
      <c r="O234">
        <v>164867.5</v>
      </c>
      <c r="P234">
        <v>291248.19</v>
      </c>
      <c r="Q234">
        <v>0.63849999999999996</v>
      </c>
      <c r="R234">
        <v>63</v>
      </c>
      <c r="S234">
        <v>57749.46</v>
      </c>
      <c r="T234">
        <v>0</v>
      </c>
      <c r="U234">
        <v>770.47</v>
      </c>
    </row>
    <row r="235" spans="1:21" x14ac:dyDescent="0.35">
      <c r="A235">
        <v>2024</v>
      </c>
      <c r="B235">
        <v>4</v>
      </c>
      <c r="C235">
        <v>2</v>
      </c>
      <c r="D235" s="1">
        <v>45383</v>
      </c>
      <c r="E235" s="4" t="s">
        <v>33</v>
      </c>
      <c r="F235" s="4" t="s">
        <v>24</v>
      </c>
      <c r="G235" s="4" t="s">
        <v>107</v>
      </c>
      <c r="H235">
        <v>13</v>
      </c>
      <c r="I235">
        <v>20</v>
      </c>
      <c r="J235">
        <v>3</v>
      </c>
      <c r="K235">
        <v>17</v>
      </c>
      <c r="L235">
        <v>30761.29</v>
      </c>
      <c r="M235">
        <v>5604</v>
      </c>
      <c r="N235">
        <v>25157.29</v>
      </c>
      <c r="O235">
        <v>16165.05</v>
      </c>
      <c r="P235">
        <v>8992.24</v>
      </c>
      <c r="Q235">
        <v>0.3574</v>
      </c>
      <c r="R235">
        <v>4</v>
      </c>
      <c r="S235">
        <v>12105.29</v>
      </c>
      <c r="T235">
        <v>0</v>
      </c>
      <c r="U235">
        <v>1935.18</v>
      </c>
    </row>
    <row r="236" spans="1:21" x14ac:dyDescent="0.35">
      <c r="A236">
        <v>2024</v>
      </c>
      <c r="B236">
        <v>4</v>
      </c>
      <c r="C236">
        <v>2</v>
      </c>
      <c r="D236" s="1">
        <v>45383</v>
      </c>
      <c r="E236" s="4" t="s">
        <v>33</v>
      </c>
      <c r="F236" s="4" t="s">
        <v>24</v>
      </c>
      <c r="G236" s="4" t="s">
        <v>109</v>
      </c>
      <c r="H236">
        <v>148</v>
      </c>
      <c r="I236">
        <v>230</v>
      </c>
      <c r="J236">
        <v>11</v>
      </c>
      <c r="K236">
        <v>219</v>
      </c>
      <c r="L236">
        <v>373825.24</v>
      </c>
      <c r="M236">
        <v>20682.48</v>
      </c>
      <c r="N236">
        <v>353142.76</v>
      </c>
      <c r="O236">
        <v>200517.35</v>
      </c>
      <c r="P236">
        <v>152625.41</v>
      </c>
      <c r="Q236">
        <v>0.43219999999999997</v>
      </c>
      <c r="R236">
        <v>17</v>
      </c>
      <c r="S236">
        <v>37980.76</v>
      </c>
      <c r="T236">
        <v>0</v>
      </c>
      <c r="U236">
        <v>2386.1</v>
      </c>
    </row>
    <row r="237" spans="1:21" x14ac:dyDescent="0.35">
      <c r="A237">
        <v>2024</v>
      </c>
      <c r="B237">
        <v>4</v>
      </c>
      <c r="C237">
        <v>2</v>
      </c>
      <c r="D237" s="1">
        <v>45383</v>
      </c>
      <c r="E237" s="4" t="s">
        <v>33</v>
      </c>
      <c r="F237" s="4" t="s">
        <v>26</v>
      </c>
      <c r="G237" s="4" t="s">
        <v>107</v>
      </c>
      <c r="H237">
        <v>1</v>
      </c>
      <c r="I237">
        <v>1</v>
      </c>
      <c r="J237">
        <v>0</v>
      </c>
      <c r="K237">
        <v>1</v>
      </c>
      <c r="L237">
        <v>908</v>
      </c>
      <c r="M237">
        <v>0</v>
      </c>
      <c r="N237">
        <v>908</v>
      </c>
      <c r="O237">
        <v>544.79999999999995</v>
      </c>
      <c r="P237">
        <v>363.2</v>
      </c>
      <c r="Q237">
        <v>0.4</v>
      </c>
      <c r="R237">
        <v>0</v>
      </c>
      <c r="S237">
        <v>0</v>
      </c>
      <c r="T237">
        <v>0</v>
      </c>
      <c r="U237">
        <v>908</v>
      </c>
    </row>
    <row r="238" spans="1:21" x14ac:dyDescent="0.35">
      <c r="A238">
        <v>2024</v>
      </c>
      <c r="B238">
        <v>4</v>
      </c>
      <c r="C238">
        <v>2</v>
      </c>
      <c r="D238" s="1">
        <v>45383</v>
      </c>
      <c r="E238" s="4" t="s">
        <v>33</v>
      </c>
      <c r="F238" s="4" t="s">
        <v>26</v>
      </c>
      <c r="G238" s="4" t="s">
        <v>108</v>
      </c>
      <c r="H238">
        <v>8</v>
      </c>
      <c r="I238">
        <v>11</v>
      </c>
      <c r="J238">
        <v>1</v>
      </c>
      <c r="K238">
        <v>10</v>
      </c>
      <c r="L238">
        <v>7537</v>
      </c>
      <c r="M238">
        <v>614</v>
      </c>
      <c r="N238">
        <v>6923</v>
      </c>
      <c r="O238">
        <v>4153.8</v>
      </c>
      <c r="P238">
        <v>2769.2</v>
      </c>
      <c r="Q238">
        <v>0.4</v>
      </c>
      <c r="R238">
        <v>0</v>
      </c>
      <c r="S238">
        <v>0</v>
      </c>
      <c r="T238">
        <v>0</v>
      </c>
      <c r="U238">
        <v>865.38</v>
      </c>
    </row>
    <row r="239" spans="1:21" x14ac:dyDescent="0.35">
      <c r="A239">
        <v>2024</v>
      </c>
      <c r="B239">
        <v>4</v>
      </c>
      <c r="C239">
        <v>2</v>
      </c>
      <c r="D239" s="1">
        <v>45383</v>
      </c>
      <c r="E239" s="4" t="s">
        <v>33</v>
      </c>
      <c r="F239" s="4" t="s">
        <v>26</v>
      </c>
      <c r="G239" s="4" t="s">
        <v>109</v>
      </c>
      <c r="H239">
        <v>33</v>
      </c>
      <c r="I239">
        <v>46</v>
      </c>
      <c r="J239">
        <v>4</v>
      </c>
      <c r="K239">
        <v>42</v>
      </c>
      <c r="L239">
        <v>33616.03</v>
      </c>
      <c r="M239">
        <v>3917</v>
      </c>
      <c r="N239">
        <v>29699.03</v>
      </c>
      <c r="O239">
        <v>18649.2</v>
      </c>
      <c r="P239">
        <v>11049.83</v>
      </c>
      <c r="Q239">
        <v>0.37209999999999999</v>
      </c>
      <c r="R239">
        <v>5</v>
      </c>
      <c r="S239">
        <v>6098.03</v>
      </c>
      <c r="T239">
        <v>0</v>
      </c>
      <c r="U239">
        <v>899.97</v>
      </c>
    </row>
    <row r="240" spans="1:21" x14ac:dyDescent="0.35">
      <c r="A240">
        <v>2024</v>
      </c>
      <c r="B240">
        <v>4</v>
      </c>
      <c r="C240">
        <v>2</v>
      </c>
      <c r="D240" s="1">
        <v>45383</v>
      </c>
      <c r="E240" s="4" t="s">
        <v>32</v>
      </c>
      <c r="F240" s="4" t="s">
        <v>28</v>
      </c>
      <c r="G240" s="4" t="s">
        <v>107</v>
      </c>
      <c r="H240">
        <v>26</v>
      </c>
      <c r="I240">
        <v>46</v>
      </c>
      <c r="J240">
        <v>0</v>
      </c>
      <c r="K240">
        <v>46</v>
      </c>
      <c r="L240">
        <v>19453.900000000001</v>
      </c>
      <c r="M240">
        <v>0</v>
      </c>
      <c r="N240">
        <v>19453.900000000001</v>
      </c>
      <c r="O240">
        <v>7309.4</v>
      </c>
      <c r="P240">
        <v>12144.5</v>
      </c>
      <c r="Q240">
        <v>0.62429999999999997</v>
      </c>
      <c r="R240">
        <v>9</v>
      </c>
      <c r="S240">
        <v>8103.9</v>
      </c>
      <c r="T240">
        <v>0</v>
      </c>
      <c r="U240">
        <v>748.23</v>
      </c>
    </row>
    <row r="241" spans="1:21" x14ac:dyDescent="0.35">
      <c r="A241">
        <v>2024</v>
      </c>
      <c r="B241">
        <v>4</v>
      </c>
      <c r="C241">
        <v>2</v>
      </c>
      <c r="D241" s="1">
        <v>45383</v>
      </c>
      <c r="E241" s="4" t="s">
        <v>32</v>
      </c>
      <c r="F241" s="4" t="s">
        <v>28</v>
      </c>
      <c r="G241" s="4" t="s">
        <v>109</v>
      </c>
      <c r="H241">
        <v>478</v>
      </c>
      <c r="I241">
        <v>718</v>
      </c>
      <c r="J241">
        <v>0</v>
      </c>
      <c r="K241">
        <v>718</v>
      </c>
      <c r="L241">
        <v>251811.4</v>
      </c>
      <c r="M241">
        <v>0</v>
      </c>
      <c r="N241">
        <v>251811.4</v>
      </c>
      <c r="O241">
        <v>91134.05</v>
      </c>
      <c r="P241">
        <v>160677.35</v>
      </c>
      <c r="Q241">
        <v>0.6381</v>
      </c>
      <c r="R241">
        <v>57</v>
      </c>
      <c r="S241">
        <v>37345.440000000002</v>
      </c>
      <c r="T241">
        <v>0</v>
      </c>
      <c r="U241">
        <v>526.79999999999995</v>
      </c>
    </row>
    <row r="242" spans="1:21" x14ac:dyDescent="0.35">
      <c r="A242">
        <v>2024</v>
      </c>
      <c r="B242">
        <v>4</v>
      </c>
      <c r="C242">
        <v>2</v>
      </c>
      <c r="D242" s="1">
        <v>45383</v>
      </c>
      <c r="E242" s="4" t="s">
        <v>32</v>
      </c>
      <c r="F242" s="4" t="s">
        <v>35</v>
      </c>
      <c r="G242" s="4" t="s">
        <v>109</v>
      </c>
      <c r="H242">
        <v>1</v>
      </c>
      <c r="I242">
        <v>4</v>
      </c>
      <c r="J242">
        <v>0</v>
      </c>
      <c r="K242">
        <v>4</v>
      </c>
      <c r="L242">
        <v>1678.6</v>
      </c>
      <c r="M242">
        <v>0</v>
      </c>
      <c r="N242">
        <v>1678.6</v>
      </c>
      <c r="O242">
        <v>436</v>
      </c>
      <c r="P242">
        <v>1242.5999999999999</v>
      </c>
      <c r="Q242">
        <v>0.74029999999999996</v>
      </c>
      <c r="R242">
        <v>1</v>
      </c>
      <c r="S242">
        <v>1678.6</v>
      </c>
      <c r="T242">
        <v>0</v>
      </c>
      <c r="U242">
        <v>1678.6</v>
      </c>
    </row>
    <row r="243" spans="1:21" x14ac:dyDescent="0.35">
      <c r="A243">
        <v>2024</v>
      </c>
      <c r="B243">
        <v>4</v>
      </c>
      <c r="C243">
        <v>2</v>
      </c>
      <c r="D243" s="1">
        <v>45383</v>
      </c>
      <c r="E243" s="4" t="s">
        <v>32</v>
      </c>
      <c r="F243" s="4" t="s">
        <v>24</v>
      </c>
      <c r="G243" s="4" t="s">
        <v>107</v>
      </c>
      <c r="H243">
        <v>44</v>
      </c>
      <c r="I243">
        <v>66</v>
      </c>
      <c r="J243">
        <v>2</v>
      </c>
      <c r="K243">
        <v>64</v>
      </c>
      <c r="L243">
        <v>94434.69</v>
      </c>
      <c r="M243">
        <v>3168</v>
      </c>
      <c r="N243">
        <v>91266.69</v>
      </c>
      <c r="O243">
        <v>52729.05</v>
      </c>
      <c r="P243">
        <v>38537.64</v>
      </c>
      <c r="Q243">
        <v>0.42230000000000001</v>
      </c>
      <c r="R243">
        <v>5</v>
      </c>
      <c r="S243">
        <v>12780.69</v>
      </c>
      <c r="T243">
        <v>0</v>
      </c>
      <c r="U243">
        <v>2074.2399999999998</v>
      </c>
    </row>
    <row r="244" spans="1:21" x14ac:dyDescent="0.35">
      <c r="A244">
        <v>2024</v>
      </c>
      <c r="B244">
        <v>4</v>
      </c>
      <c r="C244">
        <v>2</v>
      </c>
      <c r="D244" s="1">
        <v>45383</v>
      </c>
      <c r="E244" s="4" t="s">
        <v>32</v>
      </c>
      <c r="F244" s="4" t="s">
        <v>24</v>
      </c>
      <c r="G244" s="4" t="s">
        <v>109</v>
      </c>
      <c r="H244">
        <v>166</v>
      </c>
      <c r="I244">
        <v>275</v>
      </c>
      <c r="J244">
        <v>13</v>
      </c>
      <c r="K244">
        <v>262</v>
      </c>
      <c r="L244">
        <v>349291.08</v>
      </c>
      <c r="M244">
        <v>16140.84</v>
      </c>
      <c r="N244">
        <v>333150.24</v>
      </c>
      <c r="O244">
        <v>192002.8</v>
      </c>
      <c r="P244">
        <v>141147.44</v>
      </c>
      <c r="Q244">
        <v>0.42370000000000002</v>
      </c>
      <c r="R244">
        <v>29</v>
      </c>
      <c r="S244">
        <v>57709.24</v>
      </c>
      <c r="T244">
        <v>0</v>
      </c>
      <c r="U244">
        <v>2006.93</v>
      </c>
    </row>
    <row r="245" spans="1:21" x14ac:dyDescent="0.35">
      <c r="A245">
        <v>2024</v>
      </c>
      <c r="B245">
        <v>4</v>
      </c>
      <c r="C245">
        <v>2</v>
      </c>
      <c r="D245" s="1">
        <v>45383</v>
      </c>
      <c r="E245" s="4" t="s">
        <v>32</v>
      </c>
      <c r="F245" s="4" t="s">
        <v>26</v>
      </c>
      <c r="G245" s="4" t="s">
        <v>107</v>
      </c>
      <c r="H245">
        <v>1</v>
      </c>
      <c r="I245">
        <v>3</v>
      </c>
      <c r="J245">
        <v>0</v>
      </c>
      <c r="K245">
        <v>3</v>
      </c>
      <c r="L245">
        <v>2382</v>
      </c>
      <c r="M245">
        <v>0</v>
      </c>
      <c r="N245">
        <v>2382</v>
      </c>
      <c r="O245">
        <v>1429.2</v>
      </c>
      <c r="P245">
        <v>952.8</v>
      </c>
      <c r="Q245">
        <v>0.4</v>
      </c>
      <c r="R245">
        <v>0</v>
      </c>
      <c r="S245">
        <v>0</v>
      </c>
      <c r="T245">
        <v>0</v>
      </c>
      <c r="U245">
        <v>2382</v>
      </c>
    </row>
    <row r="246" spans="1:21" x14ac:dyDescent="0.35">
      <c r="A246">
        <v>2024</v>
      </c>
      <c r="B246">
        <v>4</v>
      </c>
      <c r="C246">
        <v>2</v>
      </c>
      <c r="D246" s="1">
        <v>45383</v>
      </c>
      <c r="E246" s="4" t="s">
        <v>32</v>
      </c>
      <c r="F246" s="4" t="s">
        <v>26</v>
      </c>
      <c r="G246" s="4" t="s">
        <v>108</v>
      </c>
      <c r="H246">
        <v>4</v>
      </c>
      <c r="I246">
        <v>4</v>
      </c>
      <c r="J246">
        <v>1</v>
      </c>
      <c r="K246">
        <v>3</v>
      </c>
      <c r="L246">
        <v>1260</v>
      </c>
      <c r="M246">
        <v>315</v>
      </c>
      <c r="N246">
        <v>945</v>
      </c>
      <c r="O246">
        <v>567</v>
      </c>
      <c r="P246">
        <v>378</v>
      </c>
      <c r="Q246">
        <v>0.4</v>
      </c>
      <c r="R246">
        <v>0</v>
      </c>
      <c r="S246">
        <v>0</v>
      </c>
      <c r="T246">
        <v>0</v>
      </c>
      <c r="U246">
        <v>236.25</v>
      </c>
    </row>
    <row r="247" spans="1:21" x14ac:dyDescent="0.35">
      <c r="A247">
        <v>2024</v>
      </c>
      <c r="B247">
        <v>4</v>
      </c>
      <c r="C247">
        <v>2</v>
      </c>
      <c r="D247" s="1">
        <v>45383</v>
      </c>
      <c r="E247" s="4" t="s">
        <v>32</v>
      </c>
      <c r="F247" s="4" t="s">
        <v>26</v>
      </c>
      <c r="G247" s="4" t="s">
        <v>109</v>
      </c>
      <c r="H247">
        <v>35</v>
      </c>
      <c r="I247">
        <v>56</v>
      </c>
      <c r="J247">
        <v>1</v>
      </c>
      <c r="K247">
        <v>55</v>
      </c>
      <c r="L247">
        <v>40121.89</v>
      </c>
      <c r="M247">
        <v>351.89</v>
      </c>
      <c r="N247">
        <v>39770</v>
      </c>
      <c r="O247">
        <v>25800</v>
      </c>
      <c r="P247">
        <v>13970</v>
      </c>
      <c r="Q247">
        <v>0.3513</v>
      </c>
      <c r="R247">
        <v>10</v>
      </c>
      <c r="S247">
        <v>14087</v>
      </c>
      <c r="T247">
        <v>0</v>
      </c>
      <c r="U247">
        <v>1136.29</v>
      </c>
    </row>
    <row r="248" spans="1:21" x14ac:dyDescent="0.35">
      <c r="A248">
        <v>2024</v>
      </c>
      <c r="B248">
        <v>4</v>
      </c>
      <c r="C248">
        <v>2</v>
      </c>
      <c r="D248" s="1">
        <v>45383</v>
      </c>
      <c r="E248" s="4" t="s">
        <v>27</v>
      </c>
      <c r="F248" s="4" t="s">
        <v>28</v>
      </c>
      <c r="G248" s="4" t="s">
        <v>107</v>
      </c>
      <c r="H248">
        <v>222</v>
      </c>
      <c r="I248">
        <v>349</v>
      </c>
      <c r="J248">
        <v>0</v>
      </c>
      <c r="K248">
        <v>349</v>
      </c>
      <c r="L248">
        <v>156019.96</v>
      </c>
      <c r="M248">
        <v>0</v>
      </c>
      <c r="N248">
        <v>156019.96</v>
      </c>
      <c r="O248">
        <v>56512.05</v>
      </c>
      <c r="P248">
        <v>99507.91</v>
      </c>
      <c r="Q248">
        <v>0.63780000000000003</v>
      </c>
      <c r="R248">
        <v>26</v>
      </c>
      <c r="S248">
        <v>19850.96</v>
      </c>
      <c r="T248">
        <v>0</v>
      </c>
      <c r="U248">
        <v>702.79</v>
      </c>
    </row>
    <row r="249" spans="1:21" x14ac:dyDescent="0.35">
      <c r="A249">
        <v>2024</v>
      </c>
      <c r="B249">
        <v>4</v>
      </c>
      <c r="C249">
        <v>2</v>
      </c>
      <c r="D249" s="1">
        <v>45383</v>
      </c>
      <c r="E249" s="4" t="s">
        <v>27</v>
      </c>
      <c r="F249" s="4" t="s">
        <v>28</v>
      </c>
      <c r="G249" s="4" t="s">
        <v>109</v>
      </c>
      <c r="H249">
        <v>686</v>
      </c>
      <c r="I249">
        <v>1043</v>
      </c>
      <c r="J249">
        <v>0</v>
      </c>
      <c r="K249">
        <v>1043</v>
      </c>
      <c r="L249">
        <v>561613.31000000006</v>
      </c>
      <c r="M249">
        <v>0</v>
      </c>
      <c r="N249">
        <v>561613.31000000006</v>
      </c>
      <c r="O249">
        <v>203181.65</v>
      </c>
      <c r="P249">
        <v>358431.66</v>
      </c>
      <c r="Q249">
        <v>0.63819999999999999</v>
      </c>
      <c r="R249">
        <v>83</v>
      </c>
      <c r="S249">
        <v>77517.37</v>
      </c>
      <c r="T249">
        <v>0</v>
      </c>
      <c r="U249">
        <v>818.68</v>
      </c>
    </row>
    <row r="250" spans="1:21" x14ac:dyDescent="0.35">
      <c r="A250">
        <v>2024</v>
      </c>
      <c r="B250">
        <v>4</v>
      </c>
      <c r="C250">
        <v>2</v>
      </c>
      <c r="D250" s="1">
        <v>45383</v>
      </c>
      <c r="E250" s="4" t="s">
        <v>27</v>
      </c>
      <c r="F250" s="4" t="s">
        <v>35</v>
      </c>
      <c r="G250" s="4" t="s">
        <v>109</v>
      </c>
      <c r="H250">
        <v>1</v>
      </c>
      <c r="I250">
        <v>1</v>
      </c>
      <c r="J250">
        <v>0</v>
      </c>
      <c r="K250">
        <v>1</v>
      </c>
      <c r="L250">
        <v>268</v>
      </c>
      <c r="M250">
        <v>0</v>
      </c>
      <c r="N250">
        <v>268</v>
      </c>
      <c r="O250">
        <v>53.6</v>
      </c>
      <c r="P250">
        <v>214.4</v>
      </c>
      <c r="Q250">
        <v>0.8</v>
      </c>
      <c r="R250">
        <v>0</v>
      </c>
      <c r="S250">
        <v>0</v>
      </c>
      <c r="T250">
        <v>0</v>
      </c>
      <c r="U250">
        <v>268</v>
      </c>
    </row>
    <row r="251" spans="1:21" x14ac:dyDescent="0.35">
      <c r="A251">
        <v>2024</v>
      </c>
      <c r="B251">
        <v>4</v>
      </c>
      <c r="C251">
        <v>2</v>
      </c>
      <c r="D251" s="1">
        <v>45383</v>
      </c>
      <c r="E251" s="4" t="s">
        <v>27</v>
      </c>
      <c r="F251" s="4" t="s">
        <v>24</v>
      </c>
      <c r="G251" s="4" t="s">
        <v>107</v>
      </c>
      <c r="H251">
        <v>43</v>
      </c>
      <c r="I251">
        <v>69</v>
      </c>
      <c r="J251">
        <v>1</v>
      </c>
      <c r="K251">
        <v>68</v>
      </c>
      <c r="L251">
        <v>134666.62</v>
      </c>
      <c r="M251">
        <v>2001.72</v>
      </c>
      <c r="N251">
        <v>132664.9</v>
      </c>
      <c r="O251">
        <v>73850.149999999994</v>
      </c>
      <c r="P251">
        <v>58814.75</v>
      </c>
      <c r="Q251">
        <v>0.44330000000000003</v>
      </c>
      <c r="R251">
        <v>4</v>
      </c>
      <c r="S251">
        <v>13534.9</v>
      </c>
      <c r="T251">
        <v>0</v>
      </c>
      <c r="U251">
        <v>3085.23</v>
      </c>
    </row>
    <row r="252" spans="1:21" x14ac:dyDescent="0.35">
      <c r="A252">
        <v>2024</v>
      </c>
      <c r="B252">
        <v>4</v>
      </c>
      <c r="C252">
        <v>2</v>
      </c>
      <c r="D252" s="1">
        <v>45383</v>
      </c>
      <c r="E252" s="4" t="s">
        <v>27</v>
      </c>
      <c r="F252" s="4" t="s">
        <v>24</v>
      </c>
      <c r="G252" s="4" t="s">
        <v>109</v>
      </c>
      <c r="H252">
        <v>256</v>
      </c>
      <c r="I252">
        <v>408</v>
      </c>
      <c r="J252">
        <v>2</v>
      </c>
      <c r="K252">
        <v>406</v>
      </c>
      <c r="L252">
        <v>681039.79</v>
      </c>
      <c r="M252">
        <v>3570.54</v>
      </c>
      <c r="N252">
        <v>677469.25</v>
      </c>
      <c r="O252">
        <v>384586.95</v>
      </c>
      <c r="P252">
        <v>292882.3</v>
      </c>
      <c r="Q252">
        <v>0.43230000000000002</v>
      </c>
      <c r="R252">
        <v>33</v>
      </c>
      <c r="S252">
        <v>95406.25</v>
      </c>
      <c r="T252">
        <v>0</v>
      </c>
      <c r="U252">
        <v>2646.36</v>
      </c>
    </row>
    <row r="253" spans="1:21" x14ac:dyDescent="0.35">
      <c r="A253">
        <v>2024</v>
      </c>
      <c r="B253">
        <v>4</v>
      </c>
      <c r="C253">
        <v>2</v>
      </c>
      <c r="D253" s="1">
        <v>45383</v>
      </c>
      <c r="E253" s="4" t="s">
        <v>27</v>
      </c>
      <c r="F253" s="4" t="s">
        <v>26</v>
      </c>
      <c r="G253" s="4" t="s">
        <v>107</v>
      </c>
      <c r="H253">
        <v>9</v>
      </c>
      <c r="I253">
        <v>17</v>
      </c>
      <c r="J253">
        <v>0</v>
      </c>
      <c r="K253">
        <v>17</v>
      </c>
      <c r="L253">
        <v>15730.2</v>
      </c>
      <c r="M253">
        <v>0</v>
      </c>
      <c r="N253">
        <v>15730.2</v>
      </c>
      <c r="O253">
        <v>10262.4</v>
      </c>
      <c r="P253">
        <v>5467.8</v>
      </c>
      <c r="Q253">
        <v>0.34760000000000002</v>
      </c>
      <c r="R253">
        <v>2</v>
      </c>
      <c r="S253">
        <v>5186.2</v>
      </c>
      <c r="T253">
        <v>0</v>
      </c>
      <c r="U253">
        <v>1747.8</v>
      </c>
    </row>
    <row r="254" spans="1:21" x14ac:dyDescent="0.35">
      <c r="A254">
        <v>2024</v>
      </c>
      <c r="B254">
        <v>4</v>
      </c>
      <c r="C254">
        <v>2</v>
      </c>
      <c r="D254" s="1">
        <v>45383</v>
      </c>
      <c r="E254" s="4" t="s">
        <v>27</v>
      </c>
      <c r="F254" s="4" t="s">
        <v>26</v>
      </c>
      <c r="G254" s="4" t="s">
        <v>109</v>
      </c>
      <c r="H254">
        <v>35</v>
      </c>
      <c r="I254">
        <v>55</v>
      </c>
      <c r="J254">
        <v>3</v>
      </c>
      <c r="K254">
        <v>52</v>
      </c>
      <c r="L254">
        <v>35034.269999999997</v>
      </c>
      <c r="M254">
        <v>2424</v>
      </c>
      <c r="N254">
        <v>32610.27</v>
      </c>
      <c r="O254">
        <v>20160</v>
      </c>
      <c r="P254">
        <v>12450.27</v>
      </c>
      <c r="Q254">
        <v>0.38179999999999997</v>
      </c>
      <c r="R254">
        <v>5</v>
      </c>
      <c r="S254">
        <v>3147.27</v>
      </c>
      <c r="T254">
        <v>0</v>
      </c>
      <c r="U254">
        <v>931.72</v>
      </c>
    </row>
    <row r="255" spans="1:21" x14ac:dyDescent="0.35">
      <c r="A255">
        <v>2024</v>
      </c>
      <c r="B255">
        <v>4</v>
      </c>
      <c r="C255">
        <v>2</v>
      </c>
      <c r="D255" s="1">
        <v>45383</v>
      </c>
      <c r="E255" s="4" t="s">
        <v>34</v>
      </c>
      <c r="F255" s="4" t="s">
        <v>28</v>
      </c>
      <c r="G255" s="4" t="s">
        <v>107</v>
      </c>
      <c r="H255">
        <v>132</v>
      </c>
      <c r="I255">
        <v>182</v>
      </c>
      <c r="J255">
        <v>0</v>
      </c>
      <c r="K255">
        <v>182</v>
      </c>
      <c r="L255">
        <v>120464.9</v>
      </c>
      <c r="M255">
        <v>0</v>
      </c>
      <c r="N255">
        <v>120464.9</v>
      </c>
      <c r="O255">
        <v>43243.9</v>
      </c>
      <c r="P255">
        <v>77221</v>
      </c>
      <c r="Q255">
        <v>0.64100000000000001</v>
      </c>
      <c r="R255">
        <v>12</v>
      </c>
      <c r="S255">
        <v>14298.9</v>
      </c>
      <c r="T255">
        <v>0</v>
      </c>
      <c r="U255">
        <v>912.61</v>
      </c>
    </row>
    <row r="256" spans="1:21" x14ac:dyDescent="0.35">
      <c r="A256">
        <v>2024</v>
      </c>
      <c r="B256">
        <v>4</v>
      </c>
      <c r="C256">
        <v>2</v>
      </c>
      <c r="D256" s="1">
        <v>45383</v>
      </c>
      <c r="E256" s="4" t="s">
        <v>34</v>
      </c>
      <c r="F256" s="4" t="s">
        <v>28</v>
      </c>
      <c r="G256" s="4" t="s">
        <v>108</v>
      </c>
      <c r="H256">
        <v>46</v>
      </c>
      <c r="I256">
        <v>70</v>
      </c>
      <c r="J256">
        <v>0</v>
      </c>
      <c r="K256">
        <v>70</v>
      </c>
      <c r="L256">
        <v>29641.08</v>
      </c>
      <c r="M256">
        <v>0</v>
      </c>
      <c r="N256">
        <v>29641.08</v>
      </c>
      <c r="O256">
        <v>10437</v>
      </c>
      <c r="P256">
        <v>19204.080000000002</v>
      </c>
      <c r="Q256">
        <v>0.64790000000000003</v>
      </c>
      <c r="R256">
        <v>1</v>
      </c>
      <c r="S256">
        <v>1099.08</v>
      </c>
      <c r="T256">
        <v>0</v>
      </c>
      <c r="U256">
        <v>644.37</v>
      </c>
    </row>
    <row r="257" spans="1:21" x14ac:dyDescent="0.35">
      <c r="A257">
        <v>2024</v>
      </c>
      <c r="B257">
        <v>4</v>
      </c>
      <c r="C257">
        <v>2</v>
      </c>
      <c r="D257" s="1">
        <v>45383</v>
      </c>
      <c r="E257" s="4" t="s">
        <v>34</v>
      </c>
      <c r="F257" s="4" t="s">
        <v>28</v>
      </c>
      <c r="G257" s="4" t="s">
        <v>109</v>
      </c>
      <c r="H257">
        <v>579</v>
      </c>
      <c r="I257">
        <v>889</v>
      </c>
      <c r="J257">
        <v>0</v>
      </c>
      <c r="K257">
        <v>889</v>
      </c>
      <c r="L257">
        <v>443711.64</v>
      </c>
      <c r="M257">
        <v>0</v>
      </c>
      <c r="N257">
        <v>443711.64</v>
      </c>
      <c r="O257">
        <v>161324.1</v>
      </c>
      <c r="P257">
        <v>282387.53999999998</v>
      </c>
      <c r="Q257">
        <v>0.63639999999999997</v>
      </c>
      <c r="R257">
        <v>73</v>
      </c>
      <c r="S257">
        <v>66381.149999999994</v>
      </c>
      <c r="T257">
        <v>0</v>
      </c>
      <c r="U257">
        <v>766.34</v>
      </c>
    </row>
    <row r="258" spans="1:21" x14ac:dyDescent="0.35">
      <c r="A258">
        <v>2024</v>
      </c>
      <c r="B258">
        <v>4</v>
      </c>
      <c r="C258">
        <v>2</v>
      </c>
      <c r="D258" s="1">
        <v>45383</v>
      </c>
      <c r="E258" s="4" t="s">
        <v>34</v>
      </c>
      <c r="F258" s="4" t="s">
        <v>24</v>
      </c>
      <c r="G258" s="4" t="s">
        <v>107</v>
      </c>
      <c r="H258">
        <v>74</v>
      </c>
      <c r="I258">
        <v>105</v>
      </c>
      <c r="J258">
        <v>1</v>
      </c>
      <c r="K258">
        <v>104</v>
      </c>
      <c r="L258">
        <v>187242.47</v>
      </c>
      <c r="M258">
        <v>2157</v>
      </c>
      <c r="N258">
        <v>185085.47</v>
      </c>
      <c r="O258">
        <v>105008.75</v>
      </c>
      <c r="P258">
        <v>80076.72</v>
      </c>
      <c r="Q258">
        <v>0.43259999999999998</v>
      </c>
      <c r="R258">
        <v>8</v>
      </c>
      <c r="S258">
        <v>19131.47</v>
      </c>
      <c r="T258">
        <v>0</v>
      </c>
      <c r="U258">
        <v>2501.16</v>
      </c>
    </row>
    <row r="259" spans="1:21" x14ac:dyDescent="0.35">
      <c r="A259">
        <v>2024</v>
      </c>
      <c r="B259">
        <v>4</v>
      </c>
      <c r="C259">
        <v>2</v>
      </c>
      <c r="D259" s="1">
        <v>45383</v>
      </c>
      <c r="E259" s="4" t="s">
        <v>34</v>
      </c>
      <c r="F259" s="4" t="s">
        <v>24</v>
      </c>
      <c r="G259" s="4" t="s">
        <v>108</v>
      </c>
      <c r="H259">
        <v>10</v>
      </c>
      <c r="I259">
        <v>14</v>
      </c>
      <c r="J259">
        <v>0</v>
      </c>
      <c r="K259">
        <v>14</v>
      </c>
      <c r="L259">
        <v>18368.28</v>
      </c>
      <c r="M259">
        <v>0</v>
      </c>
      <c r="N259">
        <v>18368.28</v>
      </c>
      <c r="O259">
        <v>10618.3</v>
      </c>
      <c r="P259">
        <v>7749.98</v>
      </c>
      <c r="Q259">
        <v>0.4219</v>
      </c>
      <c r="R259">
        <v>1</v>
      </c>
      <c r="S259">
        <v>1820.28</v>
      </c>
      <c r="T259">
        <v>0</v>
      </c>
      <c r="U259">
        <v>1836.83</v>
      </c>
    </row>
    <row r="260" spans="1:21" x14ac:dyDescent="0.35">
      <c r="A260">
        <v>2024</v>
      </c>
      <c r="B260">
        <v>4</v>
      </c>
      <c r="C260">
        <v>2</v>
      </c>
      <c r="D260" s="1">
        <v>45383</v>
      </c>
      <c r="E260" s="4" t="s">
        <v>34</v>
      </c>
      <c r="F260" s="4" t="s">
        <v>24</v>
      </c>
      <c r="G260" s="4" t="s">
        <v>109</v>
      </c>
      <c r="H260">
        <v>164</v>
      </c>
      <c r="I260">
        <v>265</v>
      </c>
      <c r="J260">
        <v>3</v>
      </c>
      <c r="K260">
        <v>262</v>
      </c>
      <c r="L260">
        <v>439308.43</v>
      </c>
      <c r="M260">
        <v>3274.5</v>
      </c>
      <c r="N260">
        <v>436033.93</v>
      </c>
      <c r="O260">
        <v>246787.75</v>
      </c>
      <c r="P260">
        <v>189246.18</v>
      </c>
      <c r="Q260">
        <v>0.434</v>
      </c>
      <c r="R260">
        <v>16</v>
      </c>
      <c r="S260">
        <v>57042.93</v>
      </c>
      <c r="T260">
        <v>0</v>
      </c>
      <c r="U260">
        <v>2658.74</v>
      </c>
    </row>
    <row r="261" spans="1:21" x14ac:dyDescent="0.35">
      <c r="A261">
        <v>2024</v>
      </c>
      <c r="B261">
        <v>4</v>
      </c>
      <c r="C261">
        <v>2</v>
      </c>
      <c r="D261" s="1">
        <v>45383</v>
      </c>
      <c r="E261" s="4" t="s">
        <v>34</v>
      </c>
      <c r="F261" s="4" t="s">
        <v>26</v>
      </c>
      <c r="G261" s="4" t="s">
        <v>107</v>
      </c>
      <c r="H261">
        <v>5</v>
      </c>
      <c r="I261">
        <v>12</v>
      </c>
      <c r="J261">
        <v>0</v>
      </c>
      <c r="K261">
        <v>12</v>
      </c>
      <c r="L261">
        <v>5718.62</v>
      </c>
      <c r="M261">
        <v>0</v>
      </c>
      <c r="N261">
        <v>5718.62</v>
      </c>
      <c r="O261">
        <v>3828</v>
      </c>
      <c r="P261">
        <v>1890.62</v>
      </c>
      <c r="Q261">
        <v>0.3306</v>
      </c>
      <c r="R261">
        <v>2</v>
      </c>
      <c r="S261">
        <v>3404.62</v>
      </c>
      <c r="T261">
        <v>0</v>
      </c>
      <c r="U261">
        <v>1143.72</v>
      </c>
    </row>
    <row r="262" spans="1:21" x14ac:dyDescent="0.35">
      <c r="A262">
        <v>2024</v>
      </c>
      <c r="B262">
        <v>4</v>
      </c>
      <c r="C262">
        <v>2</v>
      </c>
      <c r="D262" s="1">
        <v>45383</v>
      </c>
      <c r="E262" s="4" t="s">
        <v>34</v>
      </c>
      <c r="F262" s="4" t="s">
        <v>26</v>
      </c>
      <c r="G262" s="4" t="s">
        <v>108</v>
      </c>
      <c r="H262">
        <v>5</v>
      </c>
      <c r="I262">
        <v>9</v>
      </c>
      <c r="J262">
        <v>0</v>
      </c>
      <c r="K262">
        <v>9</v>
      </c>
      <c r="L262">
        <v>5399</v>
      </c>
      <c r="M262">
        <v>0</v>
      </c>
      <c r="N262">
        <v>5399</v>
      </c>
      <c r="O262">
        <v>3239.4</v>
      </c>
      <c r="P262">
        <v>2159.6</v>
      </c>
      <c r="Q262">
        <v>0.4</v>
      </c>
      <c r="R262">
        <v>0</v>
      </c>
      <c r="S262">
        <v>0</v>
      </c>
      <c r="T262">
        <v>0</v>
      </c>
      <c r="U262">
        <v>1079.8</v>
      </c>
    </row>
    <row r="263" spans="1:21" x14ac:dyDescent="0.35">
      <c r="A263">
        <v>2024</v>
      </c>
      <c r="B263">
        <v>4</v>
      </c>
      <c r="C263">
        <v>2</v>
      </c>
      <c r="D263" s="1">
        <v>45383</v>
      </c>
      <c r="E263" s="4" t="s">
        <v>34</v>
      </c>
      <c r="F263" s="4" t="s">
        <v>26</v>
      </c>
      <c r="G263" s="4" t="s">
        <v>109</v>
      </c>
      <c r="H263">
        <v>46</v>
      </c>
      <c r="I263">
        <v>63</v>
      </c>
      <c r="J263">
        <v>0</v>
      </c>
      <c r="K263">
        <v>63</v>
      </c>
      <c r="L263">
        <v>44583.44</v>
      </c>
      <c r="M263">
        <v>0</v>
      </c>
      <c r="N263">
        <v>44583.44</v>
      </c>
      <c r="O263">
        <v>27197.4</v>
      </c>
      <c r="P263">
        <v>17386.04</v>
      </c>
      <c r="Q263">
        <v>0.39</v>
      </c>
      <c r="R263">
        <v>2</v>
      </c>
      <c r="S263">
        <v>1724.44</v>
      </c>
      <c r="T263">
        <v>0</v>
      </c>
      <c r="U263">
        <v>969.21</v>
      </c>
    </row>
    <row r="264" spans="1:21" x14ac:dyDescent="0.35">
      <c r="A264">
        <v>2024</v>
      </c>
      <c r="B264">
        <v>4</v>
      </c>
      <c r="C264">
        <v>2</v>
      </c>
      <c r="D264" s="1">
        <v>45383</v>
      </c>
      <c r="E264" s="4" t="s">
        <v>36</v>
      </c>
      <c r="F264" s="4" t="s">
        <v>28</v>
      </c>
      <c r="G264" s="4" t="s">
        <v>107</v>
      </c>
      <c r="H264">
        <v>70</v>
      </c>
      <c r="I264">
        <v>98</v>
      </c>
      <c r="J264">
        <v>0</v>
      </c>
      <c r="K264">
        <v>98</v>
      </c>
      <c r="L264">
        <v>61701.37</v>
      </c>
      <c r="M264">
        <v>0</v>
      </c>
      <c r="N264">
        <v>61701.37</v>
      </c>
      <c r="O264">
        <v>22239.7</v>
      </c>
      <c r="P264">
        <v>39461.67</v>
      </c>
      <c r="Q264">
        <v>0.63959999999999995</v>
      </c>
      <c r="R264">
        <v>7</v>
      </c>
      <c r="S264">
        <v>6814.37</v>
      </c>
      <c r="T264">
        <v>0</v>
      </c>
      <c r="U264">
        <v>881.45</v>
      </c>
    </row>
    <row r="265" spans="1:21" x14ac:dyDescent="0.35">
      <c r="A265">
        <v>2024</v>
      </c>
      <c r="B265">
        <v>4</v>
      </c>
      <c r="C265">
        <v>2</v>
      </c>
      <c r="D265" s="1">
        <v>45383</v>
      </c>
      <c r="E265" s="4" t="s">
        <v>36</v>
      </c>
      <c r="F265" s="4" t="s">
        <v>28</v>
      </c>
      <c r="G265" s="4" t="s">
        <v>108</v>
      </c>
      <c r="H265">
        <v>128</v>
      </c>
      <c r="I265">
        <v>186</v>
      </c>
      <c r="J265">
        <v>0</v>
      </c>
      <c r="K265">
        <v>186</v>
      </c>
      <c r="L265">
        <v>61322.66</v>
      </c>
      <c r="M265">
        <v>0</v>
      </c>
      <c r="N265">
        <v>61322.66</v>
      </c>
      <c r="O265">
        <v>21828.1</v>
      </c>
      <c r="P265">
        <v>39494.559999999998</v>
      </c>
      <c r="Q265">
        <v>0.64400000000000002</v>
      </c>
      <c r="R265">
        <v>9</v>
      </c>
      <c r="S265">
        <v>3543.54</v>
      </c>
      <c r="T265">
        <v>0</v>
      </c>
      <c r="U265">
        <v>479.08</v>
      </c>
    </row>
    <row r="266" spans="1:21" x14ac:dyDescent="0.35">
      <c r="A266">
        <v>2024</v>
      </c>
      <c r="B266">
        <v>4</v>
      </c>
      <c r="C266">
        <v>2</v>
      </c>
      <c r="D266" s="1">
        <v>45383</v>
      </c>
      <c r="E266" s="4" t="s">
        <v>36</v>
      </c>
      <c r="F266" s="4" t="s">
        <v>28</v>
      </c>
      <c r="G266" s="4" t="s">
        <v>109</v>
      </c>
      <c r="H266">
        <v>633</v>
      </c>
      <c r="I266">
        <v>981</v>
      </c>
      <c r="J266">
        <v>0</v>
      </c>
      <c r="K266">
        <v>981</v>
      </c>
      <c r="L266">
        <v>474874.85</v>
      </c>
      <c r="M266">
        <v>0</v>
      </c>
      <c r="N266">
        <v>474874.85</v>
      </c>
      <c r="O266">
        <v>172097.8</v>
      </c>
      <c r="P266">
        <v>302777.05</v>
      </c>
      <c r="Q266">
        <v>0.63759999999999994</v>
      </c>
      <c r="R266">
        <v>88</v>
      </c>
      <c r="S266">
        <v>78944.850000000006</v>
      </c>
      <c r="T266">
        <v>0</v>
      </c>
      <c r="U266">
        <v>750.2</v>
      </c>
    </row>
    <row r="267" spans="1:21" x14ac:dyDescent="0.35">
      <c r="A267">
        <v>2024</v>
      </c>
      <c r="B267">
        <v>4</v>
      </c>
      <c r="C267">
        <v>2</v>
      </c>
      <c r="D267" s="1">
        <v>45383</v>
      </c>
      <c r="E267" s="4" t="s">
        <v>36</v>
      </c>
      <c r="F267" s="4" t="s">
        <v>24</v>
      </c>
      <c r="G267" s="4" t="s">
        <v>107</v>
      </c>
      <c r="H267">
        <v>42</v>
      </c>
      <c r="I267">
        <v>58</v>
      </c>
      <c r="J267">
        <v>0</v>
      </c>
      <c r="K267">
        <v>58</v>
      </c>
      <c r="L267">
        <v>72897</v>
      </c>
      <c r="M267">
        <v>0</v>
      </c>
      <c r="N267">
        <v>72897</v>
      </c>
      <c r="O267">
        <v>41500.800000000003</v>
      </c>
      <c r="P267">
        <v>31396.2</v>
      </c>
      <c r="Q267">
        <v>0.43070000000000003</v>
      </c>
      <c r="R267">
        <v>5</v>
      </c>
      <c r="S267">
        <v>10497</v>
      </c>
      <c r="T267">
        <v>0</v>
      </c>
      <c r="U267">
        <v>1735.64</v>
      </c>
    </row>
    <row r="268" spans="1:21" x14ac:dyDescent="0.35">
      <c r="A268">
        <v>2024</v>
      </c>
      <c r="B268">
        <v>4</v>
      </c>
      <c r="C268">
        <v>2</v>
      </c>
      <c r="D268" s="1">
        <v>45383</v>
      </c>
      <c r="E268" s="4" t="s">
        <v>36</v>
      </c>
      <c r="F268" s="4" t="s">
        <v>24</v>
      </c>
      <c r="G268" s="4" t="s">
        <v>108</v>
      </c>
      <c r="H268">
        <v>25</v>
      </c>
      <c r="I268">
        <v>28</v>
      </c>
      <c r="J268">
        <v>0</v>
      </c>
      <c r="K268">
        <v>28</v>
      </c>
      <c r="L268">
        <v>47404</v>
      </c>
      <c r="M268">
        <v>0</v>
      </c>
      <c r="N268">
        <v>47404</v>
      </c>
      <c r="O268">
        <v>26793.8</v>
      </c>
      <c r="P268">
        <v>20610.2</v>
      </c>
      <c r="Q268">
        <v>0.43480000000000002</v>
      </c>
      <c r="R268">
        <v>4</v>
      </c>
      <c r="S268">
        <v>6688</v>
      </c>
      <c r="T268">
        <v>0</v>
      </c>
      <c r="U268">
        <v>1896.16</v>
      </c>
    </row>
    <row r="269" spans="1:21" x14ac:dyDescent="0.35">
      <c r="A269">
        <v>2024</v>
      </c>
      <c r="B269">
        <v>4</v>
      </c>
      <c r="C269">
        <v>2</v>
      </c>
      <c r="D269" s="1">
        <v>45383</v>
      </c>
      <c r="E269" s="4" t="s">
        <v>36</v>
      </c>
      <c r="F269" s="4" t="s">
        <v>24</v>
      </c>
      <c r="G269" s="4" t="s">
        <v>109</v>
      </c>
      <c r="H269">
        <v>126</v>
      </c>
      <c r="I269">
        <v>201</v>
      </c>
      <c r="J269">
        <v>11</v>
      </c>
      <c r="K269">
        <v>190</v>
      </c>
      <c r="L269">
        <v>315302.98</v>
      </c>
      <c r="M269">
        <v>16884</v>
      </c>
      <c r="N269">
        <v>298418.98</v>
      </c>
      <c r="O269">
        <v>171441.05</v>
      </c>
      <c r="P269">
        <v>126977.93</v>
      </c>
      <c r="Q269">
        <v>0.42549999999999999</v>
      </c>
      <c r="R269">
        <v>15</v>
      </c>
      <c r="S269">
        <v>46440.98</v>
      </c>
      <c r="T269">
        <v>0</v>
      </c>
      <c r="U269">
        <v>2368.4</v>
      </c>
    </row>
    <row r="270" spans="1:21" x14ac:dyDescent="0.35">
      <c r="A270">
        <v>2024</v>
      </c>
      <c r="B270">
        <v>4</v>
      </c>
      <c r="C270">
        <v>2</v>
      </c>
      <c r="D270" s="1">
        <v>45383</v>
      </c>
      <c r="E270" s="4" t="s">
        <v>36</v>
      </c>
      <c r="F270" s="4" t="s">
        <v>26</v>
      </c>
      <c r="G270" s="4" t="s">
        <v>109</v>
      </c>
      <c r="H270">
        <v>45</v>
      </c>
      <c r="I270">
        <v>79</v>
      </c>
      <c r="J270">
        <v>10</v>
      </c>
      <c r="K270">
        <v>69</v>
      </c>
      <c r="L270">
        <v>66014.84</v>
      </c>
      <c r="M270">
        <v>8201</v>
      </c>
      <c r="N270">
        <v>57813.84</v>
      </c>
      <c r="O270">
        <v>37354.800000000003</v>
      </c>
      <c r="P270">
        <v>20459.04</v>
      </c>
      <c r="Q270">
        <v>0.35389999999999999</v>
      </c>
      <c r="R270">
        <v>8</v>
      </c>
      <c r="S270">
        <v>12810.84</v>
      </c>
      <c r="T270">
        <v>0</v>
      </c>
      <c r="U270">
        <v>1284.75</v>
      </c>
    </row>
    <row r="271" spans="1:21" x14ac:dyDescent="0.35">
      <c r="A271">
        <v>2024</v>
      </c>
      <c r="B271">
        <v>4</v>
      </c>
      <c r="C271">
        <v>2</v>
      </c>
      <c r="D271" s="1">
        <v>45383</v>
      </c>
      <c r="E271" s="4" t="s">
        <v>23</v>
      </c>
      <c r="F271" s="4" t="s">
        <v>28</v>
      </c>
      <c r="G271" s="4" t="s">
        <v>107</v>
      </c>
      <c r="H271">
        <v>109</v>
      </c>
      <c r="I271">
        <v>172</v>
      </c>
      <c r="J271">
        <v>0</v>
      </c>
      <c r="K271">
        <v>172</v>
      </c>
      <c r="L271">
        <v>56070.82</v>
      </c>
      <c r="M271">
        <v>0</v>
      </c>
      <c r="N271">
        <v>56070.82</v>
      </c>
      <c r="O271">
        <v>20347.599999999999</v>
      </c>
      <c r="P271">
        <v>35723.22</v>
      </c>
      <c r="Q271">
        <v>0.6371</v>
      </c>
      <c r="R271">
        <v>13</v>
      </c>
      <c r="S271">
        <v>7736.82</v>
      </c>
      <c r="T271">
        <v>0</v>
      </c>
      <c r="U271">
        <v>514.41</v>
      </c>
    </row>
    <row r="272" spans="1:21" x14ac:dyDescent="0.35">
      <c r="A272">
        <v>2024</v>
      </c>
      <c r="B272">
        <v>4</v>
      </c>
      <c r="C272">
        <v>2</v>
      </c>
      <c r="D272" s="1">
        <v>45383</v>
      </c>
      <c r="E272" s="4" t="s">
        <v>23</v>
      </c>
      <c r="F272" s="4" t="s">
        <v>28</v>
      </c>
      <c r="G272" s="4" t="s">
        <v>108</v>
      </c>
      <c r="H272">
        <v>30</v>
      </c>
      <c r="I272">
        <v>39</v>
      </c>
      <c r="J272">
        <v>0</v>
      </c>
      <c r="K272">
        <v>39</v>
      </c>
      <c r="L272">
        <v>26784.3</v>
      </c>
      <c r="M272">
        <v>0</v>
      </c>
      <c r="N272">
        <v>26784.3</v>
      </c>
      <c r="O272">
        <v>9595.9500000000007</v>
      </c>
      <c r="P272">
        <v>17188.349999999999</v>
      </c>
      <c r="Q272">
        <v>0.64170000000000005</v>
      </c>
      <c r="R272">
        <v>3</v>
      </c>
      <c r="S272">
        <v>4991.3</v>
      </c>
      <c r="T272">
        <v>0</v>
      </c>
      <c r="U272">
        <v>892.81</v>
      </c>
    </row>
    <row r="273" spans="1:21" x14ac:dyDescent="0.35">
      <c r="A273">
        <v>2024</v>
      </c>
      <c r="B273">
        <v>4</v>
      </c>
      <c r="C273">
        <v>2</v>
      </c>
      <c r="D273" s="1">
        <v>45383</v>
      </c>
      <c r="E273" s="4" t="s">
        <v>23</v>
      </c>
      <c r="F273" s="4" t="s">
        <v>28</v>
      </c>
      <c r="G273" s="4" t="s">
        <v>109</v>
      </c>
      <c r="H273">
        <v>572</v>
      </c>
      <c r="I273">
        <v>848</v>
      </c>
      <c r="J273">
        <v>0</v>
      </c>
      <c r="K273">
        <v>848</v>
      </c>
      <c r="L273">
        <v>389998.95</v>
      </c>
      <c r="M273">
        <v>0</v>
      </c>
      <c r="N273">
        <v>389998.95</v>
      </c>
      <c r="O273">
        <v>140981.75</v>
      </c>
      <c r="P273">
        <v>249017.2</v>
      </c>
      <c r="Q273">
        <v>0.63849999999999996</v>
      </c>
      <c r="R273">
        <v>62</v>
      </c>
      <c r="S273">
        <v>55027.95</v>
      </c>
      <c r="T273">
        <v>0</v>
      </c>
      <c r="U273">
        <v>681.82</v>
      </c>
    </row>
    <row r="274" spans="1:21" x14ac:dyDescent="0.35">
      <c r="A274">
        <v>2024</v>
      </c>
      <c r="B274">
        <v>4</v>
      </c>
      <c r="C274">
        <v>2</v>
      </c>
      <c r="D274" s="1">
        <v>45383</v>
      </c>
      <c r="E274" s="4" t="s">
        <v>23</v>
      </c>
      <c r="F274" s="4" t="s">
        <v>24</v>
      </c>
      <c r="G274" s="4" t="s">
        <v>107</v>
      </c>
      <c r="H274">
        <v>68</v>
      </c>
      <c r="I274">
        <v>114</v>
      </c>
      <c r="J274">
        <v>0</v>
      </c>
      <c r="K274">
        <v>114</v>
      </c>
      <c r="L274">
        <v>200790.32</v>
      </c>
      <c r="M274">
        <v>0</v>
      </c>
      <c r="N274">
        <v>200790.32</v>
      </c>
      <c r="O274">
        <v>113204.85</v>
      </c>
      <c r="P274">
        <v>87585.47</v>
      </c>
      <c r="Q274">
        <v>0.43619999999999998</v>
      </c>
      <c r="R274">
        <v>6</v>
      </c>
      <c r="S274">
        <v>33400.32</v>
      </c>
      <c r="T274">
        <v>0</v>
      </c>
      <c r="U274">
        <v>2952.8</v>
      </c>
    </row>
    <row r="275" spans="1:21" x14ac:dyDescent="0.35">
      <c r="A275">
        <v>2024</v>
      </c>
      <c r="B275">
        <v>4</v>
      </c>
      <c r="C275">
        <v>2</v>
      </c>
      <c r="D275" s="1">
        <v>45383</v>
      </c>
      <c r="E275" s="4" t="s">
        <v>23</v>
      </c>
      <c r="F275" s="4" t="s">
        <v>24</v>
      </c>
      <c r="G275" s="4" t="s">
        <v>109</v>
      </c>
      <c r="H275">
        <v>103</v>
      </c>
      <c r="I275">
        <v>164</v>
      </c>
      <c r="J275">
        <v>5</v>
      </c>
      <c r="K275">
        <v>159</v>
      </c>
      <c r="L275">
        <v>167196.32</v>
      </c>
      <c r="M275">
        <v>5592.5</v>
      </c>
      <c r="N275">
        <v>161603.82</v>
      </c>
      <c r="O275">
        <v>93174.399999999994</v>
      </c>
      <c r="P275">
        <v>68429.42</v>
      </c>
      <c r="Q275">
        <v>0.4234</v>
      </c>
      <c r="R275">
        <v>18</v>
      </c>
      <c r="S275">
        <v>33019.82</v>
      </c>
      <c r="T275">
        <v>0</v>
      </c>
      <c r="U275">
        <v>1568.97</v>
      </c>
    </row>
    <row r="276" spans="1:21" x14ac:dyDescent="0.35">
      <c r="A276">
        <v>2024</v>
      </c>
      <c r="B276">
        <v>4</v>
      </c>
      <c r="C276">
        <v>2</v>
      </c>
      <c r="D276" s="1">
        <v>45383</v>
      </c>
      <c r="E276" s="4" t="s">
        <v>23</v>
      </c>
      <c r="F276" s="4" t="s">
        <v>26</v>
      </c>
      <c r="G276" s="4" t="s">
        <v>107</v>
      </c>
      <c r="H276">
        <v>5</v>
      </c>
      <c r="I276">
        <v>7</v>
      </c>
      <c r="J276">
        <v>0</v>
      </c>
      <c r="K276">
        <v>7</v>
      </c>
      <c r="L276">
        <v>3921</v>
      </c>
      <c r="M276">
        <v>0</v>
      </c>
      <c r="N276">
        <v>3921</v>
      </c>
      <c r="O276">
        <v>2352.6</v>
      </c>
      <c r="P276">
        <v>1568.4</v>
      </c>
      <c r="Q276">
        <v>0.4</v>
      </c>
      <c r="R276">
        <v>0</v>
      </c>
      <c r="S276">
        <v>0</v>
      </c>
      <c r="T276">
        <v>0</v>
      </c>
      <c r="U276">
        <v>784.2</v>
      </c>
    </row>
    <row r="277" spans="1:21" x14ac:dyDescent="0.35">
      <c r="A277">
        <v>2024</v>
      </c>
      <c r="B277">
        <v>4</v>
      </c>
      <c r="C277">
        <v>2</v>
      </c>
      <c r="D277" s="1">
        <v>45383</v>
      </c>
      <c r="E277" s="4" t="s">
        <v>23</v>
      </c>
      <c r="F277" s="4" t="s">
        <v>26</v>
      </c>
      <c r="G277" s="4" t="s">
        <v>109</v>
      </c>
      <c r="H277">
        <v>25</v>
      </c>
      <c r="I277">
        <v>37</v>
      </c>
      <c r="J277">
        <v>0</v>
      </c>
      <c r="K277">
        <v>37</v>
      </c>
      <c r="L277">
        <v>25148.799999999999</v>
      </c>
      <c r="M277">
        <v>0</v>
      </c>
      <c r="N277">
        <v>25148.799999999999</v>
      </c>
      <c r="O277">
        <v>15231</v>
      </c>
      <c r="P277">
        <v>9917.7999999999993</v>
      </c>
      <c r="Q277">
        <v>0.39439999999999997</v>
      </c>
      <c r="R277">
        <v>2</v>
      </c>
      <c r="S277">
        <v>2111.8000000000002</v>
      </c>
      <c r="T277">
        <v>0</v>
      </c>
      <c r="U277">
        <v>1005.95</v>
      </c>
    </row>
    <row r="278" spans="1:21" x14ac:dyDescent="0.35">
      <c r="A278">
        <v>2024</v>
      </c>
      <c r="B278">
        <v>4</v>
      </c>
      <c r="C278">
        <v>2</v>
      </c>
      <c r="D278" s="1">
        <v>45383</v>
      </c>
      <c r="E278" s="4" t="s">
        <v>25</v>
      </c>
      <c r="F278" s="4" t="s">
        <v>28</v>
      </c>
      <c r="G278" s="4" t="s">
        <v>107</v>
      </c>
      <c r="H278">
        <v>31</v>
      </c>
      <c r="I278">
        <v>61</v>
      </c>
      <c r="J278">
        <v>0</v>
      </c>
      <c r="K278">
        <v>61</v>
      </c>
      <c r="L278">
        <v>28388.639999999999</v>
      </c>
      <c r="M278">
        <v>0</v>
      </c>
      <c r="N278">
        <v>28388.639999999999</v>
      </c>
      <c r="O278">
        <v>10610.95</v>
      </c>
      <c r="P278">
        <v>17777.689999999999</v>
      </c>
      <c r="Q278">
        <v>0.62619999999999998</v>
      </c>
      <c r="R278">
        <v>6</v>
      </c>
      <c r="S278">
        <v>6520.64</v>
      </c>
      <c r="T278">
        <v>0</v>
      </c>
      <c r="U278">
        <v>915.76</v>
      </c>
    </row>
    <row r="279" spans="1:21" x14ac:dyDescent="0.35">
      <c r="A279">
        <v>2024</v>
      </c>
      <c r="B279">
        <v>4</v>
      </c>
      <c r="C279">
        <v>2</v>
      </c>
      <c r="D279" s="1">
        <v>45383</v>
      </c>
      <c r="E279" s="4" t="s">
        <v>25</v>
      </c>
      <c r="F279" s="4" t="s">
        <v>28</v>
      </c>
      <c r="G279" s="4" t="s">
        <v>109</v>
      </c>
      <c r="H279">
        <v>602</v>
      </c>
      <c r="I279">
        <v>938</v>
      </c>
      <c r="J279">
        <v>0</v>
      </c>
      <c r="K279">
        <v>938</v>
      </c>
      <c r="L279">
        <v>505364.02</v>
      </c>
      <c r="M279">
        <v>0</v>
      </c>
      <c r="N279">
        <v>505364.02</v>
      </c>
      <c r="O279">
        <v>184180.85</v>
      </c>
      <c r="P279">
        <v>321183.17</v>
      </c>
      <c r="Q279">
        <v>0.63549999999999995</v>
      </c>
      <c r="R279">
        <v>77</v>
      </c>
      <c r="S279">
        <v>85859.08</v>
      </c>
      <c r="T279">
        <v>0</v>
      </c>
      <c r="U279">
        <v>839.48</v>
      </c>
    </row>
    <row r="280" spans="1:21" x14ac:dyDescent="0.35">
      <c r="A280">
        <v>2024</v>
      </c>
      <c r="B280">
        <v>4</v>
      </c>
      <c r="C280">
        <v>2</v>
      </c>
      <c r="D280" s="1">
        <v>45383</v>
      </c>
      <c r="E280" s="4" t="s">
        <v>25</v>
      </c>
      <c r="F280" s="4" t="s">
        <v>24</v>
      </c>
      <c r="G280" s="4" t="s">
        <v>107</v>
      </c>
      <c r="H280">
        <v>23</v>
      </c>
      <c r="I280">
        <v>37</v>
      </c>
      <c r="J280">
        <v>0</v>
      </c>
      <c r="K280">
        <v>37</v>
      </c>
      <c r="L280">
        <v>66400.7</v>
      </c>
      <c r="M280">
        <v>0</v>
      </c>
      <c r="N280">
        <v>66400.7</v>
      </c>
      <c r="O280">
        <v>38363.050000000003</v>
      </c>
      <c r="P280">
        <v>28037.65</v>
      </c>
      <c r="Q280">
        <v>0.42220000000000002</v>
      </c>
      <c r="R280">
        <v>3</v>
      </c>
      <c r="S280">
        <v>19609.7</v>
      </c>
      <c r="T280">
        <v>0</v>
      </c>
      <c r="U280">
        <v>2886.99</v>
      </c>
    </row>
    <row r="281" spans="1:21" x14ac:dyDescent="0.35">
      <c r="A281">
        <v>2024</v>
      </c>
      <c r="B281">
        <v>4</v>
      </c>
      <c r="C281">
        <v>2</v>
      </c>
      <c r="D281" s="1">
        <v>45383</v>
      </c>
      <c r="E281" s="4" t="s">
        <v>25</v>
      </c>
      <c r="F281" s="4" t="s">
        <v>24</v>
      </c>
      <c r="G281" s="4" t="s">
        <v>109</v>
      </c>
      <c r="H281">
        <v>165</v>
      </c>
      <c r="I281">
        <v>250</v>
      </c>
      <c r="J281">
        <v>4</v>
      </c>
      <c r="K281">
        <v>246</v>
      </c>
      <c r="L281">
        <v>385641.03</v>
      </c>
      <c r="M281">
        <v>7488</v>
      </c>
      <c r="N281">
        <v>378153.03</v>
      </c>
      <c r="O281">
        <v>217100.95</v>
      </c>
      <c r="P281">
        <v>161052.07999999999</v>
      </c>
      <c r="Q281">
        <v>0.4259</v>
      </c>
      <c r="R281">
        <v>17</v>
      </c>
      <c r="S281">
        <v>56848.03</v>
      </c>
      <c r="T281">
        <v>0</v>
      </c>
      <c r="U281">
        <v>2291.84</v>
      </c>
    </row>
    <row r="282" spans="1:21" x14ac:dyDescent="0.35">
      <c r="A282">
        <v>2024</v>
      </c>
      <c r="B282">
        <v>4</v>
      </c>
      <c r="C282">
        <v>2</v>
      </c>
      <c r="D282" s="1">
        <v>45383</v>
      </c>
      <c r="E282" s="4" t="s">
        <v>25</v>
      </c>
      <c r="F282" s="4" t="s">
        <v>26</v>
      </c>
      <c r="G282" s="4" t="s">
        <v>107</v>
      </c>
      <c r="H282">
        <v>16</v>
      </c>
      <c r="I282">
        <v>20</v>
      </c>
      <c r="J282">
        <v>1</v>
      </c>
      <c r="K282">
        <v>19</v>
      </c>
      <c r="L282">
        <v>20784.46</v>
      </c>
      <c r="M282">
        <v>1071</v>
      </c>
      <c r="N282">
        <v>19713.46</v>
      </c>
      <c r="O282">
        <v>12039</v>
      </c>
      <c r="P282">
        <v>7674.46</v>
      </c>
      <c r="Q282">
        <v>0.38929999999999998</v>
      </c>
      <c r="R282">
        <v>2</v>
      </c>
      <c r="S282">
        <v>3113.46</v>
      </c>
      <c r="T282">
        <v>0</v>
      </c>
      <c r="U282">
        <v>1232.0899999999999</v>
      </c>
    </row>
    <row r="283" spans="1:21" x14ac:dyDescent="0.35">
      <c r="A283">
        <v>2024</v>
      </c>
      <c r="B283">
        <v>4</v>
      </c>
      <c r="C283">
        <v>2</v>
      </c>
      <c r="D283" s="1">
        <v>45383</v>
      </c>
      <c r="E283" s="4" t="s">
        <v>25</v>
      </c>
      <c r="F283" s="4" t="s">
        <v>26</v>
      </c>
      <c r="G283" s="4" t="s">
        <v>109</v>
      </c>
      <c r="H283">
        <v>43</v>
      </c>
      <c r="I283">
        <v>67</v>
      </c>
      <c r="J283">
        <v>2</v>
      </c>
      <c r="K283">
        <v>65</v>
      </c>
      <c r="L283">
        <v>43825.760000000002</v>
      </c>
      <c r="M283">
        <v>736</v>
      </c>
      <c r="N283">
        <v>43089.760000000002</v>
      </c>
      <c r="O283">
        <v>26797.8</v>
      </c>
      <c r="P283">
        <v>16291.96</v>
      </c>
      <c r="Q283">
        <v>0.37809999999999999</v>
      </c>
      <c r="R283">
        <v>9</v>
      </c>
      <c r="S283">
        <v>9510.76</v>
      </c>
      <c r="T283">
        <v>0</v>
      </c>
      <c r="U283">
        <v>1002.09</v>
      </c>
    </row>
    <row r="284" spans="1:21" x14ac:dyDescent="0.35">
      <c r="A284">
        <v>2024</v>
      </c>
      <c r="B284">
        <v>4</v>
      </c>
      <c r="C284">
        <v>2</v>
      </c>
      <c r="D284" s="1">
        <v>45383</v>
      </c>
      <c r="E284" s="4" t="s">
        <v>29</v>
      </c>
      <c r="F284" s="4" t="s">
        <v>28</v>
      </c>
      <c r="G284" s="4" t="s">
        <v>107</v>
      </c>
      <c r="H284">
        <v>195</v>
      </c>
      <c r="I284">
        <v>293</v>
      </c>
      <c r="J284">
        <v>0</v>
      </c>
      <c r="K284">
        <v>293</v>
      </c>
      <c r="L284">
        <v>139896.84</v>
      </c>
      <c r="M284">
        <v>0</v>
      </c>
      <c r="N284">
        <v>139896.84</v>
      </c>
      <c r="O284">
        <v>50622.6</v>
      </c>
      <c r="P284">
        <v>89274.240000000005</v>
      </c>
      <c r="Q284">
        <v>0.6381</v>
      </c>
      <c r="R284">
        <v>20</v>
      </c>
      <c r="S284">
        <v>19452.84</v>
      </c>
      <c r="T284">
        <v>0</v>
      </c>
      <c r="U284">
        <v>717.42</v>
      </c>
    </row>
    <row r="285" spans="1:21" x14ac:dyDescent="0.35">
      <c r="A285">
        <v>2024</v>
      </c>
      <c r="B285">
        <v>4</v>
      </c>
      <c r="C285">
        <v>2</v>
      </c>
      <c r="D285" s="1">
        <v>45383</v>
      </c>
      <c r="E285" s="4" t="s">
        <v>29</v>
      </c>
      <c r="F285" s="4" t="s">
        <v>28</v>
      </c>
      <c r="G285" s="4" t="s">
        <v>108</v>
      </c>
      <c r="H285">
        <v>24</v>
      </c>
      <c r="I285">
        <v>33</v>
      </c>
      <c r="J285">
        <v>0</v>
      </c>
      <c r="K285">
        <v>33</v>
      </c>
      <c r="L285">
        <v>19389.12</v>
      </c>
      <c r="M285">
        <v>0</v>
      </c>
      <c r="N285">
        <v>19389.12</v>
      </c>
      <c r="O285">
        <v>7022.4</v>
      </c>
      <c r="P285">
        <v>12366.72</v>
      </c>
      <c r="Q285">
        <v>0.63780000000000003</v>
      </c>
      <c r="R285">
        <v>3</v>
      </c>
      <c r="S285">
        <v>2365.12</v>
      </c>
      <c r="T285">
        <v>0</v>
      </c>
      <c r="U285">
        <v>807.88</v>
      </c>
    </row>
    <row r="286" spans="1:21" x14ac:dyDescent="0.35">
      <c r="A286">
        <v>2024</v>
      </c>
      <c r="B286">
        <v>4</v>
      </c>
      <c r="C286">
        <v>2</v>
      </c>
      <c r="D286" s="1">
        <v>45383</v>
      </c>
      <c r="E286" s="4" t="s">
        <v>29</v>
      </c>
      <c r="F286" s="4" t="s">
        <v>28</v>
      </c>
      <c r="G286" s="4" t="s">
        <v>109</v>
      </c>
      <c r="H286">
        <v>775</v>
      </c>
      <c r="I286">
        <v>1191</v>
      </c>
      <c r="J286">
        <v>0</v>
      </c>
      <c r="K286">
        <v>1191</v>
      </c>
      <c r="L286">
        <v>563196.93000000005</v>
      </c>
      <c r="M286">
        <v>0</v>
      </c>
      <c r="N286">
        <v>563196.93000000005</v>
      </c>
      <c r="O286">
        <v>203952.7</v>
      </c>
      <c r="P286">
        <v>359244.23</v>
      </c>
      <c r="Q286">
        <v>0.63790000000000002</v>
      </c>
      <c r="R286">
        <v>87</v>
      </c>
      <c r="S286">
        <v>73622.55</v>
      </c>
      <c r="T286">
        <v>0</v>
      </c>
      <c r="U286">
        <v>726.71</v>
      </c>
    </row>
    <row r="287" spans="1:21" x14ac:dyDescent="0.35">
      <c r="A287">
        <v>2024</v>
      </c>
      <c r="B287">
        <v>4</v>
      </c>
      <c r="C287">
        <v>2</v>
      </c>
      <c r="D287" s="1">
        <v>45383</v>
      </c>
      <c r="E287" s="4" t="s">
        <v>29</v>
      </c>
      <c r="F287" s="4" t="s">
        <v>24</v>
      </c>
      <c r="G287" s="4" t="s">
        <v>107</v>
      </c>
      <c r="H287">
        <v>7</v>
      </c>
      <c r="I287">
        <v>9</v>
      </c>
      <c r="J287">
        <v>0</v>
      </c>
      <c r="K287">
        <v>9</v>
      </c>
      <c r="L287">
        <v>7776</v>
      </c>
      <c r="M287">
        <v>0</v>
      </c>
      <c r="N287">
        <v>7776</v>
      </c>
      <c r="O287">
        <v>4276.8</v>
      </c>
      <c r="P287">
        <v>3499.2</v>
      </c>
      <c r="Q287">
        <v>0.45</v>
      </c>
      <c r="R287">
        <v>0</v>
      </c>
      <c r="S287">
        <v>0</v>
      </c>
      <c r="T287">
        <v>0</v>
      </c>
      <c r="U287">
        <v>1110.8599999999999</v>
      </c>
    </row>
    <row r="288" spans="1:21" x14ac:dyDescent="0.35">
      <c r="A288">
        <v>2024</v>
      </c>
      <c r="B288">
        <v>4</v>
      </c>
      <c r="C288">
        <v>2</v>
      </c>
      <c r="D288" s="1">
        <v>45383</v>
      </c>
      <c r="E288" s="4" t="s">
        <v>29</v>
      </c>
      <c r="F288" s="4" t="s">
        <v>24</v>
      </c>
      <c r="G288" s="4" t="s">
        <v>108</v>
      </c>
      <c r="H288">
        <v>14</v>
      </c>
      <c r="I288">
        <v>24</v>
      </c>
      <c r="J288">
        <v>0</v>
      </c>
      <c r="K288">
        <v>24</v>
      </c>
      <c r="L288">
        <v>17281.18</v>
      </c>
      <c r="M288">
        <v>0</v>
      </c>
      <c r="N288">
        <v>17281.18</v>
      </c>
      <c r="O288">
        <v>9794.4</v>
      </c>
      <c r="P288">
        <v>7486.78</v>
      </c>
      <c r="Q288">
        <v>0.43319999999999997</v>
      </c>
      <c r="R288">
        <v>2</v>
      </c>
      <c r="S288">
        <v>3183.18</v>
      </c>
      <c r="T288">
        <v>0</v>
      </c>
      <c r="U288">
        <v>1234.3699999999999</v>
      </c>
    </row>
    <row r="289" spans="1:21" x14ac:dyDescent="0.35">
      <c r="A289">
        <v>2024</v>
      </c>
      <c r="B289">
        <v>4</v>
      </c>
      <c r="C289">
        <v>2</v>
      </c>
      <c r="D289" s="1">
        <v>45383</v>
      </c>
      <c r="E289" s="4" t="s">
        <v>29</v>
      </c>
      <c r="F289" s="4" t="s">
        <v>24</v>
      </c>
      <c r="G289" s="4" t="s">
        <v>109</v>
      </c>
      <c r="H289">
        <v>138</v>
      </c>
      <c r="I289">
        <v>209</v>
      </c>
      <c r="J289">
        <v>5</v>
      </c>
      <c r="K289">
        <v>204</v>
      </c>
      <c r="L289">
        <v>395060.63</v>
      </c>
      <c r="M289">
        <v>9161</v>
      </c>
      <c r="N289">
        <v>385899.63</v>
      </c>
      <c r="O289">
        <v>219309.75</v>
      </c>
      <c r="P289">
        <v>166589.88</v>
      </c>
      <c r="Q289">
        <v>0.43169999999999997</v>
      </c>
      <c r="R289">
        <v>13</v>
      </c>
      <c r="S289">
        <v>54381.67</v>
      </c>
      <c r="T289">
        <v>0</v>
      </c>
      <c r="U289">
        <v>2796.37</v>
      </c>
    </row>
    <row r="290" spans="1:21" x14ac:dyDescent="0.35">
      <c r="A290">
        <v>2024</v>
      </c>
      <c r="B290">
        <v>4</v>
      </c>
      <c r="C290">
        <v>2</v>
      </c>
      <c r="D290" s="1">
        <v>45383</v>
      </c>
      <c r="E290" s="4" t="s">
        <v>29</v>
      </c>
      <c r="F290" s="4" t="s">
        <v>26</v>
      </c>
      <c r="G290" s="4" t="s">
        <v>107</v>
      </c>
      <c r="H290">
        <v>22</v>
      </c>
      <c r="I290">
        <v>30</v>
      </c>
      <c r="J290">
        <v>0</v>
      </c>
      <c r="K290">
        <v>30</v>
      </c>
      <c r="L290">
        <v>20695.43</v>
      </c>
      <c r="M290">
        <v>0</v>
      </c>
      <c r="N290">
        <v>20695.43</v>
      </c>
      <c r="O290">
        <v>12519</v>
      </c>
      <c r="P290">
        <v>8176.43</v>
      </c>
      <c r="Q290">
        <v>0.39510000000000001</v>
      </c>
      <c r="R290">
        <v>1</v>
      </c>
      <c r="S290">
        <v>377.43</v>
      </c>
      <c r="T290">
        <v>0</v>
      </c>
      <c r="U290">
        <v>940.7</v>
      </c>
    </row>
    <row r="291" spans="1:21" x14ac:dyDescent="0.35">
      <c r="A291">
        <v>2024</v>
      </c>
      <c r="B291">
        <v>4</v>
      </c>
      <c r="C291">
        <v>2</v>
      </c>
      <c r="D291" s="1">
        <v>45383</v>
      </c>
      <c r="E291" s="4" t="s">
        <v>29</v>
      </c>
      <c r="F291" s="4" t="s">
        <v>26</v>
      </c>
      <c r="G291" s="4" t="s">
        <v>108</v>
      </c>
      <c r="H291">
        <v>1</v>
      </c>
      <c r="I291">
        <v>1</v>
      </c>
      <c r="J291">
        <v>1</v>
      </c>
      <c r="K291">
        <v>0</v>
      </c>
      <c r="L291">
        <v>756</v>
      </c>
      <c r="M291">
        <v>756</v>
      </c>
      <c r="N291">
        <v>0</v>
      </c>
      <c r="O291">
        <v>0</v>
      </c>
      <c r="P291">
        <v>0</v>
      </c>
      <c r="Q291">
        <v>0</v>
      </c>
      <c r="R291">
        <v>0</v>
      </c>
      <c r="S291">
        <v>0</v>
      </c>
      <c r="T291">
        <v>0</v>
      </c>
      <c r="U291">
        <v>0</v>
      </c>
    </row>
    <row r="292" spans="1:21" x14ac:dyDescent="0.35">
      <c r="A292">
        <v>2024</v>
      </c>
      <c r="B292">
        <v>4</v>
      </c>
      <c r="C292">
        <v>2</v>
      </c>
      <c r="D292" s="1">
        <v>45383</v>
      </c>
      <c r="E292" s="4" t="s">
        <v>29</v>
      </c>
      <c r="F292" s="4" t="s">
        <v>26</v>
      </c>
      <c r="G292" s="4" t="s">
        <v>109</v>
      </c>
      <c r="H292">
        <v>27</v>
      </c>
      <c r="I292">
        <v>43</v>
      </c>
      <c r="J292">
        <v>1</v>
      </c>
      <c r="K292">
        <v>42</v>
      </c>
      <c r="L292">
        <v>30653.54</v>
      </c>
      <c r="M292">
        <v>451</v>
      </c>
      <c r="N292">
        <v>30202.54</v>
      </c>
      <c r="O292">
        <v>19557.599999999999</v>
      </c>
      <c r="P292">
        <v>10644.94</v>
      </c>
      <c r="Q292">
        <v>0.35249999999999998</v>
      </c>
      <c r="R292">
        <v>3</v>
      </c>
      <c r="S292">
        <v>6432.54</v>
      </c>
      <c r="T292">
        <v>0</v>
      </c>
      <c r="U292">
        <v>1118.6099999999999</v>
      </c>
    </row>
    <row r="293" spans="1:21" x14ac:dyDescent="0.35">
      <c r="A293">
        <v>2024</v>
      </c>
      <c r="B293">
        <v>4</v>
      </c>
      <c r="C293">
        <v>2</v>
      </c>
      <c r="D293" s="1">
        <v>45383</v>
      </c>
      <c r="E293" s="4" t="s">
        <v>31</v>
      </c>
      <c r="F293" s="4" t="s">
        <v>28</v>
      </c>
      <c r="G293" s="4" t="s">
        <v>107</v>
      </c>
      <c r="H293">
        <v>61</v>
      </c>
      <c r="I293">
        <v>99</v>
      </c>
      <c r="J293">
        <v>0</v>
      </c>
      <c r="K293">
        <v>99</v>
      </c>
      <c r="L293">
        <v>37927.79</v>
      </c>
      <c r="M293">
        <v>0</v>
      </c>
      <c r="N293">
        <v>37927.79</v>
      </c>
      <c r="O293">
        <v>13947.85</v>
      </c>
      <c r="P293">
        <v>23979.94</v>
      </c>
      <c r="Q293">
        <v>0.63229999999999997</v>
      </c>
      <c r="R293">
        <v>9</v>
      </c>
      <c r="S293">
        <v>8359.7900000000009</v>
      </c>
      <c r="T293">
        <v>0</v>
      </c>
      <c r="U293">
        <v>621.77</v>
      </c>
    </row>
    <row r="294" spans="1:21" x14ac:dyDescent="0.35">
      <c r="A294">
        <v>2024</v>
      </c>
      <c r="B294">
        <v>4</v>
      </c>
      <c r="C294">
        <v>2</v>
      </c>
      <c r="D294" s="1">
        <v>45383</v>
      </c>
      <c r="E294" s="4" t="s">
        <v>31</v>
      </c>
      <c r="F294" s="4" t="s">
        <v>28</v>
      </c>
      <c r="G294" s="4" t="s">
        <v>108</v>
      </c>
      <c r="H294">
        <v>315</v>
      </c>
      <c r="I294">
        <v>491</v>
      </c>
      <c r="J294">
        <v>0</v>
      </c>
      <c r="K294">
        <v>491</v>
      </c>
      <c r="L294">
        <v>195260.32</v>
      </c>
      <c r="M294">
        <v>0</v>
      </c>
      <c r="N294">
        <v>195260.32</v>
      </c>
      <c r="O294">
        <v>71192.100000000006</v>
      </c>
      <c r="P294">
        <v>124068.22</v>
      </c>
      <c r="Q294">
        <v>0.63539999999999996</v>
      </c>
      <c r="R294">
        <v>36</v>
      </c>
      <c r="S294">
        <v>28660.32</v>
      </c>
      <c r="T294">
        <v>0</v>
      </c>
      <c r="U294">
        <v>619.87</v>
      </c>
    </row>
    <row r="295" spans="1:21" x14ac:dyDescent="0.35">
      <c r="A295">
        <v>2024</v>
      </c>
      <c r="B295">
        <v>4</v>
      </c>
      <c r="C295">
        <v>2</v>
      </c>
      <c r="D295" s="1">
        <v>45383</v>
      </c>
      <c r="E295" s="4" t="s">
        <v>31</v>
      </c>
      <c r="F295" s="4" t="s">
        <v>28</v>
      </c>
      <c r="G295" s="4" t="s">
        <v>109</v>
      </c>
      <c r="H295">
        <v>865</v>
      </c>
      <c r="I295">
        <v>1381</v>
      </c>
      <c r="J295">
        <v>0</v>
      </c>
      <c r="K295">
        <v>1381</v>
      </c>
      <c r="L295">
        <v>668088.77</v>
      </c>
      <c r="M295">
        <v>0</v>
      </c>
      <c r="N295">
        <v>668088.77</v>
      </c>
      <c r="O295">
        <v>242996.95</v>
      </c>
      <c r="P295">
        <v>425091.82</v>
      </c>
      <c r="Q295">
        <v>0.63629999999999998</v>
      </c>
      <c r="R295">
        <v>115</v>
      </c>
      <c r="S295">
        <v>99573.77</v>
      </c>
      <c r="T295">
        <v>0</v>
      </c>
      <c r="U295">
        <v>772.36</v>
      </c>
    </row>
    <row r="296" spans="1:21" x14ac:dyDescent="0.35">
      <c r="A296">
        <v>2024</v>
      </c>
      <c r="B296">
        <v>4</v>
      </c>
      <c r="C296">
        <v>2</v>
      </c>
      <c r="D296" s="1">
        <v>45383</v>
      </c>
      <c r="E296" s="4" t="s">
        <v>31</v>
      </c>
      <c r="F296" s="4" t="s">
        <v>24</v>
      </c>
      <c r="G296" s="4" t="s">
        <v>107</v>
      </c>
      <c r="H296">
        <v>6</v>
      </c>
      <c r="I296">
        <v>11</v>
      </c>
      <c r="J296">
        <v>0</v>
      </c>
      <c r="K296">
        <v>11</v>
      </c>
      <c r="L296">
        <v>17955.2</v>
      </c>
      <c r="M296">
        <v>0</v>
      </c>
      <c r="N296">
        <v>17955.2</v>
      </c>
      <c r="O296">
        <v>10950.5</v>
      </c>
      <c r="P296">
        <v>7004.7</v>
      </c>
      <c r="Q296">
        <v>0.3901</v>
      </c>
      <c r="R296">
        <v>2</v>
      </c>
      <c r="S296">
        <v>7095.2</v>
      </c>
      <c r="T296">
        <v>0</v>
      </c>
      <c r="U296">
        <v>2992.53</v>
      </c>
    </row>
    <row r="297" spans="1:21" x14ac:dyDescent="0.35">
      <c r="A297">
        <v>2024</v>
      </c>
      <c r="B297">
        <v>4</v>
      </c>
      <c r="C297">
        <v>2</v>
      </c>
      <c r="D297" s="1">
        <v>45383</v>
      </c>
      <c r="E297" s="4" t="s">
        <v>31</v>
      </c>
      <c r="F297" s="4" t="s">
        <v>24</v>
      </c>
      <c r="G297" s="4" t="s">
        <v>109</v>
      </c>
      <c r="H297">
        <v>229</v>
      </c>
      <c r="I297">
        <v>342</v>
      </c>
      <c r="J297">
        <v>9</v>
      </c>
      <c r="K297">
        <v>333</v>
      </c>
      <c r="L297">
        <v>475555.86</v>
      </c>
      <c r="M297">
        <v>11835</v>
      </c>
      <c r="N297">
        <v>463720.86</v>
      </c>
      <c r="O297">
        <v>264410.3</v>
      </c>
      <c r="P297">
        <v>199310.56</v>
      </c>
      <c r="Q297">
        <v>0.42980000000000002</v>
      </c>
      <c r="R297">
        <v>29</v>
      </c>
      <c r="S297">
        <v>69036.86</v>
      </c>
      <c r="T297">
        <v>0</v>
      </c>
      <c r="U297">
        <v>2024.98</v>
      </c>
    </row>
    <row r="298" spans="1:21" x14ac:dyDescent="0.35">
      <c r="A298">
        <v>2024</v>
      </c>
      <c r="B298">
        <v>4</v>
      </c>
      <c r="C298">
        <v>2</v>
      </c>
      <c r="D298" s="1">
        <v>45383</v>
      </c>
      <c r="E298" s="4" t="s">
        <v>31</v>
      </c>
      <c r="F298" s="4" t="s">
        <v>26</v>
      </c>
      <c r="G298" s="4" t="s">
        <v>107</v>
      </c>
      <c r="H298">
        <v>4</v>
      </c>
      <c r="I298">
        <v>6</v>
      </c>
      <c r="J298">
        <v>0</v>
      </c>
      <c r="K298">
        <v>6</v>
      </c>
      <c r="L298">
        <v>2940</v>
      </c>
      <c r="M298">
        <v>0</v>
      </c>
      <c r="N298">
        <v>2940</v>
      </c>
      <c r="O298">
        <v>1764</v>
      </c>
      <c r="P298">
        <v>1176</v>
      </c>
      <c r="Q298">
        <v>0.4</v>
      </c>
      <c r="R298">
        <v>0</v>
      </c>
      <c r="S298">
        <v>0</v>
      </c>
      <c r="T298">
        <v>0</v>
      </c>
      <c r="U298">
        <v>735</v>
      </c>
    </row>
    <row r="299" spans="1:21" x14ac:dyDescent="0.35">
      <c r="A299">
        <v>2024</v>
      </c>
      <c r="B299">
        <v>4</v>
      </c>
      <c r="C299">
        <v>2</v>
      </c>
      <c r="D299" s="1">
        <v>45383</v>
      </c>
      <c r="E299" s="4" t="s">
        <v>31</v>
      </c>
      <c r="F299" s="4" t="s">
        <v>26</v>
      </c>
      <c r="G299" s="4" t="s">
        <v>108</v>
      </c>
      <c r="H299">
        <v>3</v>
      </c>
      <c r="I299">
        <v>6</v>
      </c>
      <c r="J299">
        <v>0</v>
      </c>
      <c r="K299">
        <v>6</v>
      </c>
      <c r="L299">
        <v>4614</v>
      </c>
      <c r="M299">
        <v>0</v>
      </c>
      <c r="N299">
        <v>4614</v>
      </c>
      <c r="O299">
        <v>2768.4</v>
      </c>
      <c r="P299">
        <v>1845.6</v>
      </c>
      <c r="Q299">
        <v>0.4</v>
      </c>
      <c r="R299">
        <v>0</v>
      </c>
      <c r="S299">
        <v>0</v>
      </c>
      <c r="T299">
        <v>0</v>
      </c>
      <c r="U299">
        <v>1538</v>
      </c>
    </row>
    <row r="300" spans="1:21" x14ac:dyDescent="0.35">
      <c r="A300">
        <v>2024</v>
      </c>
      <c r="B300">
        <v>4</v>
      </c>
      <c r="C300">
        <v>2</v>
      </c>
      <c r="D300" s="1">
        <v>45383</v>
      </c>
      <c r="E300" s="4" t="s">
        <v>31</v>
      </c>
      <c r="F300" s="4" t="s">
        <v>26</v>
      </c>
      <c r="G300" s="4" t="s">
        <v>109</v>
      </c>
      <c r="H300">
        <v>36</v>
      </c>
      <c r="I300">
        <v>50</v>
      </c>
      <c r="J300">
        <v>0</v>
      </c>
      <c r="K300">
        <v>50</v>
      </c>
      <c r="L300">
        <v>41857.64</v>
      </c>
      <c r="M300">
        <v>0</v>
      </c>
      <c r="N300">
        <v>41857.64</v>
      </c>
      <c r="O300">
        <v>25768.2</v>
      </c>
      <c r="P300">
        <v>16089.44</v>
      </c>
      <c r="Q300">
        <v>0.38440000000000002</v>
      </c>
      <c r="R300">
        <v>4</v>
      </c>
      <c r="S300">
        <v>3965.64</v>
      </c>
      <c r="T300">
        <v>0</v>
      </c>
      <c r="U300">
        <v>1162.71</v>
      </c>
    </row>
    <row r="301" spans="1:21" x14ac:dyDescent="0.35">
      <c r="A301">
        <v>2024</v>
      </c>
      <c r="B301">
        <v>4</v>
      </c>
      <c r="C301">
        <v>2</v>
      </c>
      <c r="D301" s="1">
        <v>45383</v>
      </c>
      <c r="E301" s="4" t="s">
        <v>30</v>
      </c>
      <c r="F301" s="4" t="s">
        <v>28</v>
      </c>
      <c r="G301" s="4" t="s">
        <v>107</v>
      </c>
      <c r="H301">
        <v>128</v>
      </c>
      <c r="I301">
        <v>180</v>
      </c>
      <c r="J301">
        <v>0</v>
      </c>
      <c r="K301">
        <v>180</v>
      </c>
      <c r="L301">
        <v>78550.67</v>
      </c>
      <c r="M301">
        <v>0</v>
      </c>
      <c r="N301">
        <v>78550.67</v>
      </c>
      <c r="O301">
        <v>28413</v>
      </c>
      <c r="P301">
        <v>50137.67</v>
      </c>
      <c r="Q301">
        <v>0.63829999999999998</v>
      </c>
      <c r="R301">
        <v>16</v>
      </c>
      <c r="S301">
        <v>9547.67</v>
      </c>
      <c r="T301">
        <v>0</v>
      </c>
      <c r="U301">
        <v>613.67999999999995</v>
      </c>
    </row>
    <row r="302" spans="1:21" x14ac:dyDescent="0.35">
      <c r="A302">
        <v>2024</v>
      </c>
      <c r="B302">
        <v>4</v>
      </c>
      <c r="C302">
        <v>2</v>
      </c>
      <c r="D302" s="1">
        <v>45383</v>
      </c>
      <c r="E302" s="4" t="s">
        <v>30</v>
      </c>
      <c r="F302" s="4" t="s">
        <v>28</v>
      </c>
      <c r="G302" s="4" t="s">
        <v>108</v>
      </c>
      <c r="H302">
        <v>42</v>
      </c>
      <c r="I302">
        <v>59</v>
      </c>
      <c r="J302">
        <v>0</v>
      </c>
      <c r="K302">
        <v>59</v>
      </c>
      <c r="L302">
        <v>34390.800000000003</v>
      </c>
      <c r="M302">
        <v>0</v>
      </c>
      <c r="N302">
        <v>34390.800000000003</v>
      </c>
      <c r="O302">
        <v>12699.75</v>
      </c>
      <c r="P302">
        <v>21691.05</v>
      </c>
      <c r="Q302">
        <v>0.63070000000000004</v>
      </c>
      <c r="R302">
        <v>8</v>
      </c>
      <c r="S302">
        <v>7330.8</v>
      </c>
      <c r="T302">
        <v>0</v>
      </c>
      <c r="U302">
        <v>818.83</v>
      </c>
    </row>
    <row r="303" spans="1:21" x14ac:dyDescent="0.35">
      <c r="A303">
        <v>2024</v>
      </c>
      <c r="B303">
        <v>4</v>
      </c>
      <c r="C303">
        <v>2</v>
      </c>
      <c r="D303" s="1">
        <v>45383</v>
      </c>
      <c r="E303" s="4" t="s">
        <v>30</v>
      </c>
      <c r="F303" s="4" t="s">
        <v>28</v>
      </c>
      <c r="G303" s="4" t="s">
        <v>109</v>
      </c>
      <c r="H303">
        <v>626</v>
      </c>
      <c r="I303">
        <v>939</v>
      </c>
      <c r="J303">
        <v>0</v>
      </c>
      <c r="K303">
        <v>939</v>
      </c>
      <c r="L303">
        <v>383293.33</v>
      </c>
      <c r="M303">
        <v>0</v>
      </c>
      <c r="N303">
        <v>383293.33</v>
      </c>
      <c r="O303">
        <v>139266.04999999999</v>
      </c>
      <c r="P303">
        <v>244027.28</v>
      </c>
      <c r="Q303">
        <v>0.63670000000000004</v>
      </c>
      <c r="R303">
        <v>85</v>
      </c>
      <c r="S303">
        <v>56443.33</v>
      </c>
      <c r="T303">
        <v>0</v>
      </c>
      <c r="U303">
        <v>612.29</v>
      </c>
    </row>
    <row r="304" spans="1:21" x14ac:dyDescent="0.35">
      <c r="A304">
        <v>2024</v>
      </c>
      <c r="B304">
        <v>4</v>
      </c>
      <c r="C304">
        <v>2</v>
      </c>
      <c r="D304" s="1">
        <v>45383</v>
      </c>
      <c r="E304" s="4" t="s">
        <v>30</v>
      </c>
      <c r="F304" s="4" t="s">
        <v>24</v>
      </c>
      <c r="G304" s="4" t="s">
        <v>107</v>
      </c>
      <c r="H304">
        <v>61</v>
      </c>
      <c r="I304">
        <v>97</v>
      </c>
      <c r="J304">
        <v>2</v>
      </c>
      <c r="K304">
        <v>95</v>
      </c>
      <c r="L304">
        <v>176319.28</v>
      </c>
      <c r="M304">
        <v>4307</v>
      </c>
      <c r="N304">
        <v>172012.28</v>
      </c>
      <c r="O304">
        <v>99338.25</v>
      </c>
      <c r="P304">
        <v>72674.03</v>
      </c>
      <c r="Q304">
        <v>0.42249999999999999</v>
      </c>
      <c r="R304">
        <v>7</v>
      </c>
      <c r="S304">
        <v>29042.28</v>
      </c>
      <c r="T304">
        <v>0</v>
      </c>
      <c r="U304">
        <v>2819.87</v>
      </c>
    </row>
    <row r="305" spans="1:21" x14ac:dyDescent="0.35">
      <c r="A305">
        <v>2024</v>
      </c>
      <c r="B305">
        <v>4</v>
      </c>
      <c r="C305">
        <v>2</v>
      </c>
      <c r="D305" s="1">
        <v>45383</v>
      </c>
      <c r="E305" s="4" t="s">
        <v>30</v>
      </c>
      <c r="F305" s="4" t="s">
        <v>24</v>
      </c>
      <c r="G305" s="4" t="s">
        <v>108</v>
      </c>
      <c r="H305">
        <v>10</v>
      </c>
      <c r="I305">
        <v>18</v>
      </c>
      <c r="J305">
        <v>1</v>
      </c>
      <c r="K305">
        <v>17</v>
      </c>
      <c r="L305">
        <v>40254.39</v>
      </c>
      <c r="M305">
        <v>2409</v>
      </c>
      <c r="N305">
        <v>37845.39</v>
      </c>
      <c r="O305">
        <v>22524.15</v>
      </c>
      <c r="P305">
        <v>15321.24</v>
      </c>
      <c r="Q305">
        <v>0.40479999999999999</v>
      </c>
      <c r="R305">
        <v>3</v>
      </c>
      <c r="S305">
        <v>18573.39</v>
      </c>
      <c r="T305">
        <v>0</v>
      </c>
      <c r="U305">
        <v>3784.54</v>
      </c>
    </row>
    <row r="306" spans="1:21" x14ac:dyDescent="0.35">
      <c r="A306">
        <v>2024</v>
      </c>
      <c r="B306">
        <v>4</v>
      </c>
      <c r="C306">
        <v>2</v>
      </c>
      <c r="D306" s="1">
        <v>45383</v>
      </c>
      <c r="E306" s="4" t="s">
        <v>30</v>
      </c>
      <c r="F306" s="4" t="s">
        <v>24</v>
      </c>
      <c r="G306" s="4" t="s">
        <v>109</v>
      </c>
      <c r="H306">
        <v>216</v>
      </c>
      <c r="I306">
        <v>314</v>
      </c>
      <c r="J306">
        <v>10</v>
      </c>
      <c r="K306">
        <v>304</v>
      </c>
      <c r="L306">
        <v>557871.64</v>
      </c>
      <c r="M306">
        <v>18421.3</v>
      </c>
      <c r="N306">
        <v>539450.34</v>
      </c>
      <c r="O306">
        <v>310736.8</v>
      </c>
      <c r="P306">
        <v>228713.54</v>
      </c>
      <c r="Q306">
        <v>0.42399999999999999</v>
      </c>
      <c r="R306">
        <v>33</v>
      </c>
      <c r="S306">
        <v>97573.34</v>
      </c>
      <c r="T306">
        <v>0</v>
      </c>
      <c r="U306">
        <v>2497.46</v>
      </c>
    </row>
    <row r="307" spans="1:21" x14ac:dyDescent="0.35">
      <c r="A307">
        <v>2024</v>
      </c>
      <c r="B307">
        <v>4</v>
      </c>
      <c r="C307">
        <v>2</v>
      </c>
      <c r="D307" s="1">
        <v>45383</v>
      </c>
      <c r="E307" s="4" t="s">
        <v>30</v>
      </c>
      <c r="F307" s="4" t="s">
        <v>26</v>
      </c>
      <c r="G307" s="4" t="s">
        <v>107</v>
      </c>
      <c r="H307">
        <v>3</v>
      </c>
      <c r="I307">
        <v>4</v>
      </c>
      <c r="J307">
        <v>0</v>
      </c>
      <c r="K307">
        <v>4</v>
      </c>
      <c r="L307">
        <v>3032.72</v>
      </c>
      <c r="M307">
        <v>0</v>
      </c>
      <c r="N307">
        <v>3032.72</v>
      </c>
      <c r="O307">
        <v>2179.1999999999998</v>
      </c>
      <c r="P307">
        <v>853.52</v>
      </c>
      <c r="Q307">
        <v>0.28139999999999998</v>
      </c>
      <c r="R307">
        <v>1</v>
      </c>
      <c r="S307">
        <v>1216.72</v>
      </c>
      <c r="T307">
        <v>0</v>
      </c>
      <c r="U307">
        <v>1010.91</v>
      </c>
    </row>
    <row r="308" spans="1:21" x14ac:dyDescent="0.35">
      <c r="A308">
        <v>2024</v>
      </c>
      <c r="B308">
        <v>4</v>
      </c>
      <c r="C308">
        <v>2</v>
      </c>
      <c r="D308" s="1">
        <v>45383</v>
      </c>
      <c r="E308" s="4" t="s">
        <v>30</v>
      </c>
      <c r="F308" s="4" t="s">
        <v>26</v>
      </c>
      <c r="G308" s="4" t="s">
        <v>109</v>
      </c>
      <c r="H308">
        <v>51</v>
      </c>
      <c r="I308">
        <v>79</v>
      </c>
      <c r="J308">
        <v>0</v>
      </c>
      <c r="K308">
        <v>79</v>
      </c>
      <c r="L308">
        <v>58232.71</v>
      </c>
      <c r="M308">
        <v>0</v>
      </c>
      <c r="N308">
        <v>58232.71</v>
      </c>
      <c r="O308">
        <v>36375.599999999999</v>
      </c>
      <c r="P308">
        <v>21857.11</v>
      </c>
      <c r="Q308">
        <v>0.37530000000000002</v>
      </c>
      <c r="R308">
        <v>10</v>
      </c>
      <c r="S308">
        <v>14763.71</v>
      </c>
      <c r="T308">
        <v>0</v>
      </c>
      <c r="U308">
        <v>1141.82</v>
      </c>
    </row>
    <row r="309" spans="1:21" x14ac:dyDescent="0.35">
      <c r="A309">
        <v>2024</v>
      </c>
      <c r="B309">
        <v>4</v>
      </c>
      <c r="C309">
        <v>2</v>
      </c>
      <c r="D309" s="1">
        <v>45383</v>
      </c>
      <c r="E309" s="4" t="s">
        <v>78</v>
      </c>
      <c r="F309" s="4" t="s">
        <v>78</v>
      </c>
      <c r="G309" s="4" t="s">
        <v>110</v>
      </c>
      <c r="H309">
        <v>218</v>
      </c>
      <c r="I309">
        <v>318</v>
      </c>
      <c r="J309">
        <v>0</v>
      </c>
      <c r="K309">
        <v>318</v>
      </c>
      <c r="L309">
        <v>662103.99</v>
      </c>
      <c r="M309">
        <v>0</v>
      </c>
      <c r="N309">
        <v>662103.99</v>
      </c>
      <c r="O309">
        <v>99291.15</v>
      </c>
      <c r="P309">
        <v>562812.84</v>
      </c>
      <c r="Q309">
        <v>0.85</v>
      </c>
      <c r="R309">
        <v>1</v>
      </c>
      <c r="S309">
        <v>3990</v>
      </c>
      <c r="T309">
        <v>0</v>
      </c>
      <c r="U309">
        <v>3037.17</v>
      </c>
    </row>
    <row r="310" spans="1:21" x14ac:dyDescent="0.35">
      <c r="A310">
        <v>2024</v>
      </c>
      <c r="B310">
        <v>5</v>
      </c>
      <c r="C310">
        <v>2</v>
      </c>
      <c r="D310" s="1">
        <v>45413</v>
      </c>
      <c r="E310" s="4" t="s">
        <v>33</v>
      </c>
      <c r="F310" s="4" t="s">
        <v>28</v>
      </c>
      <c r="G310" s="4" t="s">
        <v>107</v>
      </c>
      <c r="H310">
        <v>100</v>
      </c>
      <c r="I310">
        <v>158</v>
      </c>
      <c r="J310">
        <v>0</v>
      </c>
      <c r="K310">
        <v>158</v>
      </c>
      <c r="L310">
        <v>50228.53</v>
      </c>
      <c r="M310">
        <v>0</v>
      </c>
      <c r="N310">
        <v>50228.53</v>
      </c>
      <c r="O310">
        <v>18329.849999999999</v>
      </c>
      <c r="P310">
        <v>31898.68</v>
      </c>
      <c r="Q310">
        <v>0.6351</v>
      </c>
      <c r="R310">
        <v>12</v>
      </c>
      <c r="S310">
        <v>7250.53</v>
      </c>
      <c r="T310">
        <v>0</v>
      </c>
      <c r="U310">
        <v>502.29</v>
      </c>
    </row>
    <row r="311" spans="1:21" x14ac:dyDescent="0.35">
      <c r="A311">
        <v>2024</v>
      </c>
      <c r="B311">
        <v>5</v>
      </c>
      <c r="C311">
        <v>2</v>
      </c>
      <c r="D311" s="1">
        <v>45413</v>
      </c>
      <c r="E311" s="4" t="s">
        <v>33</v>
      </c>
      <c r="F311" s="4" t="s">
        <v>28</v>
      </c>
      <c r="G311" s="4" t="s">
        <v>108</v>
      </c>
      <c r="H311">
        <v>42</v>
      </c>
      <c r="I311">
        <v>57</v>
      </c>
      <c r="J311">
        <v>0</v>
      </c>
      <c r="K311">
        <v>57</v>
      </c>
      <c r="L311">
        <v>40009.370000000003</v>
      </c>
      <c r="M311">
        <v>0</v>
      </c>
      <c r="N311">
        <v>40009.370000000003</v>
      </c>
      <c r="O311">
        <v>14204.4</v>
      </c>
      <c r="P311">
        <v>25804.97</v>
      </c>
      <c r="Q311">
        <v>0.64500000000000002</v>
      </c>
      <c r="R311">
        <v>3</v>
      </c>
      <c r="S311">
        <v>2273.37</v>
      </c>
      <c r="T311">
        <v>0</v>
      </c>
      <c r="U311">
        <v>952.6</v>
      </c>
    </row>
    <row r="312" spans="1:21" x14ac:dyDescent="0.35">
      <c r="A312">
        <v>2024</v>
      </c>
      <c r="B312">
        <v>5</v>
      </c>
      <c r="C312">
        <v>2</v>
      </c>
      <c r="D312" s="1">
        <v>45413</v>
      </c>
      <c r="E312" s="4" t="s">
        <v>33</v>
      </c>
      <c r="F312" s="4" t="s">
        <v>28</v>
      </c>
      <c r="G312" s="4" t="s">
        <v>109</v>
      </c>
      <c r="H312">
        <v>638</v>
      </c>
      <c r="I312">
        <v>979</v>
      </c>
      <c r="J312">
        <v>0</v>
      </c>
      <c r="K312">
        <v>979</v>
      </c>
      <c r="L312">
        <v>510633.94</v>
      </c>
      <c r="M312">
        <v>0</v>
      </c>
      <c r="N312">
        <v>510633.94</v>
      </c>
      <c r="O312">
        <v>185142.65</v>
      </c>
      <c r="P312">
        <v>325491.28999999998</v>
      </c>
      <c r="Q312">
        <v>0.63739999999999997</v>
      </c>
      <c r="R312">
        <v>81</v>
      </c>
      <c r="S312">
        <v>83381.45</v>
      </c>
      <c r="T312">
        <v>0</v>
      </c>
      <c r="U312">
        <v>800.37</v>
      </c>
    </row>
    <row r="313" spans="1:21" x14ac:dyDescent="0.35">
      <c r="A313">
        <v>2024</v>
      </c>
      <c r="B313">
        <v>5</v>
      </c>
      <c r="C313">
        <v>2</v>
      </c>
      <c r="D313" s="1">
        <v>45413</v>
      </c>
      <c r="E313" s="4" t="s">
        <v>33</v>
      </c>
      <c r="F313" s="4" t="s">
        <v>24</v>
      </c>
      <c r="G313" s="4" t="s">
        <v>107</v>
      </c>
      <c r="H313">
        <v>20</v>
      </c>
      <c r="I313">
        <v>25</v>
      </c>
      <c r="J313">
        <v>0</v>
      </c>
      <c r="K313">
        <v>25</v>
      </c>
      <c r="L313">
        <v>39132</v>
      </c>
      <c r="M313">
        <v>0</v>
      </c>
      <c r="N313">
        <v>39132</v>
      </c>
      <c r="O313">
        <v>21522.6</v>
      </c>
      <c r="P313">
        <v>17609.400000000001</v>
      </c>
      <c r="Q313">
        <v>0.45</v>
      </c>
      <c r="R313">
        <v>0</v>
      </c>
      <c r="S313">
        <v>0</v>
      </c>
      <c r="T313">
        <v>0</v>
      </c>
      <c r="U313">
        <v>1956.6</v>
      </c>
    </row>
    <row r="314" spans="1:21" x14ac:dyDescent="0.35">
      <c r="A314">
        <v>2024</v>
      </c>
      <c r="B314">
        <v>5</v>
      </c>
      <c r="C314">
        <v>2</v>
      </c>
      <c r="D314" s="1">
        <v>45413</v>
      </c>
      <c r="E314" s="4" t="s">
        <v>33</v>
      </c>
      <c r="F314" s="4" t="s">
        <v>24</v>
      </c>
      <c r="G314" s="4" t="s">
        <v>109</v>
      </c>
      <c r="H314">
        <v>154</v>
      </c>
      <c r="I314">
        <v>242</v>
      </c>
      <c r="J314">
        <v>6</v>
      </c>
      <c r="K314">
        <v>236</v>
      </c>
      <c r="L314">
        <v>374616.95</v>
      </c>
      <c r="M314">
        <v>10264</v>
      </c>
      <c r="N314">
        <v>364352.95</v>
      </c>
      <c r="O314">
        <v>207651.4</v>
      </c>
      <c r="P314">
        <v>156701.54999999999</v>
      </c>
      <c r="Q314">
        <v>0.43009999999999998</v>
      </c>
      <c r="R314">
        <v>17</v>
      </c>
      <c r="S314">
        <v>49932.95</v>
      </c>
      <c r="T314">
        <v>0</v>
      </c>
      <c r="U314">
        <v>2365.9299999999998</v>
      </c>
    </row>
    <row r="315" spans="1:21" x14ac:dyDescent="0.35">
      <c r="A315">
        <v>2024</v>
      </c>
      <c r="B315">
        <v>5</v>
      </c>
      <c r="C315">
        <v>2</v>
      </c>
      <c r="D315" s="1">
        <v>45413</v>
      </c>
      <c r="E315" s="4" t="s">
        <v>33</v>
      </c>
      <c r="F315" s="4" t="s">
        <v>26</v>
      </c>
      <c r="G315" s="4" t="s">
        <v>107</v>
      </c>
      <c r="H315">
        <v>1</v>
      </c>
      <c r="I315">
        <v>1</v>
      </c>
      <c r="J315">
        <v>0</v>
      </c>
      <c r="K315">
        <v>1</v>
      </c>
      <c r="L315">
        <v>581</v>
      </c>
      <c r="M315">
        <v>0</v>
      </c>
      <c r="N315">
        <v>581</v>
      </c>
      <c r="O315">
        <v>348.6</v>
      </c>
      <c r="P315">
        <v>232.4</v>
      </c>
      <c r="Q315">
        <v>0.4</v>
      </c>
      <c r="R315">
        <v>0</v>
      </c>
      <c r="S315">
        <v>0</v>
      </c>
      <c r="T315">
        <v>0</v>
      </c>
      <c r="U315">
        <v>581</v>
      </c>
    </row>
    <row r="316" spans="1:21" x14ac:dyDescent="0.35">
      <c r="A316">
        <v>2024</v>
      </c>
      <c r="B316">
        <v>5</v>
      </c>
      <c r="C316">
        <v>2</v>
      </c>
      <c r="D316" s="1">
        <v>45413</v>
      </c>
      <c r="E316" s="4" t="s">
        <v>33</v>
      </c>
      <c r="F316" s="4" t="s">
        <v>26</v>
      </c>
      <c r="G316" s="4" t="s">
        <v>108</v>
      </c>
      <c r="H316">
        <v>6</v>
      </c>
      <c r="I316">
        <v>11</v>
      </c>
      <c r="J316">
        <v>0</v>
      </c>
      <c r="K316">
        <v>11</v>
      </c>
      <c r="L316">
        <v>9520</v>
      </c>
      <c r="M316">
        <v>0</v>
      </c>
      <c r="N316">
        <v>9520</v>
      </c>
      <c r="O316">
        <v>5775</v>
      </c>
      <c r="P316">
        <v>3745</v>
      </c>
      <c r="Q316">
        <v>0.39340000000000003</v>
      </c>
      <c r="R316">
        <v>1</v>
      </c>
      <c r="S316">
        <v>1645</v>
      </c>
      <c r="T316">
        <v>0</v>
      </c>
      <c r="U316">
        <v>1586.67</v>
      </c>
    </row>
    <row r="317" spans="1:21" x14ac:dyDescent="0.35">
      <c r="A317">
        <v>2024</v>
      </c>
      <c r="B317">
        <v>5</v>
      </c>
      <c r="C317">
        <v>2</v>
      </c>
      <c r="D317" s="1">
        <v>45413</v>
      </c>
      <c r="E317" s="4" t="s">
        <v>33</v>
      </c>
      <c r="F317" s="4" t="s">
        <v>26</v>
      </c>
      <c r="G317" s="4" t="s">
        <v>109</v>
      </c>
      <c r="H317">
        <v>39</v>
      </c>
      <c r="I317">
        <v>53</v>
      </c>
      <c r="J317">
        <v>1</v>
      </c>
      <c r="K317">
        <v>52</v>
      </c>
      <c r="L317">
        <v>39580.49</v>
      </c>
      <c r="M317">
        <v>829</v>
      </c>
      <c r="N317">
        <v>38751.49</v>
      </c>
      <c r="O317">
        <v>23577.599999999999</v>
      </c>
      <c r="P317">
        <v>15173.89</v>
      </c>
      <c r="Q317">
        <v>0.3916</v>
      </c>
      <c r="R317">
        <v>3</v>
      </c>
      <c r="S317">
        <v>3043.49</v>
      </c>
      <c r="T317">
        <v>0</v>
      </c>
      <c r="U317">
        <v>993.63</v>
      </c>
    </row>
    <row r="318" spans="1:21" x14ac:dyDescent="0.35">
      <c r="A318">
        <v>2024</v>
      </c>
      <c r="B318">
        <v>5</v>
      </c>
      <c r="C318">
        <v>2</v>
      </c>
      <c r="D318" s="1">
        <v>45413</v>
      </c>
      <c r="E318" s="4" t="s">
        <v>32</v>
      </c>
      <c r="F318" s="4" t="s">
        <v>28</v>
      </c>
      <c r="G318" s="4" t="s">
        <v>107</v>
      </c>
      <c r="H318">
        <v>26</v>
      </c>
      <c r="I318">
        <v>41</v>
      </c>
      <c r="J318">
        <v>0</v>
      </c>
      <c r="K318">
        <v>41</v>
      </c>
      <c r="L318">
        <v>18032.88</v>
      </c>
      <c r="M318">
        <v>0</v>
      </c>
      <c r="N318">
        <v>18032.88</v>
      </c>
      <c r="O318">
        <v>6514.9</v>
      </c>
      <c r="P318">
        <v>11517.98</v>
      </c>
      <c r="Q318">
        <v>0.63870000000000005</v>
      </c>
      <c r="R318">
        <v>3</v>
      </c>
      <c r="S318">
        <v>2596.88</v>
      </c>
      <c r="T318">
        <v>0</v>
      </c>
      <c r="U318">
        <v>693.57</v>
      </c>
    </row>
    <row r="319" spans="1:21" x14ac:dyDescent="0.35">
      <c r="A319">
        <v>2024</v>
      </c>
      <c r="B319">
        <v>5</v>
      </c>
      <c r="C319">
        <v>2</v>
      </c>
      <c r="D319" s="1">
        <v>45413</v>
      </c>
      <c r="E319" s="4" t="s">
        <v>32</v>
      </c>
      <c r="F319" s="4" t="s">
        <v>28</v>
      </c>
      <c r="G319" s="4" t="s">
        <v>109</v>
      </c>
      <c r="H319">
        <v>441</v>
      </c>
      <c r="I319">
        <v>674</v>
      </c>
      <c r="J319">
        <v>0</v>
      </c>
      <c r="K319">
        <v>674</v>
      </c>
      <c r="L319">
        <v>247101.3</v>
      </c>
      <c r="M319">
        <v>0</v>
      </c>
      <c r="N319">
        <v>247101.3</v>
      </c>
      <c r="O319">
        <v>89017.95</v>
      </c>
      <c r="P319">
        <v>158083.35</v>
      </c>
      <c r="Q319">
        <v>0.63980000000000004</v>
      </c>
      <c r="R319">
        <v>44</v>
      </c>
      <c r="S319">
        <v>29459.3</v>
      </c>
      <c r="T319">
        <v>0</v>
      </c>
      <c r="U319">
        <v>560.32000000000005</v>
      </c>
    </row>
    <row r="320" spans="1:21" x14ac:dyDescent="0.35">
      <c r="A320">
        <v>2024</v>
      </c>
      <c r="B320">
        <v>5</v>
      </c>
      <c r="C320">
        <v>2</v>
      </c>
      <c r="D320" s="1">
        <v>45413</v>
      </c>
      <c r="E320" s="4" t="s">
        <v>32</v>
      </c>
      <c r="F320" s="4" t="s">
        <v>24</v>
      </c>
      <c r="G320" s="4" t="s">
        <v>107</v>
      </c>
      <c r="H320">
        <v>40</v>
      </c>
      <c r="I320">
        <v>60</v>
      </c>
      <c r="J320">
        <v>1</v>
      </c>
      <c r="K320">
        <v>59</v>
      </c>
      <c r="L320">
        <v>83316.179999999993</v>
      </c>
      <c r="M320">
        <v>1584</v>
      </c>
      <c r="N320">
        <v>81732.179999999993</v>
      </c>
      <c r="O320">
        <v>46026.75</v>
      </c>
      <c r="P320">
        <v>35705.43</v>
      </c>
      <c r="Q320">
        <v>0.43690000000000001</v>
      </c>
      <c r="R320">
        <v>5</v>
      </c>
      <c r="S320">
        <v>13161.18</v>
      </c>
      <c r="T320">
        <v>0</v>
      </c>
      <c r="U320">
        <v>2043.3</v>
      </c>
    </row>
    <row r="321" spans="1:21" x14ac:dyDescent="0.35">
      <c r="A321">
        <v>2024</v>
      </c>
      <c r="B321">
        <v>5</v>
      </c>
      <c r="C321">
        <v>2</v>
      </c>
      <c r="D321" s="1">
        <v>45413</v>
      </c>
      <c r="E321" s="4" t="s">
        <v>32</v>
      </c>
      <c r="F321" s="4" t="s">
        <v>24</v>
      </c>
      <c r="G321" s="4" t="s">
        <v>109</v>
      </c>
      <c r="H321">
        <v>152</v>
      </c>
      <c r="I321">
        <v>231</v>
      </c>
      <c r="J321">
        <v>5</v>
      </c>
      <c r="K321">
        <v>226</v>
      </c>
      <c r="L321">
        <v>289911.86</v>
      </c>
      <c r="M321">
        <v>4917</v>
      </c>
      <c r="N321">
        <v>284994.86</v>
      </c>
      <c r="O321">
        <v>161701.65</v>
      </c>
      <c r="P321">
        <v>123293.21</v>
      </c>
      <c r="Q321">
        <v>0.43259999999999998</v>
      </c>
      <c r="R321">
        <v>20</v>
      </c>
      <c r="S321">
        <v>38815.86</v>
      </c>
      <c r="T321">
        <v>0</v>
      </c>
      <c r="U321">
        <v>1874.97</v>
      </c>
    </row>
    <row r="322" spans="1:21" x14ac:dyDescent="0.35">
      <c r="A322">
        <v>2024</v>
      </c>
      <c r="B322">
        <v>5</v>
      </c>
      <c r="C322">
        <v>2</v>
      </c>
      <c r="D322" s="1">
        <v>45413</v>
      </c>
      <c r="E322" s="4" t="s">
        <v>32</v>
      </c>
      <c r="F322" s="4" t="s">
        <v>26</v>
      </c>
      <c r="G322" s="4" t="s">
        <v>108</v>
      </c>
      <c r="H322">
        <v>10</v>
      </c>
      <c r="I322">
        <v>13</v>
      </c>
      <c r="J322">
        <v>0</v>
      </c>
      <c r="K322">
        <v>13</v>
      </c>
      <c r="L322">
        <v>4434</v>
      </c>
      <c r="M322">
        <v>0</v>
      </c>
      <c r="N322">
        <v>4434</v>
      </c>
      <c r="O322">
        <v>2660.4</v>
      </c>
      <c r="P322">
        <v>1773.6</v>
      </c>
      <c r="Q322">
        <v>0.4</v>
      </c>
      <c r="R322">
        <v>0</v>
      </c>
      <c r="S322">
        <v>0</v>
      </c>
      <c r="T322">
        <v>0</v>
      </c>
      <c r="U322">
        <v>443.4</v>
      </c>
    </row>
    <row r="323" spans="1:21" x14ac:dyDescent="0.35">
      <c r="A323">
        <v>2024</v>
      </c>
      <c r="B323">
        <v>5</v>
      </c>
      <c r="C323">
        <v>2</v>
      </c>
      <c r="D323" s="1">
        <v>45413</v>
      </c>
      <c r="E323" s="4" t="s">
        <v>32</v>
      </c>
      <c r="F323" s="4" t="s">
        <v>26</v>
      </c>
      <c r="G323" s="4" t="s">
        <v>109</v>
      </c>
      <c r="H323">
        <v>31</v>
      </c>
      <c r="I323">
        <v>44</v>
      </c>
      <c r="J323">
        <v>2</v>
      </c>
      <c r="K323">
        <v>42</v>
      </c>
      <c r="L323">
        <v>31025.279999999999</v>
      </c>
      <c r="M323">
        <v>1840</v>
      </c>
      <c r="N323">
        <v>29185.279999999999</v>
      </c>
      <c r="O323">
        <v>17724.599999999999</v>
      </c>
      <c r="P323">
        <v>11460.68</v>
      </c>
      <c r="Q323">
        <v>0.39269999999999999</v>
      </c>
      <c r="R323">
        <v>2</v>
      </c>
      <c r="S323">
        <v>3138.28</v>
      </c>
      <c r="T323">
        <v>0</v>
      </c>
      <c r="U323">
        <v>941.46</v>
      </c>
    </row>
    <row r="324" spans="1:21" x14ac:dyDescent="0.35">
      <c r="A324">
        <v>2024</v>
      </c>
      <c r="B324">
        <v>5</v>
      </c>
      <c r="C324">
        <v>2</v>
      </c>
      <c r="D324" s="1">
        <v>45413</v>
      </c>
      <c r="E324" s="4" t="s">
        <v>27</v>
      </c>
      <c r="F324" s="4" t="s">
        <v>28</v>
      </c>
      <c r="G324" s="4" t="s">
        <v>107</v>
      </c>
      <c r="H324">
        <v>233</v>
      </c>
      <c r="I324">
        <v>341</v>
      </c>
      <c r="J324">
        <v>0</v>
      </c>
      <c r="K324">
        <v>341</v>
      </c>
      <c r="L324">
        <v>157940.79999999999</v>
      </c>
      <c r="M324">
        <v>0</v>
      </c>
      <c r="N324">
        <v>157940.79999999999</v>
      </c>
      <c r="O324">
        <v>57047.55</v>
      </c>
      <c r="P324">
        <v>100893.25</v>
      </c>
      <c r="Q324">
        <v>0.63880000000000003</v>
      </c>
      <c r="R324">
        <v>25</v>
      </c>
      <c r="S324">
        <v>20354.310000000001</v>
      </c>
      <c r="T324">
        <v>0</v>
      </c>
      <c r="U324">
        <v>677.86</v>
      </c>
    </row>
    <row r="325" spans="1:21" x14ac:dyDescent="0.35">
      <c r="A325">
        <v>2024</v>
      </c>
      <c r="B325">
        <v>5</v>
      </c>
      <c r="C325">
        <v>2</v>
      </c>
      <c r="D325" s="1">
        <v>45413</v>
      </c>
      <c r="E325" s="4" t="s">
        <v>27</v>
      </c>
      <c r="F325" s="4" t="s">
        <v>28</v>
      </c>
      <c r="G325" s="4" t="s">
        <v>109</v>
      </c>
      <c r="H325">
        <v>705</v>
      </c>
      <c r="I325">
        <v>1066</v>
      </c>
      <c r="J325">
        <v>0</v>
      </c>
      <c r="K325">
        <v>1066</v>
      </c>
      <c r="L325">
        <v>568137.18000000005</v>
      </c>
      <c r="M325">
        <v>0</v>
      </c>
      <c r="N325">
        <v>568137.18000000005</v>
      </c>
      <c r="O325">
        <v>207655.7</v>
      </c>
      <c r="P325">
        <v>360481.48</v>
      </c>
      <c r="Q325">
        <v>0.63449999999999995</v>
      </c>
      <c r="R325">
        <v>93</v>
      </c>
      <c r="S325">
        <v>95500.19</v>
      </c>
      <c r="T325">
        <v>0</v>
      </c>
      <c r="U325">
        <v>805.87</v>
      </c>
    </row>
    <row r="326" spans="1:21" x14ac:dyDescent="0.35">
      <c r="A326">
        <v>2024</v>
      </c>
      <c r="B326">
        <v>5</v>
      </c>
      <c r="C326">
        <v>2</v>
      </c>
      <c r="D326" s="1">
        <v>45413</v>
      </c>
      <c r="E326" s="4" t="s">
        <v>27</v>
      </c>
      <c r="F326" s="4" t="s">
        <v>24</v>
      </c>
      <c r="G326" s="4" t="s">
        <v>107</v>
      </c>
      <c r="H326">
        <v>65</v>
      </c>
      <c r="I326">
        <v>109</v>
      </c>
      <c r="J326">
        <v>4</v>
      </c>
      <c r="K326">
        <v>105</v>
      </c>
      <c r="L326">
        <v>182417.32</v>
      </c>
      <c r="M326">
        <v>4591.7</v>
      </c>
      <c r="N326">
        <v>177825.62</v>
      </c>
      <c r="O326">
        <v>101213.75</v>
      </c>
      <c r="P326">
        <v>76611.87</v>
      </c>
      <c r="Q326">
        <v>0.43080000000000002</v>
      </c>
      <c r="R326">
        <v>11</v>
      </c>
      <c r="S326">
        <v>35170.620000000003</v>
      </c>
      <c r="T326">
        <v>0</v>
      </c>
      <c r="U326">
        <v>2735.78</v>
      </c>
    </row>
    <row r="327" spans="1:21" x14ac:dyDescent="0.35">
      <c r="A327">
        <v>2024</v>
      </c>
      <c r="B327">
        <v>5</v>
      </c>
      <c r="C327">
        <v>2</v>
      </c>
      <c r="D327" s="1">
        <v>45413</v>
      </c>
      <c r="E327" s="4" t="s">
        <v>27</v>
      </c>
      <c r="F327" s="4" t="s">
        <v>24</v>
      </c>
      <c r="G327" s="4" t="s">
        <v>109</v>
      </c>
      <c r="H327">
        <v>261</v>
      </c>
      <c r="I327">
        <v>402</v>
      </c>
      <c r="J327">
        <v>9</v>
      </c>
      <c r="K327">
        <v>393</v>
      </c>
      <c r="L327">
        <v>648493.06999999995</v>
      </c>
      <c r="M327">
        <v>17872</v>
      </c>
      <c r="N327">
        <v>630621.06999999995</v>
      </c>
      <c r="O327">
        <v>363800.25</v>
      </c>
      <c r="P327">
        <v>266820.82</v>
      </c>
      <c r="Q327">
        <v>0.42309999999999998</v>
      </c>
      <c r="R327">
        <v>35</v>
      </c>
      <c r="S327">
        <v>122179.07</v>
      </c>
      <c r="T327">
        <v>0</v>
      </c>
      <c r="U327">
        <v>2416.17</v>
      </c>
    </row>
    <row r="328" spans="1:21" x14ac:dyDescent="0.35">
      <c r="A328">
        <v>2024</v>
      </c>
      <c r="B328">
        <v>5</v>
      </c>
      <c r="C328">
        <v>2</v>
      </c>
      <c r="D328" s="1">
        <v>45413</v>
      </c>
      <c r="E328" s="4" t="s">
        <v>27</v>
      </c>
      <c r="F328" s="4" t="s">
        <v>26</v>
      </c>
      <c r="G328" s="4" t="s">
        <v>107</v>
      </c>
      <c r="H328">
        <v>7</v>
      </c>
      <c r="I328">
        <v>14</v>
      </c>
      <c r="J328">
        <v>0</v>
      </c>
      <c r="K328">
        <v>14</v>
      </c>
      <c r="L328">
        <v>13603.5</v>
      </c>
      <c r="M328">
        <v>0</v>
      </c>
      <c r="N328">
        <v>13603.5</v>
      </c>
      <c r="O328">
        <v>8517.6</v>
      </c>
      <c r="P328">
        <v>5085.8999999999996</v>
      </c>
      <c r="Q328">
        <v>0.37390000000000001</v>
      </c>
      <c r="R328">
        <v>2</v>
      </c>
      <c r="S328">
        <v>6517.5</v>
      </c>
      <c r="T328">
        <v>0</v>
      </c>
      <c r="U328">
        <v>1943.36</v>
      </c>
    </row>
    <row r="329" spans="1:21" x14ac:dyDescent="0.35">
      <c r="A329">
        <v>2024</v>
      </c>
      <c r="B329">
        <v>5</v>
      </c>
      <c r="C329">
        <v>2</v>
      </c>
      <c r="D329" s="1">
        <v>45413</v>
      </c>
      <c r="E329" s="4" t="s">
        <v>27</v>
      </c>
      <c r="F329" s="4" t="s">
        <v>26</v>
      </c>
      <c r="G329" s="4" t="s">
        <v>109</v>
      </c>
      <c r="H329">
        <v>31</v>
      </c>
      <c r="I329">
        <v>34</v>
      </c>
      <c r="J329">
        <v>0</v>
      </c>
      <c r="K329">
        <v>34</v>
      </c>
      <c r="L329">
        <v>20409</v>
      </c>
      <c r="M329">
        <v>0</v>
      </c>
      <c r="N329">
        <v>20409</v>
      </c>
      <c r="O329">
        <v>12245.4</v>
      </c>
      <c r="P329">
        <v>8163.6</v>
      </c>
      <c r="Q329">
        <v>0.4</v>
      </c>
      <c r="R329">
        <v>0</v>
      </c>
      <c r="S329">
        <v>0</v>
      </c>
      <c r="T329">
        <v>0</v>
      </c>
      <c r="U329">
        <v>658.35</v>
      </c>
    </row>
    <row r="330" spans="1:21" x14ac:dyDescent="0.35">
      <c r="A330">
        <v>2024</v>
      </c>
      <c r="B330">
        <v>5</v>
      </c>
      <c r="C330">
        <v>2</v>
      </c>
      <c r="D330" s="1">
        <v>45413</v>
      </c>
      <c r="E330" s="4" t="s">
        <v>34</v>
      </c>
      <c r="F330" s="4" t="s">
        <v>28</v>
      </c>
      <c r="G330" s="4" t="s">
        <v>107</v>
      </c>
      <c r="H330">
        <v>160</v>
      </c>
      <c r="I330">
        <v>271</v>
      </c>
      <c r="J330">
        <v>0</v>
      </c>
      <c r="K330">
        <v>271</v>
      </c>
      <c r="L330">
        <v>174146.5</v>
      </c>
      <c r="M330">
        <v>0</v>
      </c>
      <c r="N330">
        <v>174146.5</v>
      </c>
      <c r="O330">
        <v>63715.75</v>
      </c>
      <c r="P330">
        <v>110430.75</v>
      </c>
      <c r="Q330">
        <v>0.6341</v>
      </c>
      <c r="R330">
        <v>23</v>
      </c>
      <c r="S330">
        <v>32483.66</v>
      </c>
      <c r="T330">
        <v>0</v>
      </c>
      <c r="U330">
        <v>1088.42</v>
      </c>
    </row>
    <row r="331" spans="1:21" x14ac:dyDescent="0.35">
      <c r="A331">
        <v>2024</v>
      </c>
      <c r="B331">
        <v>5</v>
      </c>
      <c r="C331">
        <v>2</v>
      </c>
      <c r="D331" s="1">
        <v>45413</v>
      </c>
      <c r="E331" s="4" t="s">
        <v>34</v>
      </c>
      <c r="F331" s="4" t="s">
        <v>28</v>
      </c>
      <c r="G331" s="4" t="s">
        <v>108</v>
      </c>
      <c r="H331">
        <v>51</v>
      </c>
      <c r="I331">
        <v>77</v>
      </c>
      <c r="J331">
        <v>0</v>
      </c>
      <c r="K331">
        <v>77</v>
      </c>
      <c r="L331">
        <v>31677.360000000001</v>
      </c>
      <c r="M331">
        <v>0</v>
      </c>
      <c r="N331">
        <v>31677.360000000001</v>
      </c>
      <c r="O331">
        <v>11480.7</v>
      </c>
      <c r="P331">
        <v>20196.66</v>
      </c>
      <c r="Q331">
        <v>0.63759999999999994</v>
      </c>
      <c r="R331">
        <v>7</v>
      </c>
      <c r="S331">
        <v>3987.36</v>
      </c>
      <c r="T331">
        <v>0</v>
      </c>
      <c r="U331">
        <v>621.12</v>
      </c>
    </row>
    <row r="332" spans="1:21" x14ac:dyDescent="0.35">
      <c r="A332">
        <v>2024</v>
      </c>
      <c r="B332">
        <v>5</v>
      </c>
      <c r="C332">
        <v>2</v>
      </c>
      <c r="D332" s="1">
        <v>45413</v>
      </c>
      <c r="E332" s="4" t="s">
        <v>34</v>
      </c>
      <c r="F332" s="4" t="s">
        <v>28</v>
      </c>
      <c r="G332" s="4" t="s">
        <v>109</v>
      </c>
      <c r="H332">
        <v>566</v>
      </c>
      <c r="I332">
        <v>872</v>
      </c>
      <c r="J332">
        <v>0</v>
      </c>
      <c r="K332">
        <v>872</v>
      </c>
      <c r="L332">
        <v>424794.86</v>
      </c>
      <c r="M332">
        <v>0</v>
      </c>
      <c r="N332">
        <v>424794.86</v>
      </c>
      <c r="O332">
        <v>154028</v>
      </c>
      <c r="P332">
        <v>270766.86</v>
      </c>
      <c r="Q332">
        <v>0.63739999999999997</v>
      </c>
      <c r="R332">
        <v>68</v>
      </c>
      <c r="S332">
        <v>64500.21</v>
      </c>
      <c r="T332">
        <v>0</v>
      </c>
      <c r="U332">
        <v>750.52</v>
      </c>
    </row>
    <row r="333" spans="1:21" x14ac:dyDescent="0.35">
      <c r="A333">
        <v>2024</v>
      </c>
      <c r="B333">
        <v>5</v>
      </c>
      <c r="C333">
        <v>2</v>
      </c>
      <c r="D333" s="1">
        <v>45413</v>
      </c>
      <c r="E333" s="4" t="s">
        <v>34</v>
      </c>
      <c r="F333" s="4" t="s">
        <v>24</v>
      </c>
      <c r="G333" s="4" t="s">
        <v>107</v>
      </c>
      <c r="H333">
        <v>74</v>
      </c>
      <c r="I333">
        <v>106</v>
      </c>
      <c r="J333">
        <v>5</v>
      </c>
      <c r="K333">
        <v>101</v>
      </c>
      <c r="L333">
        <v>199104.64000000001</v>
      </c>
      <c r="M333">
        <v>11146</v>
      </c>
      <c r="N333">
        <v>187958.64</v>
      </c>
      <c r="O333">
        <v>105442.15</v>
      </c>
      <c r="P333">
        <v>82516.490000000005</v>
      </c>
      <c r="Q333">
        <v>0.439</v>
      </c>
      <c r="R333">
        <v>6</v>
      </c>
      <c r="S333">
        <v>16199.64</v>
      </c>
      <c r="T333">
        <v>0</v>
      </c>
      <c r="U333">
        <v>2539.98</v>
      </c>
    </row>
    <row r="334" spans="1:21" x14ac:dyDescent="0.35">
      <c r="A334">
        <v>2024</v>
      </c>
      <c r="B334">
        <v>5</v>
      </c>
      <c r="C334">
        <v>2</v>
      </c>
      <c r="D334" s="1">
        <v>45413</v>
      </c>
      <c r="E334" s="4" t="s">
        <v>34</v>
      </c>
      <c r="F334" s="4" t="s">
        <v>24</v>
      </c>
      <c r="G334" s="4" t="s">
        <v>108</v>
      </c>
      <c r="H334">
        <v>10</v>
      </c>
      <c r="I334">
        <v>13</v>
      </c>
      <c r="J334">
        <v>0</v>
      </c>
      <c r="K334">
        <v>13</v>
      </c>
      <c r="L334">
        <v>17609.830000000002</v>
      </c>
      <c r="M334">
        <v>0</v>
      </c>
      <c r="N334">
        <v>17609.830000000002</v>
      </c>
      <c r="O334">
        <v>9859.85</v>
      </c>
      <c r="P334">
        <v>7749.98</v>
      </c>
      <c r="Q334">
        <v>0.44009999999999999</v>
      </c>
      <c r="R334">
        <v>1</v>
      </c>
      <c r="S334">
        <v>1061.83</v>
      </c>
      <c r="T334">
        <v>0</v>
      </c>
      <c r="U334">
        <v>1760.98</v>
      </c>
    </row>
    <row r="335" spans="1:21" x14ac:dyDescent="0.35">
      <c r="A335">
        <v>2024</v>
      </c>
      <c r="B335">
        <v>5</v>
      </c>
      <c r="C335">
        <v>2</v>
      </c>
      <c r="D335" s="1">
        <v>45413</v>
      </c>
      <c r="E335" s="4" t="s">
        <v>34</v>
      </c>
      <c r="F335" s="4" t="s">
        <v>24</v>
      </c>
      <c r="G335" s="4" t="s">
        <v>109</v>
      </c>
      <c r="H335">
        <v>188</v>
      </c>
      <c r="I335">
        <v>282</v>
      </c>
      <c r="J335">
        <v>8</v>
      </c>
      <c r="K335">
        <v>274</v>
      </c>
      <c r="L335">
        <v>463188.64</v>
      </c>
      <c r="M335">
        <v>9250.68</v>
      </c>
      <c r="N335">
        <v>453937.96</v>
      </c>
      <c r="O335">
        <v>258470.85</v>
      </c>
      <c r="P335">
        <v>195467.11</v>
      </c>
      <c r="Q335">
        <v>0.43059999999999998</v>
      </c>
      <c r="R335">
        <v>23</v>
      </c>
      <c r="S335">
        <v>62415.96</v>
      </c>
      <c r="T335">
        <v>0</v>
      </c>
      <c r="U335">
        <v>2414.56</v>
      </c>
    </row>
    <row r="336" spans="1:21" x14ac:dyDescent="0.35">
      <c r="A336">
        <v>2024</v>
      </c>
      <c r="B336">
        <v>5</v>
      </c>
      <c r="C336">
        <v>2</v>
      </c>
      <c r="D336" s="1">
        <v>45413</v>
      </c>
      <c r="E336" s="4" t="s">
        <v>34</v>
      </c>
      <c r="F336" s="4" t="s">
        <v>26</v>
      </c>
      <c r="G336" s="4" t="s">
        <v>107</v>
      </c>
      <c r="H336">
        <v>5</v>
      </c>
      <c r="I336">
        <v>8</v>
      </c>
      <c r="J336">
        <v>3</v>
      </c>
      <c r="K336">
        <v>5</v>
      </c>
      <c r="L336">
        <v>4576</v>
      </c>
      <c r="M336">
        <v>1716</v>
      </c>
      <c r="N336">
        <v>2860</v>
      </c>
      <c r="O336">
        <v>1716</v>
      </c>
      <c r="P336">
        <v>1144</v>
      </c>
      <c r="Q336">
        <v>0.4</v>
      </c>
      <c r="R336">
        <v>0</v>
      </c>
      <c r="S336">
        <v>0</v>
      </c>
      <c r="T336">
        <v>0</v>
      </c>
      <c r="U336">
        <v>572</v>
      </c>
    </row>
    <row r="337" spans="1:21" x14ac:dyDescent="0.35">
      <c r="A337">
        <v>2024</v>
      </c>
      <c r="B337">
        <v>5</v>
      </c>
      <c r="C337">
        <v>2</v>
      </c>
      <c r="D337" s="1">
        <v>45413</v>
      </c>
      <c r="E337" s="4" t="s">
        <v>34</v>
      </c>
      <c r="F337" s="4" t="s">
        <v>26</v>
      </c>
      <c r="G337" s="4" t="s">
        <v>108</v>
      </c>
      <c r="H337">
        <v>2</v>
      </c>
      <c r="I337">
        <v>2</v>
      </c>
      <c r="J337">
        <v>0</v>
      </c>
      <c r="K337">
        <v>2</v>
      </c>
      <c r="L337">
        <v>993.21</v>
      </c>
      <c r="M337">
        <v>0</v>
      </c>
      <c r="N337">
        <v>993.21</v>
      </c>
      <c r="O337">
        <v>765</v>
      </c>
      <c r="P337">
        <v>228.21</v>
      </c>
      <c r="Q337">
        <v>0.2298</v>
      </c>
      <c r="R337">
        <v>1</v>
      </c>
      <c r="S337">
        <v>627.21</v>
      </c>
      <c r="T337">
        <v>0</v>
      </c>
      <c r="U337">
        <v>496.61</v>
      </c>
    </row>
    <row r="338" spans="1:21" x14ac:dyDescent="0.35">
      <c r="A338">
        <v>2024</v>
      </c>
      <c r="B338">
        <v>5</v>
      </c>
      <c r="C338">
        <v>2</v>
      </c>
      <c r="D338" s="1">
        <v>45413</v>
      </c>
      <c r="E338" s="4" t="s">
        <v>34</v>
      </c>
      <c r="F338" s="4" t="s">
        <v>26</v>
      </c>
      <c r="G338" s="4" t="s">
        <v>109</v>
      </c>
      <c r="H338">
        <v>46</v>
      </c>
      <c r="I338">
        <v>78</v>
      </c>
      <c r="J338">
        <v>2</v>
      </c>
      <c r="K338">
        <v>76</v>
      </c>
      <c r="L338">
        <v>52071.77</v>
      </c>
      <c r="M338">
        <v>1046</v>
      </c>
      <c r="N338">
        <v>51025.77</v>
      </c>
      <c r="O338">
        <v>32596.799999999999</v>
      </c>
      <c r="P338">
        <v>18428.97</v>
      </c>
      <c r="Q338">
        <v>0.36120000000000002</v>
      </c>
      <c r="R338">
        <v>7</v>
      </c>
      <c r="S338">
        <v>8694.77</v>
      </c>
      <c r="T338">
        <v>0</v>
      </c>
      <c r="U338">
        <v>1109.26</v>
      </c>
    </row>
    <row r="339" spans="1:21" x14ac:dyDescent="0.35">
      <c r="A339">
        <v>2024</v>
      </c>
      <c r="B339">
        <v>5</v>
      </c>
      <c r="C339">
        <v>2</v>
      </c>
      <c r="D339" s="1">
        <v>45413</v>
      </c>
      <c r="E339" s="4" t="s">
        <v>36</v>
      </c>
      <c r="F339" s="4" t="s">
        <v>28</v>
      </c>
      <c r="G339" s="4" t="s">
        <v>107</v>
      </c>
      <c r="H339">
        <v>77</v>
      </c>
      <c r="I339">
        <v>115</v>
      </c>
      <c r="J339">
        <v>0</v>
      </c>
      <c r="K339">
        <v>115</v>
      </c>
      <c r="L339">
        <v>73394.12</v>
      </c>
      <c r="M339">
        <v>0</v>
      </c>
      <c r="N339">
        <v>73394.12</v>
      </c>
      <c r="O339">
        <v>26229.35</v>
      </c>
      <c r="P339">
        <v>47164.77</v>
      </c>
      <c r="Q339">
        <v>0.64259999999999995</v>
      </c>
      <c r="R339">
        <v>7</v>
      </c>
      <c r="S339">
        <v>7226.12</v>
      </c>
      <c r="T339">
        <v>0</v>
      </c>
      <c r="U339">
        <v>953.17</v>
      </c>
    </row>
    <row r="340" spans="1:21" x14ac:dyDescent="0.35">
      <c r="A340">
        <v>2024</v>
      </c>
      <c r="B340">
        <v>5</v>
      </c>
      <c r="C340">
        <v>2</v>
      </c>
      <c r="D340" s="1">
        <v>45413</v>
      </c>
      <c r="E340" s="4" t="s">
        <v>36</v>
      </c>
      <c r="F340" s="4" t="s">
        <v>28</v>
      </c>
      <c r="G340" s="4" t="s">
        <v>108</v>
      </c>
      <c r="H340">
        <v>146</v>
      </c>
      <c r="I340">
        <v>216</v>
      </c>
      <c r="J340">
        <v>0</v>
      </c>
      <c r="K340">
        <v>216</v>
      </c>
      <c r="L340">
        <v>70391.990000000005</v>
      </c>
      <c r="M340">
        <v>0</v>
      </c>
      <c r="N340">
        <v>70391.990000000005</v>
      </c>
      <c r="O340">
        <v>25286.1</v>
      </c>
      <c r="P340">
        <v>45105.89</v>
      </c>
      <c r="Q340">
        <v>0.64080000000000004</v>
      </c>
      <c r="R340">
        <v>13</v>
      </c>
      <c r="S340">
        <v>6086.99</v>
      </c>
      <c r="T340">
        <v>0</v>
      </c>
      <c r="U340">
        <v>482.14</v>
      </c>
    </row>
    <row r="341" spans="1:21" x14ac:dyDescent="0.35">
      <c r="A341">
        <v>2024</v>
      </c>
      <c r="B341">
        <v>5</v>
      </c>
      <c r="C341">
        <v>2</v>
      </c>
      <c r="D341" s="1">
        <v>45413</v>
      </c>
      <c r="E341" s="4" t="s">
        <v>36</v>
      </c>
      <c r="F341" s="4" t="s">
        <v>28</v>
      </c>
      <c r="G341" s="4" t="s">
        <v>109</v>
      </c>
      <c r="H341">
        <v>644</v>
      </c>
      <c r="I341">
        <v>998</v>
      </c>
      <c r="J341">
        <v>0</v>
      </c>
      <c r="K341">
        <v>998</v>
      </c>
      <c r="L341">
        <v>475356.44</v>
      </c>
      <c r="M341">
        <v>0</v>
      </c>
      <c r="N341">
        <v>475356.44</v>
      </c>
      <c r="O341">
        <v>171582.95</v>
      </c>
      <c r="P341">
        <v>303773.49</v>
      </c>
      <c r="Q341">
        <v>0.63900000000000001</v>
      </c>
      <c r="R341">
        <v>69</v>
      </c>
      <c r="S341">
        <v>56594.54</v>
      </c>
      <c r="T341">
        <v>0</v>
      </c>
      <c r="U341">
        <v>738.13</v>
      </c>
    </row>
    <row r="342" spans="1:21" x14ac:dyDescent="0.35">
      <c r="A342">
        <v>2024</v>
      </c>
      <c r="B342">
        <v>5</v>
      </c>
      <c r="C342">
        <v>2</v>
      </c>
      <c r="D342" s="1">
        <v>45413</v>
      </c>
      <c r="E342" s="4" t="s">
        <v>36</v>
      </c>
      <c r="F342" s="4" t="s">
        <v>24</v>
      </c>
      <c r="G342" s="4" t="s">
        <v>107</v>
      </c>
      <c r="H342">
        <v>39</v>
      </c>
      <c r="I342">
        <v>62</v>
      </c>
      <c r="J342">
        <v>0</v>
      </c>
      <c r="K342">
        <v>62</v>
      </c>
      <c r="L342">
        <v>78016.98</v>
      </c>
      <c r="M342">
        <v>0</v>
      </c>
      <c r="N342">
        <v>78016.98</v>
      </c>
      <c r="O342">
        <v>43314.7</v>
      </c>
      <c r="P342">
        <v>34702.28</v>
      </c>
      <c r="Q342">
        <v>0.44479999999999997</v>
      </c>
      <c r="R342">
        <v>4</v>
      </c>
      <c r="S342">
        <v>3547.98</v>
      </c>
      <c r="T342">
        <v>0</v>
      </c>
      <c r="U342">
        <v>2000.44</v>
      </c>
    </row>
    <row r="343" spans="1:21" x14ac:dyDescent="0.35">
      <c r="A343">
        <v>2024</v>
      </c>
      <c r="B343">
        <v>5</v>
      </c>
      <c r="C343">
        <v>2</v>
      </c>
      <c r="D343" s="1">
        <v>45413</v>
      </c>
      <c r="E343" s="4" t="s">
        <v>36</v>
      </c>
      <c r="F343" s="4" t="s">
        <v>24</v>
      </c>
      <c r="G343" s="4" t="s">
        <v>108</v>
      </c>
      <c r="H343">
        <v>25</v>
      </c>
      <c r="I343">
        <v>40</v>
      </c>
      <c r="J343">
        <v>0</v>
      </c>
      <c r="K343">
        <v>40</v>
      </c>
      <c r="L343">
        <v>66560.399999999994</v>
      </c>
      <c r="M343">
        <v>0</v>
      </c>
      <c r="N343">
        <v>66560.399999999994</v>
      </c>
      <c r="O343">
        <v>38724.400000000001</v>
      </c>
      <c r="P343">
        <v>27836</v>
      </c>
      <c r="Q343">
        <v>0.41820000000000002</v>
      </c>
      <c r="R343">
        <v>5</v>
      </c>
      <c r="S343">
        <v>13932.4</v>
      </c>
      <c r="T343">
        <v>0</v>
      </c>
      <c r="U343">
        <v>2662.42</v>
      </c>
    </row>
    <row r="344" spans="1:21" x14ac:dyDescent="0.35">
      <c r="A344">
        <v>2024</v>
      </c>
      <c r="B344">
        <v>5</v>
      </c>
      <c r="C344">
        <v>2</v>
      </c>
      <c r="D344" s="1">
        <v>45413</v>
      </c>
      <c r="E344" s="4" t="s">
        <v>36</v>
      </c>
      <c r="F344" s="4" t="s">
        <v>24</v>
      </c>
      <c r="G344" s="4" t="s">
        <v>109</v>
      </c>
      <c r="H344">
        <v>92</v>
      </c>
      <c r="I344">
        <v>123</v>
      </c>
      <c r="J344">
        <v>1</v>
      </c>
      <c r="K344">
        <v>122</v>
      </c>
      <c r="L344">
        <v>192992.69</v>
      </c>
      <c r="M344">
        <v>1440</v>
      </c>
      <c r="N344">
        <v>191552.69</v>
      </c>
      <c r="O344">
        <v>109503.35</v>
      </c>
      <c r="P344">
        <v>82049.34</v>
      </c>
      <c r="Q344">
        <v>0.42830000000000001</v>
      </c>
      <c r="R344">
        <v>10</v>
      </c>
      <c r="S344">
        <v>26294.69</v>
      </c>
      <c r="T344">
        <v>1</v>
      </c>
      <c r="U344">
        <v>2082.09</v>
      </c>
    </row>
    <row r="345" spans="1:21" x14ac:dyDescent="0.35">
      <c r="A345">
        <v>2024</v>
      </c>
      <c r="B345">
        <v>5</v>
      </c>
      <c r="C345">
        <v>2</v>
      </c>
      <c r="D345" s="1">
        <v>45413</v>
      </c>
      <c r="E345" s="4" t="s">
        <v>36</v>
      </c>
      <c r="F345" s="4" t="s">
        <v>26</v>
      </c>
      <c r="G345" s="4" t="s">
        <v>107</v>
      </c>
      <c r="H345">
        <v>2</v>
      </c>
      <c r="I345">
        <v>2</v>
      </c>
      <c r="J345">
        <v>0</v>
      </c>
      <c r="K345">
        <v>2</v>
      </c>
      <c r="L345">
        <v>1404</v>
      </c>
      <c r="M345">
        <v>0</v>
      </c>
      <c r="N345">
        <v>1404</v>
      </c>
      <c r="O345">
        <v>842.4</v>
      </c>
      <c r="P345">
        <v>561.6</v>
      </c>
      <c r="Q345">
        <v>0.4</v>
      </c>
      <c r="R345">
        <v>0</v>
      </c>
      <c r="S345">
        <v>0</v>
      </c>
      <c r="T345">
        <v>0</v>
      </c>
      <c r="U345">
        <v>702</v>
      </c>
    </row>
    <row r="346" spans="1:21" x14ac:dyDescent="0.35">
      <c r="A346">
        <v>2024</v>
      </c>
      <c r="B346">
        <v>5</v>
      </c>
      <c r="C346">
        <v>2</v>
      </c>
      <c r="D346" s="1">
        <v>45413</v>
      </c>
      <c r="E346" s="4" t="s">
        <v>36</v>
      </c>
      <c r="F346" s="4" t="s">
        <v>26</v>
      </c>
      <c r="G346" s="4" t="s">
        <v>109</v>
      </c>
      <c r="H346">
        <v>61</v>
      </c>
      <c r="I346">
        <v>91</v>
      </c>
      <c r="J346">
        <v>1</v>
      </c>
      <c r="K346">
        <v>90</v>
      </c>
      <c r="L346">
        <v>76924.19</v>
      </c>
      <c r="M346">
        <v>228.24</v>
      </c>
      <c r="N346">
        <v>76695.95</v>
      </c>
      <c r="O346">
        <v>46462.8</v>
      </c>
      <c r="P346">
        <v>30233.15</v>
      </c>
      <c r="Q346">
        <v>0.39419999999999999</v>
      </c>
      <c r="R346">
        <v>6</v>
      </c>
      <c r="S346">
        <v>6872.95</v>
      </c>
      <c r="T346">
        <v>0</v>
      </c>
      <c r="U346">
        <v>1257.31</v>
      </c>
    </row>
    <row r="347" spans="1:21" x14ac:dyDescent="0.35">
      <c r="A347">
        <v>2024</v>
      </c>
      <c r="B347">
        <v>5</v>
      </c>
      <c r="C347">
        <v>2</v>
      </c>
      <c r="D347" s="1">
        <v>45413</v>
      </c>
      <c r="E347" s="4" t="s">
        <v>23</v>
      </c>
      <c r="F347" s="4" t="s">
        <v>28</v>
      </c>
      <c r="G347" s="4" t="s">
        <v>107</v>
      </c>
      <c r="H347">
        <v>99</v>
      </c>
      <c r="I347">
        <v>144</v>
      </c>
      <c r="J347">
        <v>0</v>
      </c>
      <c r="K347">
        <v>144</v>
      </c>
      <c r="L347">
        <v>46948.2</v>
      </c>
      <c r="M347">
        <v>0</v>
      </c>
      <c r="N347">
        <v>46948.2</v>
      </c>
      <c r="O347">
        <v>17035.2</v>
      </c>
      <c r="P347">
        <v>29913</v>
      </c>
      <c r="Q347">
        <v>0.6371</v>
      </c>
      <c r="R347">
        <v>11</v>
      </c>
      <c r="S347">
        <v>8754.2000000000007</v>
      </c>
      <c r="T347">
        <v>0</v>
      </c>
      <c r="U347">
        <v>474.22</v>
      </c>
    </row>
    <row r="348" spans="1:21" x14ac:dyDescent="0.35">
      <c r="A348">
        <v>2024</v>
      </c>
      <c r="B348">
        <v>5</v>
      </c>
      <c r="C348">
        <v>2</v>
      </c>
      <c r="D348" s="1">
        <v>45413</v>
      </c>
      <c r="E348" s="4" t="s">
        <v>23</v>
      </c>
      <c r="F348" s="4" t="s">
        <v>28</v>
      </c>
      <c r="G348" s="4" t="s">
        <v>108</v>
      </c>
      <c r="H348">
        <v>31</v>
      </c>
      <c r="I348">
        <v>53</v>
      </c>
      <c r="J348">
        <v>0</v>
      </c>
      <c r="K348">
        <v>53</v>
      </c>
      <c r="L348">
        <v>36155.29</v>
      </c>
      <c r="M348">
        <v>0</v>
      </c>
      <c r="N348">
        <v>36155.29</v>
      </c>
      <c r="O348">
        <v>13040.65</v>
      </c>
      <c r="P348">
        <v>23114.639999999999</v>
      </c>
      <c r="Q348">
        <v>0.63929999999999998</v>
      </c>
      <c r="R348">
        <v>2</v>
      </c>
      <c r="S348">
        <v>3817.29</v>
      </c>
      <c r="T348">
        <v>0</v>
      </c>
      <c r="U348">
        <v>1166.3</v>
      </c>
    </row>
    <row r="349" spans="1:21" x14ac:dyDescent="0.35">
      <c r="A349">
        <v>2024</v>
      </c>
      <c r="B349">
        <v>5</v>
      </c>
      <c r="C349">
        <v>2</v>
      </c>
      <c r="D349" s="1">
        <v>45413</v>
      </c>
      <c r="E349" s="4" t="s">
        <v>23</v>
      </c>
      <c r="F349" s="4" t="s">
        <v>28</v>
      </c>
      <c r="G349" s="4" t="s">
        <v>109</v>
      </c>
      <c r="H349">
        <v>547</v>
      </c>
      <c r="I349">
        <v>855</v>
      </c>
      <c r="J349">
        <v>0</v>
      </c>
      <c r="K349">
        <v>855</v>
      </c>
      <c r="L349">
        <v>391221.52</v>
      </c>
      <c r="M349">
        <v>0</v>
      </c>
      <c r="N349">
        <v>391221.52</v>
      </c>
      <c r="O349">
        <v>141165.5</v>
      </c>
      <c r="P349">
        <v>250056.02</v>
      </c>
      <c r="Q349">
        <v>0.63919999999999999</v>
      </c>
      <c r="R349">
        <v>69</v>
      </c>
      <c r="S349">
        <v>53451.05</v>
      </c>
      <c r="T349">
        <v>0</v>
      </c>
      <c r="U349">
        <v>715.21</v>
      </c>
    </row>
    <row r="350" spans="1:21" x14ac:dyDescent="0.35">
      <c r="A350">
        <v>2024</v>
      </c>
      <c r="B350">
        <v>5</v>
      </c>
      <c r="C350">
        <v>2</v>
      </c>
      <c r="D350" s="1">
        <v>45413</v>
      </c>
      <c r="E350" s="4" t="s">
        <v>23</v>
      </c>
      <c r="F350" s="4" t="s">
        <v>24</v>
      </c>
      <c r="G350" s="4" t="s">
        <v>107</v>
      </c>
      <c r="H350">
        <v>63</v>
      </c>
      <c r="I350">
        <v>96</v>
      </c>
      <c r="J350">
        <v>1</v>
      </c>
      <c r="K350">
        <v>95</v>
      </c>
      <c r="L350">
        <v>169508.97</v>
      </c>
      <c r="M350">
        <v>2449</v>
      </c>
      <c r="N350">
        <v>167059.97</v>
      </c>
      <c r="O350">
        <v>94070.9</v>
      </c>
      <c r="P350">
        <v>72989.070000000007</v>
      </c>
      <c r="Q350">
        <v>0.43690000000000001</v>
      </c>
      <c r="R350">
        <v>6</v>
      </c>
      <c r="S350">
        <v>15472.97</v>
      </c>
      <c r="T350">
        <v>0</v>
      </c>
      <c r="U350">
        <v>2651.75</v>
      </c>
    </row>
    <row r="351" spans="1:21" x14ac:dyDescent="0.35">
      <c r="A351">
        <v>2024</v>
      </c>
      <c r="B351">
        <v>5</v>
      </c>
      <c r="C351">
        <v>2</v>
      </c>
      <c r="D351" s="1">
        <v>45413</v>
      </c>
      <c r="E351" s="4" t="s">
        <v>23</v>
      </c>
      <c r="F351" s="4" t="s">
        <v>24</v>
      </c>
      <c r="G351" s="4" t="s">
        <v>109</v>
      </c>
      <c r="H351">
        <v>140</v>
      </c>
      <c r="I351">
        <v>190</v>
      </c>
      <c r="J351">
        <v>7</v>
      </c>
      <c r="K351">
        <v>183</v>
      </c>
      <c r="L351">
        <v>227242.56</v>
      </c>
      <c r="M351">
        <v>8849</v>
      </c>
      <c r="N351">
        <v>218393.56</v>
      </c>
      <c r="O351">
        <v>122718.2</v>
      </c>
      <c r="P351">
        <v>95675.36</v>
      </c>
      <c r="Q351">
        <v>0.43809999999999999</v>
      </c>
      <c r="R351">
        <v>12</v>
      </c>
      <c r="S351">
        <v>21651.56</v>
      </c>
      <c r="T351">
        <v>0</v>
      </c>
      <c r="U351">
        <v>1559.95</v>
      </c>
    </row>
    <row r="352" spans="1:21" x14ac:dyDescent="0.35">
      <c r="A352">
        <v>2024</v>
      </c>
      <c r="B352">
        <v>5</v>
      </c>
      <c r="C352">
        <v>2</v>
      </c>
      <c r="D352" s="1">
        <v>45413</v>
      </c>
      <c r="E352" s="4" t="s">
        <v>23</v>
      </c>
      <c r="F352" s="4" t="s">
        <v>26</v>
      </c>
      <c r="G352" s="4" t="s">
        <v>107</v>
      </c>
      <c r="H352">
        <v>8</v>
      </c>
      <c r="I352">
        <v>16</v>
      </c>
      <c r="J352">
        <v>0</v>
      </c>
      <c r="K352">
        <v>16</v>
      </c>
      <c r="L352">
        <v>8020.28</v>
      </c>
      <c r="M352">
        <v>0</v>
      </c>
      <c r="N352">
        <v>8020.28</v>
      </c>
      <c r="O352">
        <v>5169</v>
      </c>
      <c r="P352">
        <v>2851.28</v>
      </c>
      <c r="Q352">
        <v>0.35549999999999998</v>
      </c>
      <c r="R352">
        <v>2</v>
      </c>
      <c r="S352">
        <v>2591.2800000000002</v>
      </c>
      <c r="T352">
        <v>0</v>
      </c>
      <c r="U352">
        <v>1002.54</v>
      </c>
    </row>
    <row r="353" spans="1:21" x14ac:dyDescent="0.35">
      <c r="A353">
        <v>2024</v>
      </c>
      <c r="B353">
        <v>5</v>
      </c>
      <c r="C353">
        <v>2</v>
      </c>
      <c r="D353" s="1">
        <v>45413</v>
      </c>
      <c r="E353" s="4" t="s">
        <v>23</v>
      </c>
      <c r="F353" s="4" t="s">
        <v>26</v>
      </c>
      <c r="G353" s="4" t="s">
        <v>109</v>
      </c>
      <c r="H353">
        <v>26</v>
      </c>
      <c r="I353">
        <v>43</v>
      </c>
      <c r="J353">
        <v>1</v>
      </c>
      <c r="K353">
        <v>42</v>
      </c>
      <c r="L353">
        <v>27862.7</v>
      </c>
      <c r="M353">
        <v>938</v>
      </c>
      <c r="N353">
        <v>26924.7</v>
      </c>
      <c r="O353">
        <v>16783.2</v>
      </c>
      <c r="P353">
        <v>10141.5</v>
      </c>
      <c r="Q353">
        <v>0.37669999999999998</v>
      </c>
      <c r="R353">
        <v>4</v>
      </c>
      <c r="S353">
        <v>7271.7</v>
      </c>
      <c r="T353">
        <v>0</v>
      </c>
      <c r="U353">
        <v>1035.57</v>
      </c>
    </row>
    <row r="354" spans="1:21" x14ac:dyDescent="0.35">
      <c r="A354">
        <v>2024</v>
      </c>
      <c r="B354">
        <v>5</v>
      </c>
      <c r="C354">
        <v>2</v>
      </c>
      <c r="D354" s="1">
        <v>45413</v>
      </c>
      <c r="E354" s="4" t="s">
        <v>25</v>
      </c>
      <c r="F354" s="4" t="s">
        <v>28</v>
      </c>
      <c r="G354" s="4" t="s">
        <v>107</v>
      </c>
      <c r="H354">
        <v>28</v>
      </c>
      <c r="I354">
        <v>40</v>
      </c>
      <c r="J354">
        <v>0</v>
      </c>
      <c r="K354">
        <v>40</v>
      </c>
      <c r="L354">
        <v>18970.490000000002</v>
      </c>
      <c r="M354">
        <v>0</v>
      </c>
      <c r="N354">
        <v>18970.490000000002</v>
      </c>
      <c r="O354">
        <v>6958</v>
      </c>
      <c r="P354">
        <v>12012.49</v>
      </c>
      <c r="Q354">
        <v>0.63319999999999999</v>
      </c>
      <c r="R354">
        <v>5</v>
      </c>
      <c r="S354">
        <v>4557.49</v>
      </c>
      <c r="T354">
        <v>0</v>
      </c>
      <c r="U354">
        <v>677.52</v>
      </c>
    </row>
    <row r="355" spans="1:21" x14ac:dyDescent="0.35">
      <c r="A355">
        <v>2024</v>
      </c>
      <c r="B355">
        <v>5</v>
      </c>
      <c r="C355">
        <v>2</v>
      </c>
      <c r="D355" s="1">
        <v>45413</v>
      </c>
      <c r="E355" s="4" t="s">
        <v>25</v>
      </c>
      <c r="F355" s="4" t="s">
        <v>28</v>
      </c>
      <c r="G355" s="4" t="s">
        <v>109</v>
      </c>
      <c r="H355">
        <v>601</v>
      </c>
      <c r="I355">
        <v>924</v>
      </c>
      <c r="J355">
        <v>0</v>
      </c>
      <c r="K355">
        <v>924</v>
      </c>
      <c r="L355">
        <v>507618.32</v>
      </c>
      <c r="M355">
        <v>0</v>
      </c>
      <c r="N355">
        <v>507618.32</v>
      </c>
      <c r="O355">
        <v>183981.35</v>
      </c>
      <c r="P355">
        <v>323636.96999999997</v>
      </c>
      <c r="Q355">
        <v>0.63759999999999994</v>
      </c>
      <c r="R355">
        <v>73</v>
      </c>
      <c r="S355">
        <v>69519.960000000006</v>
      </c>
      <c r="T355">
        <v>0</v>
      </c>
      <c r="U355">
        <v>844.62</v>
      </c>
    </row>
    <row r="356" spans="1:21" x14ac:dyDescent="0.35">
      <c r="A356">
        <v>2024</v>
      </c>
      <c r="B356">
        <v>5</v>
      </c>
      <c r="C356">
        <v>2</v>
      </c>
      <c r="D356" s="1">
        <v>45413</v>
      </c>
      <c r="E356" s="4" t="s">
        <v>25</v>
      </c>
      <c r="F356" s="4" t="s">
        <v>24</v>
      </c>
      <c r="G356" s="4" t="s">
        <v>107</v>
      </c>
      <c r="H356">
        <v>31</v>
      </c>
      <c r="I356">
        <v>42</v>
      </c>
      <c r="J356">
        <v>0</v>
      </c>
      <c r="K356">
        <v>42</v>
      </c>
      <c r="L356">
        <v>78190.84</v>
      </c>
      <c r="M356">
        <v>0</v>
      </c>
      <c r="N356">
        <v>78190.84</v>
      </c>
      <c r="O356">
        <v>43827.85</v>
      </c>
      <c r="P356">
        <v>34362.99</v>
      </c>
      <c r="Q356">
        <v>0.4395</v>
      </c>
      <c r="R356">
        <v>3</v>
      </c>
      <c r="S356">
        <v>8893.84</v>
      </c>
      <c r="T356">
        <v>0</v>
      </c>
      <c r="U356">
        <v>2522.29</v>
      </c>
    </row>
    <row r="357" spans="1:21" x14ac:dyDescent="0.35">
      <c r="A357">
        <v>2024</v>
      </c>
      <c r="B357">
        <v>5</v>
      </c>
      <c r="C357">
        <v>2</v>
      </c>
      <c r="D357" s="1">
        <v>45413</v>
      </c>
      <c r="E357" s="4" t="s">
        <v>25</v>
      </c>
      <c r="F357" s="4" t="s">
        <v>24</v>
      </c>
      <c r="G357" s="4" t="s">
        <v>109</v>
      </c>
      <c r="H357">
        <v>176</v>
      </c>
      <c r="I357">
        <v>264</v>
      </c>
      <c r="J357">
        <v>13</v>
      </c>
      <c r="K357">
        <v>251</v>
      </c>
      <c r="L357">
        <v>398128.75</v>
      </c>
      <c r="M357">
        <v>23108</v>
      </c>
      <c r="N357">
        <v>375020.75</v>
      </c>
      <c r="O357">
        <v>216101.6</v>
      </c>
      <c r="P357">
        <v>158919.15</v>
      </c>
      <c r="Q357">
        <v>0.42380000000000001</v>
      </c>
      <c r="R357">
        <v>17</v>
      </c>
      <c r="S357">
        <v>58154.91</v>
      </c>
      <c r="T357">
        <v>0</v>
      </c>
      <c r="U357">
        <v>2130.8000000000002</v>
      </c>
    </row>
    <row r="358" spans="1:21" x14ac:dyDescent="0.35">
      <c r="A358">
        <v>2024</v>
      </c>
      <c r="B358">
        <v>5</v>
      </c>
      <c r="C358">
        <v>2</v>
      </c>
      <c r="D358" s="1">
        <v>45413</v>
      </c>
      <c r="E358" s="4" t="s">
        <v>25</v>
      </c>
      <c r="F358" s="4" t="s">
        <v>26</v>
      </c>
      <c r="G358" s="4" t="s">
        <v>107</v>
      </c>
      <c r="H358">
        <v>19</v>
      </c>
      <c r="I358">
        <v>30</v>
      </c>
      <c r="J358">
        <v>0</v>
      </c>
      <c r="K358">
        <v>30</v>
      </c>
      <c r="L358">
        <v>24863</v>
      </c>
      <c r="M358">
        <v>0</v>
      </c>
      <c r="N358">
        <v>24863</v>
      </c>
      <c r="O358">
        <v>15070.8</v>
      </c>
      <c r="P358">
        <v>9792.2000000000007</v>
      </c>
      <c r="Q358">
        <v>0.39379999999999998</v>
      </c>
      <c r="R358">
        <v>1</v>
      </c>
      <c r="S358">
        <v>595</v>
      </c>
      <c r="T358">
        <v>0</v>
      </c>
      <c r="U358">
        <v>1308.58</v>
      </c>
    </row>
    <row r="359" spans="1:21" x14ac:dyDescent="0.35">
      <c r="A359">
        <v>2024</v>
      </c>
      <c r="B359">
        <v>5</v>
      </c>
      <c r="C359">
        <v>2</v>
      </c>
      <c r="D359" s="1">
        <v>45413</v>
      </c>
      <c r="E359" s="4" t="s">
        <v>25</v>
      </c>
      <c r="F359" s="4" t="s">
        <v>26</v>
      </c>
      <c r="G359" s="4" t="s">
        <v>109</v>
      </c>
      <c r="H359">
        <v>33</v>
      </c>
      <c r="I359">
        <v>48</v>
      </c>
      <c r="J359">
        <v>0</v>
      </c>
      <c r="K359">
        <v>48</v>
      </c>
      <c r="L359">
        <v>33920.82</v>
      </c>
      <c r="M359">
        <v>0</v>
      </c>
      <c r="N359">
        <v>33920.82</v>
      </c>
      <c r="O359">
        <v>21599.4</v>
      </c>
      <c r="P359">
        <v>12321.42</v>
      </c>
      <c r="Q359">
        <v>0.36320000000000002</v>
      </c>
      <c r="R359">
        <v>4</v>
      </c>
      <c r="S359">
        <v>6285.82</v>
      </c>
      <c r="T359">
        <v>0</v>
      </c>
      <c r="U359">
        <v>1027.9000000000001</v>
      </c>
    </row>
    <row r="360" spans="1:21" x14ac:dyDescent="0.35">
      <c r="A360">
        <v>2024</v>
      </c>
      <c r="B360">
        <v>5</v>
      </c>
      <c r="C360">
        <v>2</v>
      </c>
      <c r="D360" s="1">
        <v>45413</v>
      </c>
      <c r="E360" s="4" t="s">
        <v>29</v>
      </c>
      <c r="F360" s="4" t="s">
        <v>28</v>
      </c>
      <c r="G360" s="4" t="s">
        <v>107</v>
      </c>
      <c r="H360">
        <v>197</v>
      </c>
      <c r="I360">
        <v>309</v>
      </c>
      <c r="J360">
        <v>0</v>
      </c>
      <c r="K360">
        <v>309</v>
      </c>
      <c r="L360">
        <v>147706.79999999999</v>
      </c>
      <c r="M360">
        <v>0</v>
      </c>
      <c r="N360">
        <v>147706.79999999999</v>
      </c>
      <c r="O360">
        <v>54990.6</v>
      </c>
      <c r="P360">
        <v>92716.2</v>
      </c>
      <c r="Q360">
        <v>0.62770000000000004</v>
      </c>
      <c r="R360">
        <v>33</v>
      </c>
      <c r="S360">
        <v>37246.800000000003</v>
      </c>
      <c r="T360">
        <v>0</v>
      </c>
      <c r="U360">
        <v>749.78</v>
      </c>
    </row>
    <row r="361" spans="1:21" x14ac:dyDescent="0.35">
      <c r="A361">
        <v>2024</v>
      </c>
      <c r="B361">
        <v>5</v>
      </c>
      <c r="C361">
        <v>2</v>
      </c>
      <c r="D361" s="1">
        <v>45413</v>
      </c>
      <c r="E361" s="4" t="s">
        <v>29</v>
      </c>
      <c r="F361" s="4" t="s">
        <v>28</v>
      </c>
      <c r="G361" s="4" t="s">
        <v>108</v>
      </c>
      <c r="H361">
        <v>24</v>
      </c>
      <c r="I361">
        <v>35</v>
      </c>
      <c r="J361">
        <v>0</v>
      </c>
      <c r="K361">
        <v>35</v>
      </c>
      <c r="L361">
        <v>20623.36</v>
      </c>
      <c r="M361">
        <v>0</v>
      </c>
      <c r="N361">
        <v>20623.36</v>
      </c>
      <c r="O361">
        <v>7448</v>
      </c>
      <c r="P361">
        <v>13175.36</v>
      </c>
      <c r="Q361">
        <v>0.63890000000000002</v>
      </c>
      <c r="R361">
        <v>2</v>
      </c>
      <c r="S361">
        <v>2991.36</v>
      </c>
      <c r="T361">
        <v>0</v>
      </c>
      <c r="U361">
        <v>859.31</v>
      </c>
    </row>
    <row r="362" spans="1:21" x14ac:dyDescent="0.35">
      <c r="A362">
        <v>2024</v>
      </c>
      <c r="B362">
        <v>5</v>
      </c>
      <c r="C362">
        <v>2</v>
      </c>
      <c r="D362" s="1">
        <v>45413</v>
      </c>
      <c r="E362" s="4" t="s">
        <v>29</v>
      </c>
      <c r="F362" s="4" t="s">
        <v>28</v>
      </c>
      <c r="G362" s="4" t="s">
        <v>109</v>
      </c>
      <c r="H362">
        <v>807</v>
      </c>
      <c r="I362">
        <v>1235</v>
      </c>
      <c r="J362">
        <v>0</v>
      </c>
      <c r="K362">
        <v>1235</v>
      </c>
      <c r="L362">
        <v>588095</v>
      </c>
      <c r="M362">
        <v>0</v>
      </c>
      <c r="N362">
        <v>588095</v>
      </c>
      <c r="O362">
        <v>212300.9</v>
      </c>
      <c r="P362">
        <v>375794.1</v>
      </c>
      <c r="Q362">
        <v>0.63900000000000001</v>
      </c>
      <c r="R362">
        <v>96</v>
      </c>
      <c r="S362">
        <v>78201.94</v>
      </c>
      <c r="T362">
        <v>0</v>
      </c>
      <c r="U362">
        <v>728.74</v>
      </c>
    </row>
    <row r="363" spans="1:21" x14ac:dyDescent="0.35">
      <c r="A363">
        <v>2024</v>
      </c>
      <c r="B363">
        <v>5</v>
      </c>
      <c r="C363">
        <v>2</v>
      </c>
      <c r="D363" s="1">
        <v>45413</v>
      </c>
      <c r="E363" s="4" t="s">
        <v>29</v>
      </c>
      <c r="F363" s="4" t="s">
        <v>35</v>
      </c>
      <c r="G363" s="4" t="s">
        <v>109</v>
      </c>
      <c r="H363">
        <v>1</v>
      </c>
      <c r="I363">
        <v>1</v>
      </c>
      <c r="J363">
        <v>0</v>
      </c>
      <c r="K363">
        <v>1</v>
      </c>
      <c r="L363">
        <v>572</v>
      </c>
      <c r="M363">
        <v>0</v>
      </c>
      <c r="N363">
        <v>572</v>
      </c>
      <c r="O363">
        <v>114.4</v>
      </c>
      <c r="P363">
        <v>457.6</v>
      </c>
      <c r="Q363">
        <v>0.8</v>
      </c>
      <c r="R363">
        <v>0</v>
      </c>
      <c r="S363">
        <v>0</v>
      </c>
      <c r="T363">
        <v>0</v>
      </c>
      <c r="U363">
        <v>572</v>
      </c>
    </row>
    <row r="364" spans="1:21" x14ac:dyDescent="0.35">
      <c r="A364">
        <v>2024</v>
      </c>
      <c r="B364">
        <v>5</v>
      </c>
      <c r="C364">
        <v>2</v>
      </c>
      <c r="D364" s="1">
        <v>45413</v>
      </c>
      <c r="E364" s="4" t="s">
        <v>29</v>
      </c>
      <c r="F364" s="4" t="s">
        <v>24</v>
      </c>
      <c r="G364" s="4" t="s">
        <v>107</v>
      </c>
      <c r="H364">
        <v>5</v>
      </c>
      <c r="I364">
        <v>10</v>
      </c>
      <c r="J364">
        <v>0</v>
      </c>
      <c r="K364">
        <v>10</v>
      </c>
      <c r="L364">
        <v>8640</v>
      </c>
      <c r="M364">
        <v>0</v>
      </c>
      <c r="N364">
        <v>8640</v>
      </c>
      <c r="O364">
        <v>4752</v>
      </c>
      <c r="P364">
        <v>3888</v>
      </c>
      <c r="Q364">
        <v>0.45</v>
      </c>
      <c r="R364">
        <v>0</v>
      </c>
      <c r="S364">
        <v>0</v>
      </c>
      <c r="T364">
        <v>0</v>
      </c>
      <c r="U364">
        <v>1728</v>
      </c>
    </row>
    <row r="365" spans="1:21" x14ac:dyDescent="0.35">
      <c r="A365">
        <v>2024</v>
      </c>
      <c r="B365">
        <v>5</v>
      </c>
      <c r="C365">
        <v>2</v>
      </c>
      <c r="D365" s="1">
        <v>45413</v>
      </c>
      <c r="E365" s="4" t="s">
        <v>29</v>
      </c>
      <c r="F365" s="4" t="s">
        <v>24</v>
      </c>
      <c r="G365" s="4" t="s">
        <v>108</v>
      </c>
      <c r="H365">
        <v>12</v>
      </c>
      <c r="I365">
        <v>15</v>
      </c>
      <c r="J365">
        <v>0</v>
      </c>
      <c r="K365">
        <v>15</v>
      </c>
      <c r="L365">
        <v>10766.42</v>
      </c>
      <c r="M365">
        <v>0</v>
      </c>
      <c r="N365">
        <v>10766.42</v>
      </c>
      <c r="O365">
        <v>6121.5</v>
      </c>
      <c r="P365">
        <v>4644.92</v>
      </c>
      <c r="Q365">
        <v>0.43140000000000001</v>
      </c>
      <c r="R365">
        <v>2</v>
      </c>
      <c r="S365">
        <v>1862.42</v>
      </c>
      <c r="T365">
        <v>0</v>
      </c>
      <c r="U365">
        <v>897.2</v>
      </c>
    </row>
    <row r="366" spans="1:21" x14ac:dyDescent="0.35">
      <c r="A366">
        <v>2024</v>
      </c>
      <c r="B366">
        <v>5</v>
      </c>
      <c r="C366">
        <v>2</v>
      </c>
      <c r="D366" s="1">
        <v>45413</v>
      </c>
      <c r="E366" s="4" t="s">
        <v>29</v>
      </c>
      <c r="F366" s="4" t="s">
        <v>24</v>
      </c>
      <c r="G366" s="4" t="s">
        <v>109</v>
      </c>
      <c r="H366">
        <v>128</v>
      </c>
      <c r="I366">
        <v>177</v>
      </c>
      <c r="J366">
        <v>5</v>
      </c>
      <c r="K366">
        <v>172</v>
      </c>
      <c r="L366">
        <v>343919.94</v>
      </c>
      <c r="M366">
        <v>8536</v>
      </c>
      <c r="N366">
        <v>335383.94</v>
      </c>
      <c r="O366">
        <v>189348.5</v>
      </c>
      <c r="P366">
        <v>146035.44</v>
      </c>
      <c r="Q366">
        <v>0.43540000000000001</v>
      </c>
      <c r="R366">
        <v>10</v>
      </c>
      <c r="S366">
        <v>33831.94</v>
      </c>
      <c r="T366">
        <v>0</v>
      </c>
      <c r="U366">
        <v>2620.19</v>
      </c>
    </row>
    <row r="367" spans="1:21" x14ac:dyDescent="0.35">
      <c r="A367">
        <v>2024</v>
      </c>
      <c r="B367">
        <v>5</v>
      </c>
      <c r="C367">
        <v>2</v>
      </c>
      <c r="D367" s="1">
        <v>45413</v>
      </c>
      <c r="E367" s="4" t="s">
        <v>29</v>
      </c>
      <c r="F367" s="4" t="s">
        <v>26</v>
      </c>
      <c r="G367" s="4" t="s">
        <v>107</v>
      </c>
      <c r="H367">
        <v>19</v>
      </c>
      <c r="I367">
        <v>25</v>
      </c>
      <c r="J367">
        <v>3</v>
      </c>
      <c r="K367">
        <v>22</v>
      </c>
      <c r="L367">
        <v>14785.2</v>
      </c>
      <c r="M367">
        <v>2721</v>
      </c>
      <c r="N367">
        <v>12064.2</v>
      </c>
      <c r="O367">
        <v>7375.2</v>
      </c>
      <c r="P367">
        <v>4689</v>
      </c>
      <c r="Q367">
        <v>0.38869999999999999</v>
      </c>
      <c r="R367">
        <v>1</v>
      </c>
      <c r="S367">
        <v>2050.1999999999998</v>
      </c>
      <c r="T367">
        <v>0</v>
      </c>
      <c r="U367">
        <v>634.96</v>
      </c>
    </row>
    <row r="368" spans="1:21" x14ac:dyDescent="0.35">
      <c r="A368">
        <v>2024</v>
      </c>
      <c r="B368">
        <v>5</v>
      </c>
      <c r="C368">
        <v>2</v>
      </c>
      <c r="D368" s="1">
        <v>45413</v>
      </c>
      <c r="E368" s="4" t="s">
        <v>29</v>
      </c>
      <c r="F368" s="4" t="s">
        <v>26</v>
      </c>
      <c r="G368" s="4" t="s">
        <v>109</v>
      </c>
      <c r="H368">
        <v>29</v>
      </c>
      <c r="I368">
        <v>40</v>
      </c>
      <c r="J368">
        <v>0</v>
      </c>
      <c r="K368">
        <v>40</v>
      </c>
      <c r="L368">
        <v>32816.26</v>
      </c>
      <c r="M368">
        <v>0</v>
      </c>
      <c r="N368">
        <v>32816.26</v>
      </c>
      <c r="O368">
        <v>20373.599999999999</v>
      </c>
      <c r="P368">
        <v>12442.66</v>
      </c>
      <c r="Q368">
        <v>0.37919999999999998</v>
      </c>
      <c r="R368">
        <v>3</v>
      </c>
      <c r="S368">
        <v>3092.26</v>
      </c>
      <c r="T368">
        <v>0</v>
      </c>
      <c r="U368">
        <v>1131.5999999999999</v>
      </c>
    </row>
    <row r="369" spans="1:21" x14ac:dyDescent="0.35">
      <c r="A369">
        <v>2024</v>
      </c>
      <c r="B369">
        <v>5</v>
      </c>
      <c r="C369">
        <v>2</v>
      </c>
      <c r="D369" s="1">
        <v>45413</v>
      </c>
      <c r="E369" s="4" t="s">
        <v>31</v>
      </c>
      <c r="F369" s="4" t="s">
        <v>28</v>
      </c>
      <c r="G369" s="4" t="s">
        <v>107</v>
      </c>
      <c r="H369">
        <v>72</v>
      </c>
      <c r="I369">
        <v>101</v>
      </c>
      <c r="J369">
        <v>0</v>
      </c>
      <c r="K369">
        <v>101</v>
      </c>
      <c r="L369">
        <v>39767.78</v>
      </c>
      <c r="M369">
        <v>0</v>
      </c>
      <c r="N369">
        <v>39767.78</v>
      </c>
      <c r="O369">
        <v>14423.15</v>
      </c>
      <c r="P369">
        <v>25344.63</v>
      </c>
      <c r="Q369">
        <v>0.63729999999999998</v>
      </c>
      <c r="R369">
        <v>11</v>
      </c>
      <c r="S369">
        <v>6169.78</v>
      </c>
      <c r="T369">
        <v>0</v>
      </c>
      <c r="U369">
        <v>552.33000000000004</v>
      </c>
    </row>
    <row r="370" spans="1:21" x14ac:dyDescent="0.35">
      <c r="A370">
        <v>2024</v>
      </c>
      <c r="B370">
        <v>5</v>
      </c>
      <c r="C370">
        <v>2</v>
      </c>
      <c r="D370" s="1">
        <v>45413</v>
      </c>
      <c r="E370" s="4" t="s">
        <v>31</v>
      </c>
      <c r="F370" s="4" t="s">
        <v>28</v>
      </c>
      <c r="G370" s="4" t="s">
        <v>108</v>
      </c>
      <c r="H370">
        <v>272</v>
      </c>
      <c r="I370">
        <v>396</v>
      </c>
      <c r="J370">
        <v>0</v>
      </c>
      <c r="K370">
        <v>396</v>
      </c>
      <c r="L370">
        <v>156011.85</v>
      </c>
      <c r="M370">
        <v>0</v>
      </c>
      <c r="N370">
        <v>156011.85</v>
      </c>
      <c r="O370">
        <v>56116.9</v>
      </c>
      <c r="P370">
        <v>99894.95</v>
      </c>
      <c r="Q370">
        <v>0.64029999999999998</v>
      </c>
      <c r="R370">
        <v>26</v>
      </c>
      <c r="S370">
        <v>16159.85</v>
      </c>
      <c r="T370">
        <v>0</v>
      </c>
      <c r="U370">
        <v>573.57000000000005</v>
      </c>
    </row>
    <row r="371" spans="1:21" x14ac:dyDescent="0.35">
      <c r="A371">
        <v>2024</v>
      </c>
      <c r="B371">
        <v>5</v>
      </c>
      <c r="C371">
        <v>2</v>
      </c>
      <c r="D371" s="1">
        <v>45413</v>
      </c>
      <c r="E371" s="4" t="s">
        <v>31</v>
      </c>
      <c r="F371" s="4" t="s">
        <v>28</v>
      </c>
      <c r="G371" s="4" t="s">
        <v>109</v>
      </c>
      <c r="H371">
        <v>822</v>
      </c>
      <c r="I371">
        <v>1277</v>
      </c>
      <c r="J371">
        <v>0</v>
      </c>
      <c r="K371">
        <v>1277</v>
      </c>
      <c r="L371">
        <v>635095.07999999996</v>
      </c>
      <c r="M371">
        <v>0</v>
      </c>
      <c r="N371">
        <v>635095.07999999996</v>
      </c>
      <c r="O371">
        <v>232499.05</v>
      </c>
      <c r="P371">
        <v>402596.03</v>
      </c>
      <c r="Q371">
        <v>0.63390000000000002</v>
      </c>
      <c r="R371">
        <v>111</v>
      </c>
      <c r="S371">
        <v>115180.11</v>
      </c>
      <c r="T371">
        <v>0</v>
      </c>
      <c r="U371">
        <v>772.62</v>
      </c>
    </row>
    <row r="372" spans="1:21" x14ac:dyDescent="0.35">
      <c r="A372">
        <v>2024</v>
      </c>
      <c r="B372">
        <v>5</v>
      </c>
      <c r="C372">
        <v>2</v>
      </c>
      <c r="D372" s="1">
        <v>45413</v>
      </c>
      <c r="E372" s="4" t="s">
        <v>31</v>
      </c>
      <c r="F372" s="4" t="s">
        <v>24</v>
      </c>
      <c r="G372" s="4" t="s">
        <v>107</v>
      </c>
      <c r="H372">
        <v>9</v>
      </c>
      <c r="I372">
        <v>17</v>
      </c>
      <c r="J372">
        <v>0</v>
      </c>
      <c r="K372">
        <v>17</v>
      </c>
      <c r="L372">
        <v>28742.799999999999</v>
      </c>
      <c r="M372">
        <v>0</v>
      </c>
      <c r="N372">
        <v>28742.799999999999</v>
      </c>
      <c r="O372">
        <v>16923.5</v>
      </c>
      <c r="P372">
        <v>11819.3</v>
      </c>
      <c r="Q372">
        <v>0.41120000000000001</v>
      </c>
      <c r="R372">
        <v>2</v>
      </c>
      <c r="S372">
        <v>8832.7999999999993</v>
      </c>
      <c r="T372">
        <v>0</v>
      </c>
      <c r="U372">
        <v>3193.64</v>
      </c>
    </row>
    <row r="373" spans="1:21" x14ac:dyDescent="0.35">
      <c r="A373">
        <v>2024</v>
      </c>
      <c r="B373">
        <v>5</v>
      </c>
      <c r="C373">
        <v>2</v>
      </c>
      <c r="D373" s="1">
        <v>45413</v>
      </c>
      <c r="E373" s="4" t="s">
        <v>31</v>
      </c>
      <c r="F373" s="4" t="s">
        <v>24</v>
      </c>
      <c r="G373" s="4" t="s">
        <v>109</v>
      </c>
      <c r="H373">
        <v>238</v>
      </c>
      <c r="I373">
        <v>347</v>
      </c>
      <c r="J373">
        <v>4</v>
      </c>
      <c r="K373">
        <v>343</v>
      </c>
      <c r="L373">
        <v>491901.59</v>
      </c>
      <c r="M373">
        <v>7490</v>
      </c>
      <c r="N373">
        <v>484411.59</v>
      </c>
      <c r="O373">
        <v>274655.7</v>
      </c>
      <c r="P373">
        <v>209755.89</v>
      </c>
      <c r="Q373">
        <v>0.433</v>
      </c>
      <c r="R373">
        <v>25</v>
      </c>
      <c r="S373">
        <v>60463.59</v>
      </c>
      <c r="T373">
        <v>0</v>
      </c>
      <c r="U373">
        <v>2035.34</v>
      </c>
    </row>
    <row r="374" spans="1:21" x14ac:dyDescent="0.35">
      <c r="A374">
        <v>2024</v>
      </c>
      <c r="B374">
        <v>5</v>
      </c>
      <c r="C374">
        <v>2</v>
      </c>
      <c r="D374" s="1">
        <v>45413</v>
      </c>
      <c r="E374" s="4" t="s">
        <v>31</v>
      </c>
      <c r="F374" s="4" t="s">
        <v>26</v>
      </c>
      <c r="G374" s="4" t="s">
        <v>107</v>
      </c>
      <c r="H374">
        <v>5</v>
      </c>
      <c r="I374">
        <v>5</v>
      </c>
      <c r="J374">
        <v>0</v>
      </c>
      <c r="K374">
        <v>5</v>
      </c>
      <c r="L374">
        <v>2282</v>
      </c>
      <c r="M374">
        <v>0</v>
      </c>
      <c r="N374">
        <v>2282</v>
      </c>
      <c r="O374">
        <v>1369.2</v>
      </c>
      <c r="P374">
        <v>912.8</v>
      </c>
      <c r="Q374">
        <v>0.4</v>
      </c>
      <c r="R374">
        <v>0</v>
      </c>
      <c r="S374">
        <v>0</v>
      </c>
      <c r="T374">
        <v>0</v>
      </c>
      <c r="U374">
        <v>456.4</v>
      </c>
    </row>
    <row r="375" spans="1:21" x14ac:dyDescent="0.35">
      <c r="A375">
        <v>2024</v>
      </c>
      <c r="B375">
        <v>5</v>
      </c>
      <c r="C375">
        <v>2</v>
      </c>
      <c r="D375" s="1">
        <v>45413</v>
      </c>
      <c r="E375" s="4" t="s">
        <v>31</v>
      </c>
      <c r="F375" s="4" t="s">
        <v>26</v>
      </c>
      <c r="G375" s="4" t="s">
        <v>109</v>
      </c>
      <c r="H375">
        <v>41</v>
      </c>
      <c r="I375">
        <v>57</v>
      </c>
      <c r="J375">
        <v>0</v>
      </c>
      <c r="K375">
        <v>57</v>
      </c>
      <c r="L375">
        <v>44546.29</v>
      </c>
      <c r="M375">
        <v>0</v>
      </c>
      <c r="N375">
        <v>44546.29</v>
      </c>
      <c r="O375">
        <v>27373.8</v>
      </c>
      <c r="P375">
        <v>17172.490000000002</v>
      </c>
      <c r="Q375">
        <v>0.38550000000000001</v>
      </c>
      <c r="R375">
        <v>6</v>
      </c>
      <c r="S375">
        <v>6096.29</v>
      </c>
      <c r="T375">
        <v>0</v>
      </c>
      <c r="U375">
        <v>1086.49</v>
      </c>
    </row>
    <row r="376" spans="1:21" x14ac:dyDescent="0.35">
      <c r="A376">
        <v>2024</v>
      </c>
      <c r="B376">
        <v>5</v>
      </c>
      <c r="C376">
        <v>2</v>
      </c>
      <c r="D376" s="1">
        <v>45413</v>
      </c>
      <c r="E376" s="4" t="s">
        <v>30</v>
      </c>
      <c r="F376" s="4" t="s">
        <v>28</v>
      </c>
      <c r="G376" s="4" t="s">
        <v>107</v>
      </c>
      <c r="H376">
        <v>120</v>
      </c>
      <c r="I376">
        <v>172</v>
      </c>
      <c r="J376">
        <v>0</v>
      </c>
      <c r="K376">
        <v>172</v>
      </c>
      <c r="L376">
        <v>75873.289999999994</v>
      </c>
      <c r="M376">
        <v>0</v>
      </c>
      <c r="N376">
        <v>75873.289999999994</v>
      </c>
      <c r="O376">
        <v>27150.2</v>
      </c>
      <c r="P376">
        <v>48723.09</v>
      </c>
      <c r="Q376">
        <v>0.64219999999999999</v>
      </c>
      <c r="R376">
        <v>13</v>
      </c>
      <c r="S376">
        <v>9642.3799999999992</v>
      </c>
      <c r="T376">
        <v>0</v>
      </c>
      <c r="U376">
        <v>632.28</v>
      </c>
    </row>
    <row r="377" spans="1:21" x14ac:dyDescent="0.35">
      <c r="A377">
        <v>2024</v>
      </c>
      <c r="B377">
        <v>5</v>
      </c>
      <c r="C377">
        <v>2</v>
      </c>
      <c r="D377" s="1">
        <v>45413</v>
      </c>
      <c r="E377" s="4" t="s">
        <v>30</v>
      </c>
      <c r="F377" s="4" t="s">
        <v>28</v>
      </c>
      <c r="G377" s="4" t="s">
        <v>108</v>
      </c>
      <c r="H377">
        <v>46</v>
      </c>
      <c r="I377">
        <v>70</v>
      </c>
      <c r="J377">
        <v>0</v>
      </c>
      <c r="K377">
        <v>70</v>
      </c>
      <c r="L377">
        <v>41432.550000000003</v>
      </c>
      <c r="M377">
        <v>0</v>
      </c>
      <c r="N377">
        <v>41432.550000000003</v>
      </c>
      <c r="O377">
        <v>15067.5</v>
      </c>
      <c r="P377">
        <v>26365.05</v>
      </c>
      <c r="Q377">
        <v>0.63629999999999998</v>
      </c>
      <c r="R377">
        <v>7</v>
      </c>
      <c r="S377">
        <v>9452.5499999999993</v>
      </c>
      <c r="T377">
        <v>0</v>
      </c>
      <c r="U377">
        <v>900.71</v>
      </c>
    </row>
    <row r="378" spans="1:21" x14ac:dyDescent="0.35">
      <c r="A378">
        <v>2024</v>
      </c>
      <c r="B378">
        <v>5</v>
      </c>
      <c r="C378">
        <v>2</v>
      </c>
      <c r="D378" s="1">
        <v>45413</v>
      </c>
      <c r="E378" s="4" t="s">
        <v>30</v>
      </c>
      <c r="F378" s="4" t="s">
        <v>28</v>
      </c>
      <c r="G378" s="4" t="s">
        <v>109</v>
      </c>
      <c r="H378">
        <v>642</v>
      </c>
      <c r="I378">
        <v>990</v>
      </c>
      <c r="J378">
        <v>0</v>
      </c>
      <c r="K378">
        <v>990</v>
      </c>
      <c r="L378">
        <v>396127.39</v>
      </c>
      <c r="M378">
        <v>0</v>
      </c>
      <c r="N378">
        <v>396127.39</v>
      </c>
      <c r="O378">
        <v>143676.04999999999</v>
      </c>
      <c r="P378">
        <v>252451.34</v>
      </c>
      <c r="Q378">
        <v>0.63729999999999998</v>
      </c>
      <c r="R378">
        <v>73</v>
      </c>
      <c r="S378">
        <v>54310.18</v>
      </c>
      <c r="T378">
        <v>0</v>
      </c>
      <c r="U378">
        <v>617.02</v>
      </c>
    </row>
    <row r="379" spans="1:21" x14ac:dyDescent="0.35">
      <c r="A379">
        <v>2024</v>
      </c>
      <c r="B379">
        <v>5</v>
      </c>
      <c r="C379">
        <v>2</v>
      </c>
      <c r="D379" s="1">
        <v>45413</v>
      </c>
      <c r="E379" s="4" t="s">
        <v>30</v>
      </c>
      <c r="F379" s="4" t="s">
        <v>24</v>
      </c>
      <c r="G379" s="4" t="s">
        <v>107</v>
      </c>
      <c r="H379">
        <v>65</v>
      </c>
      <c r="I379">
        <v>95</v>
      </c>
      <c r="J379">
        <v>4</v>
      </c>
      <c r="K379">
        <v>91</v>
      </c>
      <c r="L379">
        <v>172189.69</v>
      </c>
      <c r="M379">
        <v>6692</v>
      </c>
      <c r="N379">
        <v>165497.69</v>
      </c>
      <c r="O379">
        <v>96232.95</v>
      </c>
      <c r="P379">
        <v>69264.740000000005</v>
      </c>
      <c r="Q379">
        <v>0.41849999999999998</v>
      </c>
      <c r="R379">
        <v>12</v>
      </c>
      <c r="S379">
        <v>34865.69</v>
      </c>
      <c r="T379">
        <v>0</v>
      </c>
      <c r="U379">
        <v>2546.12</v>
      </c>
    </row>
    <row r="380" spans="1:21" x14ac:dyDescent="0.35">
      <c r="A380">
        <v>2024</v>
      </c>
      <c r="B380">
        <v>5</v>
      </c>
      <c r="C380">
        <v>2</v>
      </c>
      <c r="D380" s="1">
        <v>45413</v>
      </c>
      <c r="E380" s="4" t="s">
        <v>30</v>
      </c>
      <c r="F380" s="4" t="s">
        <v>24</v>
      </c>
      <c r="G380" s="4" t="s">
        <v>108</v>
      </c>
      <c r="H380">
        <v>7</v>
      </c>
      <c r="I380">
        <v>9</v>
      </c>
      <c r="J380">
        <v>0</v>
      </c>
      <c r="K380">
        <v>9</v>
      </c>
      <c r="L380">
        <v>20452.41</v>
      </c>
      <c r="M380">
        <v>0</v>
      </c>
      <c r="N380">
        <v>20452.41</v>
      </c>
      <c r="O380">
        <v>11924.55</v>
      </c>
      <c r="P380">
        <v>8527.86</v>
      </c>
      <c r="Q380">
        <v>0.41699999999999998</v>
      </c>
      <c r="R380">
        <v>3</v>
      </c>
      <c r="S380">
        <v>8407.41</v>
      </c>
      <c r="T380">
        <v>0</v>
      </c>
      <c r="U380">
        <v>2921.77</v>
      </c>
    </row>
    <row r="381" spans="1:21" x14ac:dyDescent="0.35">
      <c r="A381">
        <v>2024</v>
      </c>
      <c r="B381">
        <v>5</v>
      </c>
      <c r="C381">
        <v>2</v>
      </c>
      <c r="D381" s="1">
        <v>45413</v>
      </c>
      <c r="E381" s="4" t="s">
        <v>30</v>
      </c>
      <c r="F381" s="4" t="s">
        <v>24</v>
      </c>
      <c r="G381" s="4" t="s">
        <v>109</v>
      </c>
      <c r="H381">
        <v>221</v>
      </c>
      <c r="I381">
        <v>334</v>
      </c>
      <c r="J381">
        <v>9</v>
      </c>
      <c r="K381">
        <v>325</v>
      </c>
      <c r="L381">
        <v>571425.68000000005</v>
      </c>
      <c r="M381">
        <v>17133</v>
      </c>
      <c r="N381">
        <v>554292.68000000005</v>
      </c>
      <c r="O381">
        <v>319553.3</v>
      </c>
      <c r="P381">
        <v>234739.38</v>
      </c>
      <c r="Q381">
        <v>0.42349999999999999</v>
      </c>
      <c r="R381">
        <v>39</v>
      </c>
      <c r="S381">
        <v>123417.68</v>
      </c>
      <c r="T381">
        <v>0</v>
      </c>
      <c r="U381">
        <v>2508.11</v>
      </c>
    </row>
    <row r="382" spans="1:21" x14ac:dyDescent="0.35">
      <c r="A382">
        <v>2024</v>
      </c>
      <c r="B382">
        <v>5</v>
      </c>
      <c r="C382">
        <v>2</v>
      </c>
      <c r="D382" s="1">
        <v>45413</v>
      </c>
      <c r="E382" s="4" t="s">
        <v>30</v>
      </c>
      <c r="F382" s="4" t="s">
        <v>26</v>
      </c>
      <c r="G382" s="4" t="s">
        <v>107</v>
      </c>
      <c r="H382">
        <v>1</v>
      </c>
      <c r="I382">
        <v>1</v>
      </c>
      <c r="J382">
        <v>0</v>
      </c>
      <c r="K382">
        <v>1</v>
      </c>
      <c r="L382">
        <v>908</v>
      </c>
      <c r="M382">
        <v>0</v>
      </c>
      <c r="N382">
        <v>908</v>
      </c>
      <c r="O382">
        <v>544.79999999999995</v>
      </c>
      <c r="P382">
        <v>363.2</v>
      </c>
      <c r="Q382">
        <v>0.4</v>
      </c>
      <c r="R382">
        <v>0</v>
      </c>
      <c r="S382">
        <v>0</v>
      </c>
      <c r="T382">
        <v>0</v>
      </c>
      <c r="U382">
        <v>908</v>
      </c>
    </row>
    <row r="383" spans="1:21" x14ac:dyDescent="0.35">
      <c r="A383">
        <v>2024</v>
      </c>
      <c r="B383">
        <v>5</v>
      </c>
      <c r="C383">
        <v>2</v>
      </c>
      <c r="D383" s="1">
        <v>45413</v>
      </c>
      <c r="E383" s="4" t="s">
        <v>30</v>
      </c>
      <c r="F383" s="4" t="s">
        <v>26</v>
      </c>
      <c r="G383" s="4" t="s">
        <v>109</v>
      </c>
      <c r="H383">
        <v>53</v>
      </c>
      <c r="I383">
        <v>79</v>
      </c>
      <c r="J383">
        <v>4</v>
      </c>
      <c r="K383">
        <v>75</v>
      </c>
      <c r="L383">
        <v>63835.15</v>
      </c>
      <c r="M383">
        <v>3556</v>
      </c>
      <c r="N383">
        <v>60279.15</v>
      </c>
      <c r="O383">
        <v>38232.6</v>
      </c>
      <c r="P383">
        <v>22046.55</v>
      </c>
      <c r="Q383">
        <v>0.36570000000000003</v>
      </c>
      <c r="R383">
        <v>6</v>
      </c>
      <c r="S383">
        <v>10529.15</v>
      </c>
      <c r="T383">
        <v>0</v>
      </c>
      <c r="U383">
        <v>1137.3399999999999</v>
      </c>
    </row>
    <row r="384" spans="1:21" x14ac:dyDescent="0.35">
      <c r="A384">
        <v>2024</v>
      </c>
      <c r="B384">
        <v>5</v>
      </c>
      <c r="C384">
        <v>2</v>
      </c>
      <c r="D384" s="1">
        <v>45413</v>
      </c>
      <c r="E384" s="4" t="s">
        <v>78</v>
      </c>
      <c r="F384" s="4" t="s">
        <v>78</v>
      </c>
      <c r="G384" s="4" t="s">
        <v>110</v>
      </c>
      <c r="H384">
        <v>212</v>
      </c>
      <c r="I384">
        <v>313</v>
      </c>
      <c r="J384">
        <v>0</v>
      </c>
      <c r="K384">
        <v>313</v>
      </c>
      <c r="L384">
        <v>637181.46</v>
      </c>
      <c r="M384">
        <v>0</v>
      </c>
      <c r="N384">
        <v>637181.46</v>
      </c>
      <c r="O384">
        <v>95221.35</v>
      </c>
      <c r="P384">
        <v>541960.11</v>
      </c>
      <c r="Q384">
        <v>0.85060000000000002</v>
      </c>
      <c r="R384">
        <v>0</v>
      </c>
      <c r="S384">
        <v>0</v>
      </c>
      <c r="T384">
        <v>0</v>
      </c>
      <c r="U384">
        <v>3005.57</v>
      </c>
    </row>
    <row r="385" spans="1:21" x14ac:dyDescent="0.35">
      <c r="A385">
        <v>2024</v>
      </c>
      <c r="B385">
        <v>6</v>
      </c>
      <c r="C385">
        <v>2</v>
      </c>
      <c r="D385" s="1">
        <v>45444</v>
      </c>
      <c r="E385" s="4" t="s">
        <v>33</v>
      </c>
      <c r="F385" s="4" t="s">
        <v>28</v>
      </c>
      <c r="G385" s="4" t="s">
        <v>107</v>
      </c>
      <c r="H385">
        <v>125</v>
      </c>
      <c r="I385">
        <v>198</v>
      </c>
      <c r="J385">
        <v>0</v>
      </c>
      <c r="K385">
        <v>198</v>
      </c>
      <c r="L385">
        <v>61177.56</v>
      </c>
      <c r="M385">
        <v>0</v>
      </c>
      <c r="N385">
        <v>61177.56</v>
      </c>
      <c r="O385">
        <v>22696.799999999999</v>
      </c>
      <c r="P385">
        <v>38480.76</v>
      </c>
      <c r="Q385">
        <v>0.629</v>
      </c>
      <c r="R385">
        <v>22</v>
      </c>
      <c r="S385">
        <v>15187.56</v>
      </c>
      <c r="T385">
        <v>0</v>
      </c>
      <c r="U385">
        <v>489.42</v>
      </c>
    </row>
    <row r="386" spans="1:21" x14ac:dyDescent="0.35">
      <c r="A386">
        <v>2024</v>
      </c>
      <c r="B386">
        <v>6</v>
      </c>
      <c r="C386">
        <v>2</v>
      </c>
      <c r="D386" s="1">
        <v>45444</v>
      </c>
      <c r="E386" s="4" t="s">
        <v>33</v>
      </c>
      <c r="F386" s="4" t="s">
        <v>28</v>
      </c>
      <c r="G386" s="4" t="s">
        <v>108</v>
      </c>
      <c r="H386">
        <v>27</v>
      </c>
      <c r="I386">
        <v>39</v>
      </c>
      <c r="J386">
        <v>0</v>
      </c>
      <c r="K386">
        <v>39</v>
      </c>
      <c r="L386">
        <v>27098.720000000001</v>
      </c>
      <c r="M386">
        <v>0</v>
      </c>
      <c r="N386">
        <v>27098.720000000001</v>
      </c>
      <c r="O386">
        <v>9718.7999999999993</v>
      </c>
      <c r="P386">
        <v>17379.919999999998</v>
      </c>
      <c r="Q386">
        <v>0.64139999999999997</v>
      </c>
      <c r="R386">
        <v>2</v>
      </c>
      <c r="S386">
        <v>2178.7199999999998</v>
      </c>
      <c r="T386">
        <v>0</v>
      </c>
      <c r="U386">
        <v>1003.66</v>
      </c>
    </row>
    <row r="387" spans="1:21" x14ac:dyDescent="0.35">
      <c r="A387">
        <v>2024</v>
      </c>
      <c r="B387">
        <v>6</v>
      </c>
      <c r="C387">
        <v>2</v>
      </c>
      <c r="D387" s="1">
        <v>45444</v>
      </c>
      <c r="E387" s="4" t="s">
        <v>33</v>
      </c>
      <c r="F387" s="4" t="s">
        <v>28</v>
      </c>
      <c r="G387" s="4" t="s">
        <v>109</v>
      </c>
      <c r="H387">
        <v>617</v>
      </c>
      <c r="I387">
        <v>943</v>
      </c>
      <c r="J387">
        <v>0</v>
      </c>
      <c r="K387">
        <v>943</v>
      </c>
      <c r="L387">
        <v>476630.43</v>
      </c>
      <c r="M387">
        <v>0</v>
      </c>
      <c r="N387">
        <v>476630.43</v>
      </c>
      <c r="O387">
        <v>172119.5</v>
      </c>
      <c r="P387">
        <v>304510.93</v>
      </c>
      <c r="Q387">
        <v>0.63890000000000002</v>
      </c>
      <c r="R387">
        <v>69</v>
      </c>
      <c r="S387">
        <v>60317.34</v>
      </c>
      <c r="T387">
        <v>0</v>
      </c>
      <c r="U387">
        <v>772.5</v>
      </c>
    </row>
    <row r="388" spans="1:21" x14ac:dyDescent="0.35">
      <c r="A388">
        <v>2024</v>
      </c>
      <c r="B388">
        <v>6</v>
      </c>
      <c r="C388">
        <v>2</v>
      </c>
      <c r="D388" s="1">
        <v>45444</v>
      </c>
      <c r="E388" s="4" t="s">
        <v>33</v>
      </c>
      <c r="F388" s="4" t="s">
        <v>35</v>
      </c>
      <c r="G388" s="4" t="s">
        <v>109</v>
      </c>
      <c r="H388">
        <v>1</v>
      </c>
      <c r="I388">
        <v>1</v>
      </c>
      <c r="J388">
        <v>0</v>
      </c>
      <c r="K388">
        <v>1</v>
      </c>
      <c r="L388">
        <v>269</v>
      </c>
      <c r="M388">
        <v>0</v>
      </c>
      <c r="N388">
        <v>269</v>
      </c>
      <c r="O388">
        <v>53.8</v>
      </c>
      <c r="P388">
        <v>215.2</v>
      </c>
      <c r="Q388">
        <v>0.8</v>
      </c>
      <c r="R388">
        <v>0</v>
      </c>
      <c r="S388">
        <v>0</v>
      </c>
      <c r="T388">
        <v>0</v>
      </c>
      <c r="U388">
        <v>269</v>
      </c>
    </row>
    <row r="389" spans="1:21" x14ac:dyDescent="0.35">
      <c r="A389">
        <v>2024</v>
      </c>
      <c r="B389">
        <v>6</v>
      </c>
      <c r="C389">
        <v>2</v>
      </c>
      <c r="D389" s="1">
        <v>45444</v>
      </c>
      <c r="E389" s="4" t="s">
        <v>33</v>
      </c>
      <c r="F389" s="4" t="s">
        <v>24</v>
      </c>
      <c r="G389" s="4" t="s">
        <v>107</v>
      </c>
      <c r="H389">
        <v>10</v>
      </c>
      <c r="I389">
        <v>12</v>
      </c>
      <c r="J389">
        <v>0</v>
      </c>
      <c r="K389">
        <v>12</v>
      </c>
      <c r="L389">
        <v>20511.32</v>
      </c>
      <c r="M389">
        <v>0</v>
      </c>
      <c r="N389">
        <v>20511.32</v>
      </c>
      <c r="O389">
        <v>11548.35</v>
      </c>
      <c r="P389">
        <v>8962.9699999999993</v>
      </c>
      <c r="Q389">
        <v>0.437</v>
      </c>
      <c r="R389">
        <v>1</v>
      </c>
      <c r="S389">
        <v>3250.32</v>
      </c>
      <c r="T389">
        <v>0</v>
      </c>
      <c r="U389">
        <v>2051.13</v>
      </c>
    </row>
    <row r="390" spans="1:21" x14ac:dyDescent="0.35">
      <c r="A390">
        <v>2024</v>
      </c>
      <c r="B390">
        <v>6</v>
      </c>
      <c r="C390">
        <v>2</v>
      </c>
      <c r="D390" s="1">
        <v>45444</v>
      </c>
      <c r="E390" s="4" t="s">
        <v>33</v>
      </c>
      <c r="F390" s="4" t="s">
        <v>24</v>
      </c>
      <c r="G390" s="4" t="s">
        <v>109</v>
      </c>
      <c r="H390">
        <v>121</v>
      </c>
      <c r="I390">
        <v>173</v>
      </c>
      <c r="J390">
        <v>1</v>
      </c>
      <c r="K390">
        <v>172</v>
      </c>
      <c r="L390">
        <v>263705.65000000002</v>
      </c>
      <c r="M390">
        <v>2152</v>
      </c>
      <c r="N390">
        <v>261553.65</v>
      </c>
      <c r="O390">
        <v>148619.9</v>
      </c>
      <c r="P390">
        <v>112933.75</v>
      </c>
      <c r="Q390">
        <v>0.43180000000000002</v>
      </c>
      <c r="R390">
        <v>12</v>
      </c>
      <c r="S390">
        <v>33120.65</v>
      </c>
      <c r="T390">
        <v>0</v>
      </c>
      <c r="U390">
        <v>2161.6</v>
      </c>
    </row>
    <row r="391" spans="1:21" x14ac:dyDescent="0.35">
      <c r="A391">
        <v>2024</v>
      </c>
      <c r="B391">
        <v>6</v>
      </c>
      <c r="C391">
        <v>2</v>
      </c>
      <c r="D391" s="1">
        <v>45444</v>
      </c>
      <c r="E391" s="4" t="s">
        <v>33</v>
      </c>
      <c r="F391" s="4" t="s">
        <v>26</v>
      </c>
      <c r="G391" s="4" t="s">
        <v>107</v>
      </c>
      <c r="H391">
        <v>6</v>
      </c>
      <c r="I391">
        <v>7</v>
      </c>
      <c r="J391">
        <v>0</v>
      </c>
      <c r="K391">
        <v>7</v>
      </c>
      <c r="L391">
        <v>4429</v>
      </c>
      <c r="M391">
        <v>0</v>
      </c>
      <c r="N391">
        <v>4429</v>
      </c>
      <c r="O391">
        <v>2657.4</v>
      </c>
      <c r="P391">
        <v>1771.6</v>
      </c>
      <c r="Q391">
        <v>0.4</v>
      </c>
      <c r="R391">
        <v>0</v>
      </c>
      <c r="S391">
        <v>0</v>
      </c>
      <c r="T391">
        <v>0</v>
      </c>
      <c r="U391">
        <v>738.17</v>
      </c>
    </row>
    <row r="392" spans="1:21" x14ac:dyDescent="0.35">
      <c r="A392">
        <v>2024</v>
      </c>
      <c r="B392">
        <v>6</v>
      </c>
      <c r="C392">
        <v>2</v>
      </c>
      <c r="D392" s="1">
        <v>45444</v>
      </c>
      <c r="E392" s="4" t="s">
        <v>33</v>
      </c>
      <c r="F392" s="4" t="s">
        <v>26</v>
      </c>
      <c r="G392" s="4" t="s">
        <v>108</v>
      </c>
      <c r="H392">
        <v>6</v>
      </c>
      <c r="I392">
        <v>7</v>
      </c>
      <c r="J392">
        <v>0</v>
      </c>
      <c r="K392">
        <v>7</v>
      </c>
      <c r="L392">
        <v>5321.5</v>
      </c>
      <c r="M392">
        <v>0</v>
      </c>
      <c r="N392">
        <v>5321.5</v>
      </c>
      <c r="O392">
        <v>3518.4</v>
      </c>
      <c r="P392">
        <v>1803.1</v>
      </c>
      <c r="Q392">
        <v>0.33879999999999999</v>
      </c>
      <c r="R392">
        <v>1</v>
      </c>
      <c r="S392">
        <v>1207.5</v>
      </c>
      <c r="T392">
        <v>0</v>
      </c>
      <c r="U392">
        <v>886.92</v>
      </c>
    </row>
    <row r="393" spans="1:21" x14ac:dyDescent="0.35">
      <c r="A393">
        <v>2024</v>
      </c>
      <c r="B393">
        <v>6</v>
      </c>
      <c r="C393">
        <v>2</v>
      </c>
      <c r="D393" s="1">
        <v>45444</v>
      </c>
      <c r="E393" s="4" t="s">
        <v>33</v>
      </c>
      <c r="F393" s="4" t="s">
        <v>26</v>
      </c>
      <c r="G393" s="4" t="s">
        <v>109</v>
      </c>
      <c r="H393">
        <v>34</v>
      </c>
      <c r="I393">
        <v>54</v>
      </c>
      <c r="J393">
        <v>2</v>
      </c>
      <c r="K393">
        <v>52</v>
      </c>
      <c r="L393">
        <v>40126.03</v>
      </c>
      <c r="M393">
        <v>1196</v>
      </c>
      <c r="N393">
        <v>38930.03</v>
      </c>
      <c r="O393">
        <v>24504.6</v>
      </c>
      <c r="P393">
        <v>14425.43</v>
      </c>
      <c r="Q393">
        <v>0.3705</v>
      </c>
      <c r="R393">
        <v>4</v>
      </c>
      <c r="S393">
        <v>6962.03</v>
      </c>
      <c r="T393">
        <v>0</v>
      </c>
      <c r="U393">
        <v>1145</v>
      </c>
    </row>
    <row r="394" spans="1:21" x14ac:dyDescent="0.35">
      <c r="A394">
        <v>2024</v>
      </c>
      <c r="B394">
        <v>6</v>
      </c>
      <c r="C394">
        <v>2</v>
      </c>
      <c r="D394" s="1">
        <v>45444</v>
      </c>
      <c r="E394" s="4" t="s">
        <v>32</v>
      </c>
      <c r="F394" s="4" t="s">
        <v>28</v>
      </c>
      <c r="G394" s="4" t="s">
        <v>107</v>
      </c>
      <c r="H394">
        <v>27</v>
      </c>
      <c r="I394">
        <v>35</v>
      </c>
      <c r="J394">
        <v>0</v>
      </c>
      <c r="K394">
        <v>35</v>
      </c>
      <c r="L394">
        <v>15626.68</v>
      </c>
      <c r="M394">
        <v>0</v>
      </c>
      <c r="N394">
        <v>15626.68</v>
      </c>
      <c r="O394">
        <v>5561.5</v>
      </c>
      <c r="P394">
        <v>10065.18</v>
      </c>
      <c r="Q394">
        <v>0.64410000000000001</v>
      </c>
      <c r="R394">
        <v>3</v>
      </c>
      <c r="S394">
        <v>2006.68</v>
      </c>
      <c r="T394">
        <v>0</v>
      </c>
      <c r="U394">
        <v>578.77</v>
      </c>
    </row>
    <row r="395" spans="1:21" x14ac:dyDescent="0.35">
      <c r="A395">
        <v>2024</v>
      </c>
      <c r="B395">
        <v>6</v>
      </c>
      <c r="C395">
        <v>2</v>
      </c>
      <c r="D395" s="1">
        <v>45444</v>
      </c>
      <c r="E395" s="4" t="s">
        <v>32</v>
      </c>
      <c r="F395" s="4" t="s">
        <v>28</v>
      </c>
      <c r="G395" s="4" t="s">
        <v>109</v>
      </c>
      <c r="H395">
        <v>468</v>
      </c>
      <c r="I395">
        <v>700</v>
      </c>
      <c r="J395">
        <v>0</v>
      </c>
      <c r="K395">
        <v>700</v>
      </c>
      <c r="L395">
        <v>242620.37</v>
      </c>
      <c r="M395">
        <v>0</v>
      </c>
      <c r="N395">
        <v>242620.37</v>
      </c>
      <c r="O395">
        <v>87890.25</v>
      </c>
      <c r="P395">
        <v>154730.12</v>
      </c>
      <c r="Q395">
        <v>0.63770000000000004</v>
      </c>
      <c r="R395">
        <v>51</v>
      </c>
      <c r="S395">
        <v>34373.370000000003</v>
      </c>
      <c r="T395">
        <v>0</v>
      </c>
      <c r="U395">
        <v>518.41999999999996</v>
      </c>
    </row>
    <row r="396" spans="1:21" x14ac:dyDescent="0.35">
      <c r="A396">
        <v>2024</v>
      </c>
      <c r="B396">
        <v>6</v>
      </c>
      <c r="C396">
        <v>2</v>
      </c>
      <c r="D396" s="1">
        <v>45444</v>
      </c>
      <c r="E396" s="4" t="s">
        <v>32</v>
      </c>
      <c r="F396" s="4" t="s">
        <v>35</v>
      </c>
      <c r="G396" s="4" t="s">
        <v>107</v>
      </c>
      <c r="H396">
        <v>1</v>
      </c>
      <c r="I396">
        <v>1</v>
      </c>
      <c r="J396">
        <v>0</v>
      </c>
      <c r="K396">
        <v>1</v>
      </c>
      <c r="L396">
        <v>551</v>
      </c>
      <c r="M396">
        <v>0</v>
      </c>
      <c r="N396">
        <v>551</v>
      </c>
      <c r="O396">
        <v>110.2</v>
      </c>
      <c r="P396">
        <v>440.8</v>
      </c>
      <c r="Q396">
        <v>0.8</v>
      </c>
      <c r="R396">
        <v>0</v>
      </c>
      <c r="S396">
        <v>0</v>
      </c>
      <c r="T396">
        <v>0</v>
      </c>
      <c r="U396">
        <v>551</v>
      </c>
    </row>
    <row r="397" spans="1:21" x14ac:dyDescent="0.35">
      <c r="A397">
        <v>2024</v>
      </c>
      <c r="B397">
        <v>6</v>
      </c>
      <c r="C397">
        <v>2</v>
      </c>
      <c r="D397" s="1">
        <v>45444</v>
      </c>
      <c r="E397" s="4" t="s">
        <v>32</v>
      </c>
      <c r="F397" s="4" t="s">
        <v>24</v>
      </c>
      <c r="G397" s="4" t="s">
        <v>107</v>
      </c>
      <c r="H397">
        <v>36</v>
      </c>
      <c r="I397">
        <v>57</v>
      </c>
      <c r="J397">
        <v>3</v>
      </c>
      <c r="K397">
        <v>54</v>
      </c>
      <c r="L397">
        <v>91177.68</v>
      </c>
      <c r="M397">
        <v>4752</v>
      </c>
      <c r="N397">
        <v>86425.68</v>
      </c>
      <c r="O397">
        <v>48217.95</v>
      </c>
      <c r="P397">
        <v>38207.730000000003</v>
      </c>
      <c r="Q397">
        <v>0.44209999999999999</v>
      </c>
      <c r="R397">
        <v>2</v>
      </c>
      <c r="S397">
        <v>5626.68</v>
      </c>
      <c r="T397">
        <v>0</v>
      </c>
      <c r="U397">
        <v>2400.71</v>
      </c>
    </row>
    <row r="398" spans="1:21" x14ac:dyDescent="0.35">
      <c r="A398">
        <v>2024</v>
      </c>
      <c r="B398">
        <v>6</v>
      </c>
      <c r="C398">
        <v>2</v>
      </c>
      <c r="D398" s="1">
        <v>45444</v>
      </c>
      <c r="E398" s="4" t="s">
        <v>32</v>
      </c>
      <c r="F398" s="4" t="s">
        <v>24</v>
      </c>
      <c r="G398" s="4" t="s">
        <v>109</v>
      </c>
      <c r="H398">
        <v>152</v>
      </c>
      <c r="I398">
        <v>229</v>
      </c>
      <c r="J398">
        <v>8</v>
      </c>
      <c r="K398">
        <v>221</v>
      </c>
      <c r="L398">
        <v>303683.06</v>
      </c>
      <c r="M398">
        <v>12039</v>
      </c>
      <c r="N398">
        <v>291644.06</v>
      </c>
      <c r="O398">
        <v>166603.25</v>
      </c>
      <c r="P398">
        <v>125040.81</v>
      </c>
      <c r="Q398">
        <v>0.42870000000000003</v>
      </c>
      <c r="R398">
        <v>19</v>
      </c>
      <c r="S398">
        <v>41742.06</v>
      </c>
      <c r="T398">
        <v>0</v>
      </c>
      <c r="U398">
        <v>1918.71</v>
      </c>
    </row>
    <row r="399" spans="1:21" x14ac:dyDescent="0.35">
      <c r="A399">
        <v>2024</v>
      </c>
      <c r="B399">
        <v>6</v>
      </c>
      <c r="C399">
        <v>2</v>
      </c>
      <c r="D399" s="1">
        <v>45444</v>
      </c>
      <c r="E399" s="4" t="s">
        <v>32</v>
      </c>
      <c r="F399" s="4" t="s">
        <v>26</v>
      </c>
      <c r="G399" s="4" t="s">
        <v>107</v>
      </c>
      <c r="H399">
        <v>1</v>
      </c>
      <c r="I399">
        <v>1</v>
      </c>
      <c r="J399">
        <v>0</v>
      </c>
      <c r="K399">
        <v>1</v>
      </c>
      <c r="L399">
        <v>568</v>
      </c>
      <c r="M399">
        <v>0</v>
      </c>
      <c r="N399">
        <v>568</v>
      </c>
      <c r="O399">
        <v>340.8</v>
      </c>
      <c r="P399">
        <v>227.2</v>
      </c>
      <c r="Q399">
        <v>0.4</v>
      </c>
      <c r="R399">
        <v>0</v>
      </c>
      <c r="S399">
        <v>0</v>
      </c>
      <c r="T399">
        <v>0</v>
      </c>
      <c r="U399">
        <v>568</v>
      </c>
    </row>
    <row r="400" spans="1:21" x14ac:dyDescent="0.35">
      <c r="A400">
        <v>2024</v>
      </c>
      <c r="B400">
        <v>6</v>
      </c>
      <c r="C400">
        <v>2</v>
      </c>
      <c r="D400" s="1">
        <v>45444</v>
      </c>
      <c r="E400" s="4" t="s">
        <v>32</v>
      </c>
      <c r="F400" s="4" t="s">
        <v>26</v>
      </c>
      <c r="G400" s="4" t="s">
        <v>108</v>
      </c>
      <c r="H400">
        <v>6</v>
      </c>
      <c r="I400">
        <v>7</v>
      </c>
      <c r="J400">
        <v>0</v>
      </c>
      <c r="K400">
        <v>7</v>
      </c>
      <c r="L400">
        <v>2205</v>
      </c>
      <c r="M400">
        <v>0</v>
      </c>
      <c r="N400">
        <v>2205</v>
      </c>
      <c r="O400">
        <v>1323</v>
      </c>
      <c r="P400">
        <v>882</v>
      </c>
      <c r="Q400">
        <v>0.4</v>
      </c>
      <c r="R400">
        <v>0</v>
      </c>
      <c r="S400">
        <v>0</v>
      </c>
      <c r="T400">
        <v>0</v>
      </c>
      <c r="U400">
        <v>367.5</v>
      </c>
    </row>
    <row r="401" spans="1:21" x14ac:dyDescent="0.35">
      <c r="A401">
        <v>2024</v>
      </c>
      <c r="B401">
        <v>6</v>
      </c>
      <c r="C401">
        <v>2</v>
      </c>
      <c r="D401" s="1">
        <v>45444</v>
      </c>
      <c r="E401" s="4" t="s">
        <v>32</v>
      </c>
      <c r="F401" s="4" t="s">
        <v>26</v>
      </c>
      <c r="G401" s="4" t="s">
        <v>109</v>
      </c>
      <c r="H401">
        <v>40</v>
      </c>
      <c r="I401">
        <v>69</v>
      </c>
      <c r="J401">
        <v>1</v>
      </c>
      <c r="K401">
        <v>68</v>
      </c>
      <c r="L401">
        <v>51039.62</v>
      </c>
      <c r="M401">
        <v>920</v>
      </c>
      <c r="N401">
        <v>50119.62</v>
      </c>
      <c r="O401">
        <v>31780.799999999999</v>
      </c>
      <c r="P401">
        <v>18338.82</v>
      </c>
      <c r="Q401">
        <v>0.3659</v>
      </c>
      <c r="R401">
        <v>7</v>
      </c>
      <c r="S401">
        <v>9938.6200000000008</v>
      </c>
      <c r="T401">
        <v>0</v>
      </c>
      <c r="U401">
        <v>1252.99</v>
      </c>
    </row>
    <row r="402" spans="1:21" x14ac:dyDescent="0.35">
      <c r="A402">
        <v>2024</v>
      </c>
      <c r="B402">
        <v>6</v>
      </c>
      <c r="C402">
        <v>2</v>
      </c>
      <c r="D402" s="1">
        <v>45444</v>
      </c>
      <c r="E402" s="4" t="s">
        <v>27</v>
      </c>
      <c r="F402" s="4" t="s">
        <v>28</v>
      </c>
      <c r="G402" s="4" t="s">
        <v>107</v>
      </c>
      <c r="H402">
        <v>201</v>
      </c>
      <c r="I402">
        <v>298</v>
      </c>
      <c r="J402">
        <v>0</v>
      </c>
      <c r="K402">
        <v>298</v>
      </c>
      <c r="L402">
        <v>134216.98000000001</v>
      </c>
      <c r="M402">
        <v>0</v>
      </c>
      <c r="N402">
        <v>134216.98000000001</v>
      </c>
      <c r="O402">
        <v>49425.599999999999</v>
      </c>
      <c r="P402">
        <v>84791.38</v>
      </c>
      <c r="Q402">
        <v>0.63170000000000004</v>
      </c>
      <c r="R402">
        <v>27</v>
      </c>
      <c r="S402">
        <v>25866.98</v>
      </c>
      <c r="T402">
        <v>0</v>
      </c>
      <c r="U402">
        <v>667.75</v>
      </c>
    </row>
    <row r="403" spans="1:21" x14ac:dyDescent="0.35">
      <c r="A403">
        <v>2024</v>
      </c>
      <c r="B403">
        <v>6</v>
      </c>
      <c r="C403">
        <v>2</v>
      </c>
      <c r="D403" s="1">
        <v>45444</v>
      </c>
      <c r="E403" s="4" t="s">
        <v>27</v>
      </c>
      <c r="F403" s="4" t="s">
        <v>28</v>
      </c>
      <c r="G403" s="4" t="s">
        <v>109</v>
      </c>
      <c r="H403">
        <v>679</v>
      </c>
      <c r="I403">
        <v>1046</v>
      </c>
      <c r="J403">
        <v>0</v>
      </c>
      <c r="K403">
        <v>1046</v>
      </c>
      <c r="L403">
        <v>558878.31999999995</v>
      </c>
      <c r="M403">
        <v>0</v>
      </c>
      <c r="N403">
        <v>558878.31999999995</v>
      </c>
      <c r="O403">
        <v>203419.3</v>
      </c>
      <c r="P403">
        <v>355459.02</v>
      </c>
      <c r="Q403">
        <v>0.63600000000000001</v>
      </c>
      <c r="R403">
        <v>89</v>
      </c>
      <c r="S403">
        <v>93837.39</v>
      </c>
      <c r="T403">
        <v>0</v>
      </c>
      <c r="U403">
        <v>823.09</v>
      </c>
    </row>
    <row r="404" spans="1:21" x14ac:dyDescent="0.35">
      <c r="A404">
        <v>2024</v>
      </c>
      <c r="B404">
        <v>6</v>
      </c>
      <c r="C404">
        <v>2</v>
      </c>
      <c r="D404" s="1">
        <v>45444</v>
      </c>
      <c r="E404" s="4" t="s">
        <v>27</v>
      </c>
      <c r="F404" s="4" t="s">
        <v>24</v>
      </c>
      <c r="G404" s="4" t="s">
        <v>107</v>
      </c>
      <c r="H404">
        <v>55</v>
      </c>
      <c r="I404">
        <v>87</v>
      </c>
      <c r="J404">
        <v>1</v>
      </c>
      <c r="K404">
        <v>86</v>
      </c>
      <c r="L404">
        <v>154373.87</v>
      </c>
      <c r="M404">
        <v>1614</v>
      </c>
      <c r="N404">
        <v>152759.87</v>
      </c>
      <c r="O404">
        <v>87575.95</v>
      </c>
      <c r="P404">
        <v>65183.92</v>
      </c>
      <c r="Q404">
        <v>0.42670000000000002</v>
      </c>
      <c r="R404">
        <v>8</v>
      </c>
      <c r="S404">
        <v>36435.870000000003</v>
      </c>
      <c r="T404">
        <v>0</v>
      </c>
      <c r="U404">
        <v>2777.45</v>
      </c>
    </row>
    <row r="405" spans="1:21" x14ac:dyDescent="0.35">
      <c r="A405">
        <v>2024</v>
      </c>
      <c r="B405">
        <v>6</v>
      </c>
      <c r="C405">
        <v>2</v>
      </c>
      <c r="D405" s="1">
        <v>45444</v>
      </c>
      <c r="E405" s="4" t="s">
        <v>27</v>
      </c>
      <c r="F405" s="4" t="s">
        <v>24</v>
      </c>
      <c r="G405" s="4" t="s">
        <v>109</v>
      </c>
      <c r="H405">
        <v>238</v>
      </c>
      <c r="I405">
        <v>364</v>
      </c>
      <c r="J405">
        <v>11</v>
      </c>
      <c r="K405">
        <v>353</v>
      </c>
      <c r="L405">
        <v>578134.55000000005</v>
      </c>
      <c r="M405">
        <v>18248.3</v>
      </c>
      <c r="N405">
        <v>559886.25</v>
      </c>
      <c r="O405">
        <v>317497.95</v>
      </c>
      <c r="P405">
        <v>242388.3</v>
      </c>
      <c r="Q405">
        <v>0.43290000000000001</v>
      </c>
      <c r="R405">
        <v>29</v>
      </c>
      <c r="S405">
        <v>71841.34</v>
      </c>
      <c r="T405">
        <v>0</v>
      </c>
      <c r="U405">
        <v>2352.46</v>
      </c>
    </row>
    <row r="406" spans="1:21" x14ac:dyDescent="0.35">
      <c r="A406">
        <v>2024</v>
      </c>
      <c r="B406">
        <v>6</v>
      </c>
      <c r="C406">
        <v>2</v>
      </c>
      <c r="D406" s="1">
        <v>45444</v>
      </c>
      <c r="E406" s="4" t="s">
        <v>27</v>
      </c>
      <c r="F406" s="4" t="s">
        <v>26</v>
      </c>
      <c r="G406" s="4" t="s">
        <v>107</v>
      </c>
      <c r="H406">
        <v>8</v>
      </c>
      <c r="I406">
        <v>15</v>
      </c>
      <c r="J406">
        <v>0</v>
      </c>
      <c r="K406">
        <v>15</v>
      </c>
      <c r="L406">
        <v>10732.74</v>
      </c>
      <c r="M406">
        <v>0</v>
      </c>
      <c r="N406">
        <v>10732.74</v>
      </c>
      <c r="O406">
        <v>7034.4</v>
      </c>
      <c r="P406">
        <v>3698.34</v>
      </c>
      <c r="Q406">
        <v>0.34460000000000002</v>
      </c>
      <c r="R406">
        <v>2</v>
      </c>
      <c r="S406">
        <v>3286.74</v>
      </c>
      <c r="T406">
        <v>0</v>
      </c>
      <c r="U406">
        <v>1341.59</v>
      </c>
    </row>
    <row r="407" spans="1:21" x14ac:dyDescent="0.35">
      <c r="A407">
        <v>2024</v>
      </c>
      <c r="B407">
        <v>6</v>
      </c>
      <c r="C407">
        <v>2</v>
      </c>
      <c r="D407" s="1">
        <v>45444</v>
      </c>
      <c r="E407" s="4" t="s">
        <v>27</v>
      </c>
      <c r="F407" s="4" t="s">
        <v>26</v>
      </c>
      <c r="G407" s="4" t="s">
        <v>109</v>
      </c>
      <c r="H407">
        <v>35</v>
      </c>
      <c r="I407">
        <v>51</v>
      </c>
      <c r="J407">
        <v>0</v>
      </c>
      <c r="K407">
        <v>51</v>
      </c>
      <c r="L407">
        <v>31478.79</v>
      </c>
      <c r="M407">
        <v>0</v>
      </c>
      <c r="N407">
        <v>31478.79</v>
      </c>
      <c r="O407">
        <v>19523.400000000001</v>
      </c>
      <c r="P407">
        <v>11955.39</v>
      </c>
      <c r="Q407">
        <v>0.37980000000000003</v>
      </c>
      <c r="R407">
        <v>4</v>
      </c>
      <c r="S407">
        <v>3213.79</v>
      </c>
      <c r="T407">
        <v>0</v>
      </c>
      <c r="U407">
        <v>899.39</v>
      </c>
    </row>
    <row r="408" spans="1:21" x14ac:dyDescent="0.35">
      <c r="A408">
        <v>2024</v>
      </c>
      <c r="B408">
        <v>6</v>
      </c>
      <c r="C408">
        <v>2</v>
      </c>
      <c r="D408" s="1">
        <v>45444</v>
      </c>
      <c r="E408" s="4" t="s">
        <v>34</v>
      </c>
      <c r="F408" s="4" t="s">
        <v>28</v>
      </c>
      <c r="G408" s="4" t="s">
        <v>107</v>
      </c>
      <c r="H408">
        <v>165</v>
      </c>
      <c r="I408">
        <v>251</v>
      </c>
      <c r="J408">
        <v>0</v>
      </c>
      <c r="K408">
        <v>251</v>
      </c>
      <c r="L408">
        <v>168612.19</v>
      </c>
      <c r="M408">
        <v>0</v>
      </c>
      <c r="N408">
        <v>168612.19</v>
      </c>
      <c r="O408">
        <v>60328.800000000003</v>
      </c>
      <c r="P408">
        <v>108283.39</v>
      </c>
      <c r="Q408">
        <v>0.64219999999999999</v>
      </c>
      <c r="R408">
        <v>15</v>
      </c>
      <c r="S408">
        <v>16323.19</v>
      </c>
      <c r="T408">
        <v>0</v>
      </c>
      <c r="U408">
        <v>1021.89</v>
      </c>
    </row>
    <row r="409" spans="1:21" x14ac:dyDescent="0.35">
      <c r="A409">
        <v>2024</v>
      </c>
      <c r="B409">
        <v>6</v>
      </c>
      <c r="C409">
        <v>2</v>
      </c>
      <c r="D409" s="1">
        <v>45444</v>
      </c>
      <c r="E409" s="4" t="s">
        <v>34</v>
      </c>
      <c r="F409" s="4" t="s">
        <v>28</v>
      </c>
      <c r="G409" s="4" t="s">
        <v>108</v>
      </c>
      <c r="H409">
        <v>55</v>
      </c>
      <c r="I409">
        <v>75</v>
      </c>
      <c r="J409">
        <v>0</v>
      </c>
      <c r="K409">
        <v>75</v>
      </c>
      <c r="L409">
        <v>31673.1</v>
      </c>
      <c r="M409">
        <v>0</v>
      </c>
      <c r="N409">
        <v>31673.1</v>
      </c>
      <c r="O409">
        <v>11182.5</v>
      </c>
      <c r="P409">
        <v>20490.599999999999</v>
      </c>
      <c r="Q409">
        <v>0.64690000000000003</v>
      </c>
      <c r="R409">
        <v>5</v>
      </c>
      <c r="S409">
        <v>1853.1</v>
      </c>
      <c r="T409">
        <v>0</v>
      </c>
      <c r="U409">
        <v>575.87</v>
      </c>
    </row>
    <row r="410" spans="1:21" x14ac:dyDescent="0.35">
      <c r="A410">
        <v>2024</v>
      </c>
      <c r="B410">
        <v>6</v>
      </c>
      <c r="C410">
        <v>2</v>
      </c>
      <c r="D410" s="1">
        <v>45444</v>
      </c>
      <c r="E410" s="4" t="s">
        <v>34</v>
      </c>
      <c r="F410" s="4" t="s">
        <v>28</v>
      </c>
      <c r="G410" s="4" t="s">
        <v>109</v>
      </c>
      <c r="H410">
        <v>566</v>
      </c>
      <c r="I410">
        <v>879</v>
      </c>
      <c r="J410">
        <v>0</v>
      </c>
      <c r="K410">
        <v>879</v>
      </c>
      <c r="L410">
        <v>420684.92</v>
      </c>
      <c r="M410">
        <v>0</v>
      </c>
      <c r="N410">
        <v>420684.92</v>
      </c>
      <c r="O410">
        <v>153195.70000000001</v>
      </c>
      <c r="P410">
        <v>267489.21999999997</v>
      </c>
      <c r="Q410">
        <v>0.63580000000000003</v>
      </c>
      <c r="R410">
        <v>77</v>
      </c>
      <c r="S410">
        <v>63741.43</v>
      </c>
      <c r="T410">
        <v>0</v>
      </c>
      <c r="U410">
        <v>743.26</v>
      </c>
    </row>
    <row r="411" spans="1:21" x14ac:dyDescent="0.35">
      <c r="A411">
        <v>2024</v>
      </c>
      <c r="B411">
        <v>6</v>
      </c>
      <c r="C411">
        <v>2</v>
      </c>
      <c r="D411" s="1">
        <v>45444</v>
      </c>
      <c r="E411" s="4" t="s">
        <v>34</v>
      </c>
      <c r="F411" s="4" t="s">
        <v>24</v>
      </c>
      <c r="G411" s="4" t="s">
        <v>107</v>
      </c>
      <c r="H411">
        <v>77</v>
      </c>
      <c r="I411">
        <v>102</v>
      </c>
      <c r="J411">
        <v>2</v>
      </c>
      <c r="K411">
        <v>100</v>
      </c>
      <c r="L411">
        <v>175211.15</v>
      </c>
      <c r="M411">
        <v>3394</v>
      </c>
      <c r="N411">
        <v>171817.15</v>
      </c>
      <c r="O411">
        <v>96257.7</v>
      </c>
      <c r="P411">
        <v>75559.45</v>
      </c>
      <c r="Q411">
        <v>0.43980000000000002</v>
      </c>
      <c r="R411">
        <v>5</v>
      </c>
      <c r="S411">
        <v>11339.15</v>
      </c>
      <c r="T411">
        <v>0</v>
      </c>
      <c r="U411">
        <v>2231.39</v>
      </c>
    </row>
    <row r="412" spans="1:21" x14ac:dyDescent="0.35">
      <c r="A412">
        <v>2024</v>
      </c>
      <c r="B412">
        <v>6</v>
      </c>
      <c r="C412">
        <v>2</v>
      </c>
      <c r="D412" s="1">
        <v>45444</v>
      </c>
      <c r="E412" s="4" t="s">
        <v>34</v>
      </c>
      <c r="F412" s="4" t="s">
        <v>24</v>
      </c>
      <c r="G412" s="4" t="s">
        <v>108</v>
      </c>
      <c r="H412">
        <v>20</v>
      </c>
      <c r="I412">
        <v>27</v>
      </c>
      <c r="J412">
        <v>3</v>
      </c>
      <c r="K412">
        <v>24</v>
      </c>
      <c r="L412">
        <v>37233</v>
      </c>
      <c r="M412">
        <v>4137</v>
      </c>
      <c r="N412">
        <v>33096</v>
      </c>
      <c r="O412">
        <v>18202.8</v>
      </c>
      <c r="P412">
        <v>14893.2</v>
      </c>
      <c r="Q412">
        <v>0.45</v>
      </c>
      <c r="R412">
        <v>0</v>
      </c>
      <c r="S412">
        <v>0</v>
      </c>
      <c r="T412">
        <v>0</v>
      </c>
      <c r="U412">
        <v>1654.8</v>
      </c>
    </row>
    <row r="413" spans="1:21" x14ac:dyDescent="0.35">
      <c r="A413">
        <v>2024</v>
      </c>
      <c r="B413">
        <v>6</v>
      </c>
      <c r="C413">
        <v>2</v>
      </c>
      <c r="D413" s="1">
        <v>45444</v>
      </c>
      <c r="E413" s="4" t="s">
        <v>34</v>
      </c>
      <c r="F413" s="4" t="s">
        <v>24</v>
      </c>
      <c r="G413" s="4" t="s">
        <v>109</v>
      </c>
      <c r="H413">
        <v>145</v>
      </c>
      <c r="I413">
        <v>212</v>
      </c>
      <c r="J413">
        <v>9</v>
      </c>
      <c r="K413">
        <v>203</v>
      </c>
      <c r="L413">
        <v>341385.95</v>
      </c>
      <c r="M413">
        <v>11543.5</v>
      </c>
      <c r="N413">
        <v>329842.45</v>
      </c>
      <c r="O413">
        <v>189726.9</v>
      </c>
      <c r="P413">
        <v>140115.54999999999</v>
      </c>
      <c r="Q413">
        <v>0.42480000000000001</v>
      </c>
      <c r="R413">
        <v>22</v>
      </c>
      <c r="S413">
        <v>60334.45</v>
      </c>
      <c r="T413">
        <v>0</v>
      </c>
      <c r="U413">
        <v>2274.7800000000002</v>
      </c>
    </row>
    <row r="414" spans="1:21" x14ac:dyDescent="0.35">
      <c r="A414">
        <v>2024</v>
      </c>
      <c r="B414">
        <v>6</v>
      </c>
      <c r="C414">
        <v>2</v>
      </c>
      <c r="D414" s="1">
        <v>45444</v>
      </c>
      <c r="E414" s="4" t="s">
        <v>34</v>
      </c>
      <c r="F414" s="4" t="s">
        <v>26</v>
      </c>
      <c r="G414" s="4" t="s">
        <v>107</v>
      </c>
      <c r="H414">
        <v>4</v>
      </c>
      <c r="I414">
        <v>6</v>
      </c>
      <c r="J414">
        <v>0</v>
      </c>
      <c r="K414">
        <v>6</v>
      </c>
      <c r="L414">
        <v>3244</v>
      </c>
      <c r="M414">
        <v>0</v>
      </c>
      <c r="N414">
        <v>3244</v>
      </c>
      <c r="O414">
        <v>1946.4</v>
      </c>
      <c r="P414">
        <v>1297.5999999999999</v>
      </c>
      <c r="Q414">
        <v>0.4</v>
      </c>
      <c r="R414">
        <v>0</v>
      </c>
      <c r="S414">
        <v>0</v>
      </c>
      <c r="T414">
        <v>0</v>
      </c>
      <c r="U414">
        <v>811</v>
      </c>
    </row>
    <row r="415" spans="1:21" x14ac:dyDescent="0.35">
      <c r="A415">
        <v>2024</v>
      </c>
      <c r="B415">
        <v>6</v>
      </c>
      <c r="C415">
        <v>2</v>
      </c>
      <c r="D415" s="1">
        <v>45444</v>
      </c>
      <c r="E415" s="4" t="s">
        <v>34</v>
      </c>
      <c r="F415" s="4" t="s">
        <v>26</v>
      </c>
      <c r="G415" s="4" t="s">
        <v>108</v>
      </c>
      <c r="H415">
        <v>5</v>
      </c>
      <c r="I415">
        <v>6</v>
      </c>
      <c r="J415">
        <v>0</v>
      </c>
      <c r="K415">
        <v>6</v>
      </c>
      <c r="L415">
        <v>3100.2</v>
      </c>
      <c r="M415">
        <v>0</v>
      </c>
      <c r="N415">
        <v>3100.2</v>
      </c>
      <c r="O415">
        <v>1969.2</v>
      </c>
      <c r="P415">
        <v>1131</v>
      </c>
      <c r="Q415">
        <v>0.36480000000000001</v>
      </c>
      <c r="R415">
        <v>1</v>
      </c>
      <c r="S415">
        <v>727.2</v>
      </c>
      <c r="T415">
        <v>0</v>
      </c>
      <c r="U415">
        <v>620.04</v>
      </c>
    </row>
    <row r="416" spans="1:21" x14ac:dyDescent="0.35">
      <c r="A416">
        <v>2024</v>
      </c>
      <c r="B416">
        <v>6</v>
      </c>
      <c r="C416">
        <v>2</v>
      </c>
      <c r="D416" s="1">
        <v>45444</v>
      </c>
      <c r="E416" s="4" t="s">
        <v>34</v>
      </c>
      <c r="F416" s="4" t="s">
        <v>26</v>
      </c>
      <c r="G416" s="4" t="s">
        <v>109</v>
      </c>
      <c r="H416">
        <v>39</v>
      </c>
      <c r="I416">
        <v>69</v>
      </c>
      <c r="J416">
        <v>2</v>
      </c>
      <c r="K416">
        <v>67</v>
      </c>
      <c r="L416">
        <v>45292.88</v>
      </c>
      <c r="M416">
        <v>1046</v>
      </c>
      <c r="N416">
        <v>44246.879999999997</v>
      </c>
      <c r="O416">
        <v>27810</v>
      </c>
      <c r="P416">
        <v>16436.88</v>
      </c>
      <c r="Q416">
        <v>0.3715</v>
      </c>
      <c r="R416">
        <v>7</v>
      </c>
      <c r="S416">
        <v>10122.879999999999</v>
      </c>
      <c r="T416">
        <v>0</v>
      </c>
      <c r="U416">
        <v>1134.54</v>
      </c>
    </row>
    <row r="417" spans="1:21" x14ac:dyDescent="0.35">
      <c r="A417">
        <v>2024</v>
      </c>
      <c r="B417">
        <v>6</v>
      </c>
      <c r="C417">
        <v>2</v>
      </c>
      <c r="D417" s="1">
        <v>45444</v>
      </c>
      <c r="E417" s="4" t="s">
        <v>36</v>
      </c>
      <c r="F417" s="4" t="s">
        <v>28</v>
      </c>
      <c r="G417" s="4" t="s">
        <v>107</v>
      </c>
      <c r="H417">
        <v>70</v>
      </c>
      <c r="I417">
        <v>110</v>
      </c>
      <c r="J417">
        <v>0</v>
      </c>
      <c r="K417">
        <v>110</v>
      </c>
      <c r="L417">
        <v>71658.720000000001</v>
      </c>
      <c r="M417">
        <v>0</v>
      </c>
      <c r="N417">
        <v>71658.720000000001</v>
      </c>
      <c r="O417">
        <v>26054.35</v>
      </c>
      <c r="P417">
        <v>45604.37</v>
      </c>
      <c r="Q417">
        <v>0.63639999999999997</v>
      </c>
      <c r="R417">
        <v>8</v>
      </c>
      <c r="S417">
        <v>10247.719999999999</v>
      </c>
      <c r="T417">
        <v>0</v>
      </c>
      <c r="U417">
        <v>1023.7</v>
      </c>
    </row>
    <row r="418" spans="1:21" x14ac:dyDescent="0.35">
      <c r="A418">
        <v>2024</v>
      </c>
      <c r="B418">
        <v>6</v>
      </c>
      <c r="C418">
        <v>2</v>
      </c>
      <c r="D418" s="1">
        <v>45444</v>
      </c>
      <c r="E418" s="4" t="s">
        <v>36</v>
      </c>
      <c r="F418" s="4" t="s">
        <v>28</v>
      </c>
      <c r="G418" s="4" t="s">
        <v>108</v>
      </c>
      <c r="H418">
        <v>148</v>
      </c>
      <c r="I418">
        <v>216</v>
      </c>
      <c r="J418">
        <v>0</v>
      </c>
      <c r="K418">
        <v>216</v>
      </c>
      <c r="L418">
        <v>70737.210000000006</v>
      </c>
      <c r="M418">
        <v>0</v>
      </c>
      <c r="N418">
        <v>70737.210000000006</v>
      </c>
      <c r="O418">
        <v>25467.4</v>
      </c>
      <c r="P418">
        <v>45269.81</v>
      </c>
      <c r="Q418">
        <v>0.64</v>
      </c>
      <c r="R418">
        <v>15</v>
      </c>
      <c r="S418">
        <v>9923.94</v>
      </c>
      <c r="T418">
        <v>0</v>
      </c>
      <c r="U418">
        <v>477.95</v>
      </c>
    </row>
    <row r="419" spans="1:21" x14ac:dyDescent="0.35">
      <c r="A419">
        <v>2024</v>
      </c>
      <c r="B419">
        <v>6</v>
      </c>
      <c r="C419">
        <v>2</v>
      </c>
      <c r="D419" s="1">
        <v>45444</v>
      </c>
      <c r="E419" s="4" t="s">
        <v>36</v>
      </c>
      <c r="F419" s="4" t="s">
        <v>28</v>
      </c>
      <c r="G419" s="4" t="s">
        <v>109</v>
      </c>
      <c r="H419">
        <v>646</v>
      </c>
      <c r="I419">
        <v>1002</v>
      </c>
      <c r="J419">
        <v>0</v>
      </c>
      <c r="K419">
        <v>1002</v>
      </c>
      <c r="L419">
        <v>490790.25</v>
      </c>
      <c r="M419">
        <v>0</v>
      </c>
      <c r="N419">
        <v>490790.25</v>
      </c>
      <c r="O419">
        <v>178925.95</v>
      </c>
      <c r="P419">
        <v>311864.3</v>
      </c>
      <c r="Q419">
        <v>0.63539999999999996</v>
      </c>
      <c r="R419">
        <v>88</v>
      </c>
      <c r="S419">
        <v>88304.25</v>
      </c>
      <c r="T419">
        <v>0</v>
      </c>
      <c r="U419">
        <v>759.74</v>
      </c>
    </row>
    <row r="420" spans="1:21" x14ac:dyDescent="0.35">
      <c r="A420">
        <v>2024</v>
      </c>
      <c r="B420">
        <v>6</v>
      </c>
      <c r="C420">
        <v>2</v>
      </c>
      <c r="D420" s="1">
        <v>45444</v>
      </c>
      <c r="E420" s="4" t="s">
        <v>36</v>
      </c>
      <c r="F420" s="4" t="s">
        <v>35</v>
      </c>
      <c r="G420" s="4" t="s">
        <v>109</v>
      </c>
      <c r="H420">
        <v>1</v>
      </c>
      <c r="I420">
        <v>5</v>
      </c>
      <c r="J420">
        <v>0</v>
      </c>
      <c r="K420">
        <v>5</v>
      </c>
      <c r="L420">
        <v>743.7</v>
      </c>
      <c r="M420">
        <v>0</v>
      </c>
      <c r="N420">
        <v>743.7</v>
      </c>
      <c r="O420">
        <v>222</v>
      </c>
      <c r="P420">
        <v>521.70000000000005</v>
      </c>
      <c r="Q420">
        <v>0.70150000000000001</v>
      </c>
      <c r="R420">
        <v>1</v>
      </c>
      <c r="S420">
        <v>743.7</v>
      </c>
      <c r="T420">
        <v>0</v>
      </c>
      <c r="U420">
        <v>743.7</v>
      </c>
    </row>
    <row r="421" spans="1:21" x14ac:dyDescent="0.35">
      <c r="A421">
        <v>2024</v>
      </c>
      <c r="B421">
        <v>6</v>
      </c>
      <c r="C421">
        <v>2</v>
      </c>
      <c r="D421" s="1">
        <v>45444</v>
      </c>
      <c r="E421" s="4" t="s">
        <v>36</v>
      </c>
      <c r="F421" s="4" t="s">
        <v>24</v>
      </c>
      <c r="G421" s="4" t="s">
        <v>107</v>
      </c>
      <c r="H421">
        <v>48</v>
      </c>
      <c r="I421">
        <v>67</v>
      </c>
      <c r="J421">
        <v>2</v>
      </c>
      <c r="K421">
        <v>65</v>
      </c>
      <c r="L421">
        <v>91017.57</v>
      </c>
      <c r="M421">
        <v>1576.88</v>
      </c>
      <c r="N421">
        <v>89440.69</v>
      </c>
      <c r="O421">
        <v>50918.45</v>
      </c>
      <c r="P421">
        <v>38522.239999999998</v>
      </c>
      <c r="Q421">
        <v>0.43070000000000003</v>
      </c>
      <c r="R421">
        <v>8</v>
      </c>
      <c r="S421">
        <v>11915.69</v>
      </c>
      <c r="T421">
        <v>0</v>
      </c>
      <c r="U421">
        <v>1863.35</v>
      </c>
    </row>
    <row r="422" spans="1:21" x14ac:dyDescent="0.35">
      <c r="A422">
        <v>2024</v>
      </c>
      <c r="B422">
        <v>6</v>
      </c>
      <c r="C422">
        <v>2</v>
      </c>
      <c r="D422" s="1">
        <v>45444</v>
      </c>
      <c r="E422" s="4" t="s">
        <v>36</v>
      </c>
      <c r="F422" s="4" t="s">
        <v>24</v>
      </c>
      <c r="G422" s="4" t="s">
        <v>108</v>
      </c>
      <c r="H422">
        <v>30</v>
      </c>
      <c r="I422">
        <v>42</v>
      </c>
      <c r="J422">
        <v>0</v>
      </c>
      <c r="K422">
        <v>42</v>
      </c>
      <c r="L422">
        <v>73964</v>
      </c>
      <c r="M422">
        <v>0</v>
      </c>
      <c r="N422">
        <v>73964</v>
      </c>
      <c r="O422">
        <v>40680.199999999997</v>
      </c>
      <c r="P422">
        <v>33283.800000000003</v>
      </c>
      <c r="Q422">
        <v>0.45</v>
      </c>
      <c r="R422">
        <v>0</v>
      </c>
      <c r="S422">
        <v>0</v>
      </c>
      <c r="T422">
        <v>0</v>
      </c>
      <c r="U422">
        <v>2465.4699999999998</v>
      </c>
    </row>
    <row r="423" spans="1:21" x14ac:dyDescent="0.35">
      <c r="A423">
        <v>2024</v>
      </c>
      <c r="B423">
        <v>6</v>
      </c>
      <c r="C423">
        <v>2</v>
      </c>
      <c r="D423" s="1">
        <v>45444</v>
      </c>
      <c r="E423" s="4" t="s">
        <v>36</v>
      </c>
      <c r="F423" s="4" t="s">
        <v>24</v>
      </c>
      <c r="G423" s="4" t="s">
        <v>109</v>
      </c>
      <c r="H423">
        <v>109</v>
      </c>
      <c r="I423">
        <v>153</v>
      </c>
      <c r="J423">
        <v>3</v>
      </c>
      <c r="K423">
        <v>150</v>
      </c>
      <c r="L423">
        <v>243699.74</v>
      </c>
      <c r="M423">
        <v>5187</v>
      </c>
      <c r="N423">
        <v>238512.74</v>
      </c>
      <c r="O423">
        <v>133482.25</v>
      </c>
      <c r="P423">
        <v>105030.49</v>
      </c>
      <c r="Q423">
        <v>0.44040000000000001</v>
      </c>
      <c r="R423">
        <v>8</v>
      </c>
      <c r="S423">
        <v>13891.74</v>
      </c>
      <c r="T423">
        <v>0</v>
      </c>
      <c r="U423">
        <v>2188.19</v>
      </c>
    </row>
    <row r="424" spans="1:21" x14ac:dyDescent="0.35">
      <c r="A424">
        <v>2024</v>
      </c>
      <c r="B424">
        <v>6</v>
      </c>
      <c r="C424">
        <v>2</v>
      </c>
      <c r="D424" s="1">
        <v>45444</v>
      </c>
      <c r="E424" s="4" t="s">
        <v>36</v>
      </c>
      <c r="F424" s="4" t="s">
        <v>26</v>
      </c>
      <c r="G424" s="4" t="s">
        <v>109</v>
      </c>
      <c r="H424">
        <v>37</v>
      </c>
      <c r="I424">
        <v>55</v>
      </c>
      <c r="J424">
        <v>5</v>
      </c>
      <c r="K424">
        <v>50</v>
      </c>
      <c r="L424">
        <v>46043.81</v>
      </c>
      <c r="M424">
        <v>3593</v>
      </c>
      <c r="N424">
        <v>42450.81</v>
      </c>
      <c r="O424">
        <v>26059.200000000001</v>
      </c>
      <c r="P424">
        <v>16391.61</v>
      </c>
      <c r="Q424">
        <v>0.3861</v>
      </c>
      <c r="R424">
        <v>5</v>
      </c>
      <c r="S424">
        <v>7605.81</v>
      </c>
      <c r="T424">
        <v>0</v>
      </c>
      <c r="U424">
        <v>1147.32</v>
      </c>
    </row>
    <row r="425" spans="1:21" x14ac:dyDescent="0.35">
      <c r="A425">
        <v>2024</v>
      </c>
      <c r="B425">
        <v>6</v>
      </c>
      <c r="C425">
        <v>2</v>
      </c>
      <c r="D425" s="1">
        <v>45444</v>
      </c>
      <c r="E425" s="4" t="s">
        <v>23</v>
      </c>
      <c r="F425" s="4" t="s">
        <v>28</v>
      </c>
      <c r="G425" s="4" t="s">
        <v>107</v>
      </c>
      <c r="H425">
        <v>119</v>
      </c>
      <c r="I425">
        <v>186</v>
      </c>
      <c r="J425">
        <v>0</v>
      </c>
      <c r="K425">
        <v>186</v>
      </c>
      <c r="L425">
        <v>60218.080000000002</v>
      </c>
      <c r="M425">
        <v>0</v>
      </c>
      <c r="N425">
        <v>60218.080000000002</v>
      </c>
      <c r="O425">
        <v>22003.8</v>
      </c>
      <c r="P425">
        <v>38214.28</v>
      </c>
      <c r="Q425">
        <v>0.63460000000000005</v>
      </c>
      <c r="R425">
        <v>19</v>
      </c>
      <c r="S425">
        <v>11208.08</v>
      </c>
      <c r="T425">
        <v>0</v>
      </c>
      <c r="U425">
        <v>506.03</v>
      </c>
    </row>
    <row r="426" spans="1:21" x14ac:dyDescent="0.35">
      <c r="A426">
        <v>2024</v>
      </c>
      <c r="B426">
        <v>6</v>
      </c>
      <c r="C426">
        <v>2</v>
      </c>
      <c r="D426" s="1">
        <v>45444</v>
      </c>
      <c r="E426" s="4" t="s">
        <v>23</v>
      </c>
      <c r="F426" s="4" t="s">
        <v>28</v>
      </c>
      <c r="G426" s="4" t="s">
        <v>108</v>
      </c>
      <c r="H426">
        <v>35</v>
      </c>
      <c r="I426">
        <v>49</v>
      </c>
      <c r="J426">
        <v>0</v>
      </c>
      <c r="K426">
        <v>49</v>
      </c>
      <c r="L426">
        <v>33849.449999999997</v>
      </c>
      <c r="M426">
        <v>0</v>
      </c>
      <c r="N426">
        <v>33849.449999999997</v>
      </c>
      <c r="O426">
        <v>12056.45</v>
      </c>
      <c r="P426">
        <v>21793</v>
      </c>
      <c r="Q426">
        <v>0.64380000000000004</v>
      </c>
      <c r="R426">
        <v>3</v>
      </c>
      <c r="S426">
        <v>4323.45</v>
      </c>
      <c r="T426">
        <v>0</v>
      </c>
      <c r="U426">
        <v>967.13</v>
      </c>
    </row>
    <row r="427" spans="1:21" x14ac:dyDescent="0.35">
      <c r="A427">
        <v>2024</v>
      </c>
      <c r="B427">
        <v>6</v>
      </c>
      <c r="C427">
        <v>2</v>
      </c>
      <c r="D427" s="1">
        <v>45444</v>
      </c>
      <c r="E427" s="4" t="s">
        <v>23</v>
      </c>
      <c r="F427" s="4" t="s">
        <v>28</v>
      </c>
      <c r="G427" s="4" t="s">
        <v>109</v>
      </c>
      <c r="H427">
        <v>575</v>
      </c>
      <c r="I427">
        <v>926</v>
      </c>
      <c r="J427">
        <v>0</v>
      </c>
      <c r="K427">
        <v>926</v>
      </c>
      <c r="L427">
        <v>413492.69</v>
      </c>
      <c r="M427">
        <v>0</v>
      </c>
      <c r="N427">
        <v>413492.69</v>
      </c>
      <c r="O427">
        <v>149912.70000000001</v>
      </c>
      <c r="P427">
        <v>263579.99</v>
      </c>
      <c r="Q427">
        <v>0.63739999999999997</v>
      </c>
      <c r="R427">
        <v>75</v>
      </c>
      <c r="S427">
        <v>59373.43</v>
      </c>
      <c r="T427">
        <v>0</v>
      </c>
      <c r="U427">
        <v>719.12</v>
      </c>
    </row>
    <row r="428" spans="1:21" x14ac:dyDescent="0.35">
      <c r="A428">
        <v>2024</v>
      </c>
      <c r="B428">
        <v>6</v>
      </c>
      <c r="C428">
        <v>2</v>
      </c>
      <c r="D428" s="1">
        <v>45444</v>
      </c>
      <c r="E428" s="4" t="s">
        <v>23</v>
      </c>
      <c r="F428" s="4" t="s">
        <v>24</v>
      </c>
      <c r="G428" s="4" t="s">
        <v>107</v>
      </c>
      <c r="H428">
        <v>54</v>
      </c>
      <c r="I428">
        <v>90</v>
      </c>
      <c r="J428">
        <v>4</v>
      </c>
      <c r="K428">
        <v>86</v>
      </c>
      <c r="L428">
        <v>164518.75</v>
      </c>
      <c r="M428">
        <v>9796</v>
      </c>
      <c r="N428">
        <v>154722.75</v>
      </c>
      <c r="O428">
        <v>86535.9</v>
      </c>
      <c r="P428">
        <v>68186.850000000006</v>
      </c>
      <c r="Q428">
        <v>0.44069999999999998</v>
      </c>
      <c r="R428">
        <v>6</v>
      </c>
      <c r="S428">
        <v>16812.75</v>
      </c>
      <c r="T428">
        <v>0</v>
      </c>
      <c r="U428">
        <v>2865.24</v>
      </c>
    </row>
    <row r="429" spans="1:21" x14ac:dyDescent="0.35">
      <c r="A429">
        <v>2024</v>
      </c>
      <c r="B429">
        <v>6</v>
      </c>
      <c r="C429">
        <v>2</v>
      </c>
      <c r="D429" s="1">
        <v>45444</v>
      </c>
      <c r="E429" s="4" t="s">
        <v>23</v>
      </c>
      <c r="F429" s="4" t="s">
        <v>24</v>
      </c>
      <c r="G429" s="4" t="s">
        <v>109</v>
      </c>
      <c r="H429">
        <v>116</v>
      </c>
      <c r="I429">
        <v>173</v>
      </c>
      <c r="J429">
        <v>5</v>
      </c>
      <c r="K429">
        <v>168</v>
      </c>
      <c r="L429">
        <v>196035.96</v>
      </c>
      <c r="M429">
        <v>5831</v>
      </c>
      <c r="N429">
        <v>190204.96</v>
      </c>
      <c r="O429">
        <v>109006.15</v>
      </c>
      <c r="P429">
        <v>81198.81</v>
      </c>
      <c r="Q429">
        <v>0.4269</v>
      </c>
      <c r="R429">
        <v>14</v>
      </c>
      <c r="S429">
        <v>26529.96</v>
      </c>
      <c r="T429">
        <v>0</v>
      </c>
      <c r="U429">
        <v>1639.7</v>
      </c>
    </row>
    <row r="430" spans="1:21" x14ac:dyDescent="0.35">
      <c r="A430">
        <v>2024</v>
      </c>
      <c r="B430">
        <v>6</v>
      </c>
      <c r="C430">
        <v>2</v>
      </c>
      <c r="D430" s="1">
        <v>45444</v>
      </c>
      <c r="E430" s="4" t="s">
        <v>23</v>
      </c>
      <c r="F430" s="4" t="s">
        <v>26</v>
      </c>
      <c r="G430" s="4" t="s">
        <v>107</v>
      </c>
      <c r="H430">
        <v>7</v>
      </c>
      <c r="I430">
        <v>13</v>
      </c>
      <c r="J430">
        <v>0</v>
      </c>
      <c r="K430">
        <v>13</v>
      </c>
      <c r="L430">
        <v>7174.73</v>
      </c>
      <c r="M430">
        <v>0</v>
      </c>
      <c r="N430">
        <v>7174.73</v>
      </c>
      <c r="O430">
        <v>4668.6000000000004</v>
      </c>
      <c r="P430">
        <v>2506.13</v>
      </c>
      <c r="Q430">
        <v>0.3493</v>
      </c>
      <c r="R430">
        <v>3</v>
      </c>
      <c r="S430">
        <v>4457.7299999999996</v>
      </c>
      <c r="T430">
        <v>0</v>
      </c>
      <c r="U430">
        <v>1024.96</v>
      </c>
    </row>
    <row r="431" spans="1:21" x14ac:dyDescent="0.35">
      <c r="A431">
        <v>2024</v>
      </c>
      <c r="B431">
        <v>6</v>
      </c>
      <c r="C431">
        <v>2</v>
      </c>
      <c r="D431" s="1">
        <v>45444</v>
      </c>
      <c r="E431" s="4" t="s">
        <v>23</v>
      </c>
      <c r="F431" s="4" t="s">
        <v>26</v>
      </c>
      <c r="G431" s="4" t="s">
        <v>109</v>
      </c>
      <c r="H431">
        <v>22</v>
      </c>
      <c r="I431">
        <v>34</v>
      </c>
      <c r="J431">
        <v>0</v>
      </c>
      <c r="K431">
        <v>34</v>
      </c>
      <c r="L431">
        <v>22568.67</v>
      </c>
      <c r="M431">
        <v>0</v>
      </c>
      <c r="N431">
        <v>22568.67</v>
      </c>
      <c r="O431">
        <v>13563</v>
      </c>
      <c r="P431">
        <v>9005.67</v>
      </c>
      <c r="Q431">
        <v>0.39900000000000002</v>
      </c>
      <c r="R431">
        <v>1</v>
      </c>
      <c r="S431">
        <v>482.67</v>
      </c>
      <c r="T431">
        <v>0</v>
      </c>
      <c r="U431">
        <v>1025.8499999999999</v>
      </c>
    </row>
    <row r="432" spans="1:21" x14ac:dyDescent="0.35">
      <c r="A432">
        <v>2024</v>
      </c>
      <c r="B432">
        <v>6</v>
      </c>
      <c r="C432">
        <v>2</v>
      </c>
      <c r="D432" s="1">
        <v>45444</v>
      </c>
      <c r="E432" s="4" t="s">
        <v>25</v>
      </c>
      <c r="F432" s="4" t="s">
        <v>28</v>
      </c>
      <c r="G432" s="4" t="s">
        <v>107</v>
      </c>
      <c r="H432">
        <v>23</v>
      </c>
      <c r="I432">
        <v>37</v>
      </c>
      <c r="J432">
        <v>0</v>
      </c>
      <c r="K432">
        <v>37</v>
      </c>
      <c r="L432">
        <v>17037.16</v>
      </c>
      <c r="M432">
        <v>0</v>
      </c>
      <c r="N432">
        <v>17037.16</v>
      </c>
      <c r="O432">
        <v>6436.15</v>
      </c>
      <c r="P432">
        <v>10601.01</v>
      </c>
      <c r="Q432">
        <v>0.62219999999999998</v>
      </c>
      <c r="R432">
        <v>4</v>
      </c>
      <c r="S432">
        <v>4612.16</v>
      </c>
      <c r="T432">
        <v>0</v>
      </c>
      <c r="U432">
        <v>740.75</v>
      </c>
    </row>
    <row r="433" spans="1:21" x14ac:dyDescent="0.35">
      <c r="A433">
        <v>2024</v>
      </c>
      <c r="B433">
        <v>6</v>
      </c>
      <c r="C433">
        <v>2</v>
      </c>
      <c r="D433" s="1">
        <v>45444</v>
      </c>
      <c r="E433" s="4" t="s">
        <v>25</v>
      </c>
      <c r="F433" s="4" t="s">
        <v>28</v>
      </c>
      <c r="G433" s="4" t="s">
        <v>109</v>
      </c>
      <c r="H433">
        <v>642</v>
      </c>
      <c r="I433">
        <v>962</v>
      </c>
      <c r="J433">
        <v>0</v>
      </c>
      <c r="K433">
        <v>962</v>
      </c>
      <c r="L433">
        <v>511204.23</v>
      </c>
      <c r="M433">
        <v>0</v>
      </c>
      <c r="N433">
        <v>511204.23</v>
      </c>
      <c r="O433">
        <v>184424.45</v>
      </c>
      <c r="P433">
        <v>326779.78000000003</v>
      </c>
      <c r="Q433">
        <v>0.63919999999999999</v>
      </c>
      <c r="R433">
        <v>70</v>
      </c>
      <c r="S433">
        <v>66830.67</v>
      </c>
      <c r="T433">
        <v>0</v>
      </c>
      <c r="U433">
        <v>796.27</v>
      </c>
    </row>
    <row r="434" spans="1:21" x14ac:dyDescent="0.35">
      <c r="A434">
        <v>2024</v>
      </c>
      <c r="B434">
        <v>6</v>
      </c>
      <c r="C434">
        <v>2</v>
      </c>
      <c r="D434" s="1">
        <v>45444</v>
      </c>
      <c r="E434" s="4" t="s">
        <v>25</v>
      </c>
      <c r="F434" s="4" t="s">
        <v>35</v>
      </c>
      <c r="G434" s="4" t="s">
        <v>107</v>
      </c>
      <c r="H434">
        <v>1</v>
      </c>
      <c r="I434">
        <v>3</v>
      </c>
      <c r="J434">
        <v>0</v>
      </c>
      <c r="K434">
        <v>3</v>
      </c>
      <c r="L434">
        <v>1209</v>
      </c>
      <c r="M434">
        <v>0</v>
      </c>
      <c r="N434">
        <v>1209</v>
      </c>
      <c r="O434">
        <v>241.8</v>
      </c>
      <c r="P434">
        <v>967.2</v>
      </c>
      <c r="Q434">
        <v>0.8</v>
      </c>
      <c r="R434">
        <v>0</v>
      </c>
      <c r="S434">
        <v>0</v>
      </c>
      <c r="T434">
        <v>0</v>
      </c>
      <c r="U434">
        <v>1209</v>
      </c>
    </row>
    <row r="435" spans="1:21" x14ac:dyDescent="0.35">
      <c r="A435">
        <v>2024</v>
      </c>
      <c r="B435">
        <v>6</v>
      </c>
      <c r="C435">
        <v>2</v>
      </c>
      <c r="D435" s="1">
        <v>45444</v>
      </c>
      <c r="E435" s="4" t="s">
        <v>25</v>
      </c>
      <c r="F435" s="4" t="s">
        <v>24</v>
      </c>
      <c r="G435" s="4" t="s">
        <v>107</v>
      </c>
      <c r="H435">
        <v>18</v>
      </c>
      <c r="I435">
        <v>23</v>
      </c>
      <c r="J435">
        <v>0</v>
      </c>
      <c r="K435">
        <v>23</v>
      </c>
      <c r="L435">
        <v>40436.28</v>
      </c>
      <c r="M435">
        <v>0</v>
      </c>
      <c r="N435">
        <v>40436.28</v>
      </c>
      <c r="O435">
        <v>22651.75</v>
      </c>
      <c r="P435">
        <v>17784.53</v>
      </c>
      <c r="Q435">
        <v>0.43980000000000002</v>
      </c>
      <c r="R435">
        <v>2</v>
      </c>
      <c r="S435">
        <v>4254.28</v>
      </c>
      <c r="T435">
        <v>0</v>
      </c>
      <c r="U435">
        <v>2246.46</v>
      </c>
    </row>
    <row r="436" spans="1:21" x14ac:dyDescent="0.35">
      <c r="A436">
        <v>2024</v>
      </c>
      <c r="B436">
        <v>6</v>
      </c>
      <c r="C436">
        <v>2</v>
      </c>
      <c r="D436" s="1">
        <v>45444</v>
      </c>
      <c r="E436" s="4" t="s">
        <v>25</v>
      </c>
      <c r="F436" s="4" t="s">
        <v>24</v>
      </c>
      <c r="G436" s="4" t="s">
        <v>109</v>
      </c>
      <c r="H436">
        <v>177</v>
      </c>
      <c r="I436">
        <v>244</v>
      </c>
      <c r="J436">
        <v>8</v>
      </c>
      <c r="K436">
        <v>236</v>
      </c>
      <c r="L436">
        <v>380536.54</v>
      </c>
      <c r="M436">
        <v>11302.04</v>
      </c>
      <c r="N436">
        <v>369234.5</v>
      </c>
      <c r="O436">
        <v>208523.7</v>
      </c>
      <c r="P436">
        <v>160710.79999999999</v>
      </c>
      <c r="Q436">
        <v>0.43530000000000002</v>
      </c>
      <c r="R436">
        <v>19</v>
      </c>
      <c r="S436">
        <v>47033.5</v>
      </c>
      <c r="T436">
        <v>0</v>
      </c>
      <c r="U436">
        <v>2086.0700000000002</v>
      </c>
    </row>
    <row r="437" spans="1:21" x14ac:dyDescent="0.35">
      <c r="A437">
        <v>2024</v>
      </c>
      <c r="B437">
        <v>6</v>
      </c>
      <c r="C437">
        <v>2</v>
      </c>
      <c r="D437" s="1">
        <v>45444</v>
      </c>
      <c r="E437" s="4" t="s">
        <v>25</v>
      </c>
      <c r="F437" s="4" t="s">
        <v>26</v>
      </c>
      <c r="G437" s="4" t="s">
        <v>107</v>
      </c>
      <c r="H437">
        <v>16</v>
      </c>
      <c r="I437">
        <v>24</v>
      </c>
      <c r="J437">
        <v>2</v>
      </c>
      <c r="K437">
        <v>22</v>
      </c>
      <c r="L437">
        <v>25040.51</v>
      </c>
      <c r="M437">
        <v>2394</v>
      </c>
      <c r="N437">
        <v>22646.51</v>
      </c>
      <c r="O437">
        <v>13418.4</v>
      </c>
      <c r="P437">
        <v>9228.11</v>
      </c>
      <c r="Q437">
        <v>0.40749999999999997</v>
      </c>
      <c r="R437">
        <v>2</v>
      </c>
      <c r="S437">
        <v>4110.12</v>
      </c>
      <c r="T437">
        <v>0</v>
      </c>
      <c r="U437">
        <v>1415.41</v>
      </c>
    </row>
    <row r="438" spans="1:21" x14ac:dyDescent="0.35">
      <c r="A438">
        <v>2024</v>
      </c>
      <c r="B438">
        <v>6</v>
      </c>
      <c r="C438">
        <v>2</v>
      </c>
      <c r="D438" s="1">
        <v>45444</v>
      </c>
      <c r="E438" s="4" t="s">
        <v>25</v>
      </c>
      <c r="F438" s="4" t="s">
        <v>26</v>
      </c>
      <c r="G438" s="4" t="s">
        <v>109</v>
      </c>
      <c r="H438">
        <v>43</v>
      </c>
      <c r="I438">
        <v>60</v>
      </c>
      <c r="J438">
        <v>0</v>
      </c>
      <c r="K438">
        <v>60</v>
      </c>
      <c r="L438">
        <v>44524.47</v>
      </c>
      <c r="M438">
        <v>0</v>
      </c>
      <c r="N438">
        <v>44524.47</v>
      </c>
      <c r="O438">
        <v>27440.400000000001</v>
      </c>
      <c r="P438">
        <v>17084.07</v>
      </c>
      <c r="Q438">
        <v>0.38369999999999999</v>
      </c>
      <c r="R438">
        <v>4</v>
      </c>
      <c r="S438">
        <v>5323.47</v>
      </c>
      <c r="T438">
        <v>0</v>
      </c>
      <c r="U438">
        <v>1035.45</v>
      </c>
    </row>
    <row r="439" spans="1:21" x14ac:dyDescent="0.35">
      <c r="A439">
        <v>2024</v>
      </c>
      <c r="B439">
        <v>6</v>
      </c>
      <c r="C439">
        <v>2</v>
      </c>
      <c r="D439" s="1">
        <v>45444</v>
      </c>
      <c r="E439" s="4" t="s">
        <v>29</v>
      </c>
      <c r="F439" s="4" t="s">
        <v>28</v>
      </c>
      <c r="G439" s="4" t="s">
        <v>107</v>
      </c>
      <c r="H439">
        <v>218</v>
      </c>
      <c r="I439">
        <v>333</v>
      </c>
      <c r="J439">
        <v>0</v>
      </c>
      <c r="K439">
        <v>333</v>
      </c>
      <c r="L439">
        <v>140101.92000000001</v>
      </c>
      <c r="M439">
        <v>0</v>
      </c>
      <c r="N439">
        <v>140101.92000000001</v>
      </c>
      <c r="O439">
        <v>51496.2</v>
      </c>
      <c r="P439">
        <v>88605.72</v>
      </c>
      <c r="Q439">
        <v>0.63239999999999996</v>
      </c>
      <c r="R439">
        <v>31</v>
      </c>
      <c r="S439">
        <v>23053.919999999998</v>
      </c>
      <c r="T439">
        <v>0</v>
      </c>
      <c r="U439">
        <v>642.66999999999996</v>
      </c>
    </row>
    <row r="440" spans="1:21" x14ac:dyDescent="0.35">
      <c r="A440">
        <v>2024</v>
      </c>
      <c r="B440">
        <v>6</v>
      </c>
      <c r="C440">
        <v>2</v>
      </c>
      <c r="D440" s="1">
        <v>45444</v>
      </c>
      <c r="E440" s="4" t="s">
        <v>29</v>
      </c>
      <c r="F440" s="4" t="s">
        <v>28</v>
      </c>
      <c r="G440" s="4" t="s">
        <v>108</v>
      </c>
      <c r="H440">
        <v>24</v>
      </c>
      <c r="I440">
        <v>37</v>
      </c>
      <c r="J440">
        <v>0</v>
      </c>
      <c r="K440">
        <v>37</v>
      </c>
      <c r="L440">
        <v>20957.759999999998</v>
      </c>
      <c r="M440">
        <v>0</v>
      </c>
      <c r="N440">
        <v>20957.759999999998</v>
      </c>
      <c r="O440">
        <v>7873.6</v>
      </c>
      <c r="P440">
        <v>13084.16</v>
      </c>
      <c r="Q440">
        <v>0.62429999999999997</v>
      </c>
      <c r="R440">
        <v>6</v>
      </c>
      <c r="S440">
        <v>6973.76</v>
      </c>
      <c r="T440">
        <v>0</v>
      </c>
      <c r="U440">
        <v>873.24</v>
      </c>
    </row>
    <row r="441" spans="1:21" x14ac:dyDescent="0.35">
      <c r="A441">
        <v>2024</v>
      </c>
      <c r="B441">
        <v>6</v>
      </c>
      <c r="C441">
        <v>2</v>
      </c>
      <c r="D441" s="1">
        <v>45444</v>
      </c>
      <c r="E441" s="4" t="s">
        <v>29</v>
      </c>
      <c r="F441" s="4" t="s">
        <v>28</v>
      </c>
      <c r="G441" s="4" t="s">
        <v>109</v>
      </c>
      <c r="H441">
        <v>789</v>
      </c>
      <c r="I441">
        <v>1206</v>
      </c>
      <c r="J441">
        <v>0</v>
      </c>
      <c r="K441">
        <v>1206</v>
      </c>
      <c r="L441">
        <v>559259.87</v>
      </c>
      <c r="M441">
        <v>0</v>
      </c>
      <c r="N441">
        <v>559259.87</v>
      </c>
      <c r="O441">
        <v>202612.55</v>
      </c>
      <c r="P441">
        <v>356647.32</v>
      </c>
      <c r="Q441">
        <v>0.63770000000000004</v>
      </c>
      <c r="R441">
        <v>104</v>
      </c>
      <c r="S441">
        <v>85401.87</v>
      </c>
      <c r="T441">
        <v>0</v>
      </c>
      <c r="U441">
        <v>708.82</v>
      </c>
    </row>
    <row r="442" spans="1:21" x14ac:dyDescent="0.35">
      <c r="A442">
        <v>2024</v>
      </c>
      <c r="B442">
        <v>6</v>
      </c>
      <c r="C442">
        <v>2</v>
      </c>
      <c r="D442" s="1">
        <v>45444</v>
      </c>
      <c r="E442" s="4" t="s">
        <v>29</v>
      </c>
      <c r="F442" s="4" t="s">
        <v>24</v>
      </c>
      <c r="G442" s="4" t="s">
        <v>107</v>
      </c>
      <c r="H442">
        <v>2</v>
      </c>
      <c r="I442">
        <v>3</v>
      </c>
      <c r="J442">
        <v>0</v>
      </c>
      <c r="K442">
        <v>3</v>
      </c>
      <c r="L442">
        <v>2160</v>
      </c>
      <c r="M442">
        <v>0</v>
      </c>
      <c r="N442">
        <v>2160</v>
      </c>
      <c r="O442">
        <v>1425.6</v>
      </c>
      <c r="P442">
        <v>734.4</v>
      </c>
      <c r="Q442">
        <v>0.34</v>
      </c>
      <c r="R442">
        <v>1</v>
      </c>
      <c r="S442">
        <v>1296</v>
      </c>
      <c r="T442">
        <v>0</v>
      </c>
      <c r="U442">
        <v>1080</v>
      </c>
    </row>
    <row r="443" spans="1:21" x14ac:dyDescent="0.35">
      <c r="A443">
        <v>2024</v>
      </c>
      <c r="B443">
        <v>6</v>
      </c>
      <c r="C443">
        <v>2</v>
      </c>
      <c r="D443" s="1">
        <v>45444</v>
      </c>
      <c r="E443" s="4" t="s">
        <v>29</v>
      </c>
      <c r="F443" s="4" t="s">
        <v>24</v>
      </c>
      <c r="G443" s="4" t="s">
        <v>108</v>
      </c>
      <c r="H443">
        <v>8</v>
      </c>
      <c r="I443">
        <v>15</v>
      </c>
      <c r="J443">
        <v>2</v>
      </c>
      <c r="K443">
        <v>13</v>
      </c>
      <c r="L443">
        <v>10454.01</v>
      </c>
      <c r="M443">
        <v>1484</v>
      </c>
      <c r="N443">
        <v>8970.01</v>
      </c>
      <c r="O443">
        <v>5305.3</v>
      </c>
      <c r="P443">
        <v>3664.71</v>
      </c>
      <c r="Q443">
        <v>0.40860000000000002</v>
      </c>
      <c r="R443">
        <v>1</v>
      </c>
      <c r="S443">
        <v>3153.5</v>
      </c>
      <c r="T443">
        <v>0</v>
      </c>
      <c r="U443">
        <v>1121.25</v>
      </c>
    </row>
    <row r="444" spans="1:21" x14ac:dyDescent="0.35">
      <c r="A444">
        <v>2024</v>
      </c>
      <c r="B444">
        <v>6</v>
      </c>
      <c r="C444">
        <v>2</v>
      </c>
      <c r="D444" s="1">
        <v>45444</v>
      </c>
      <c r="E444" s="4" t="s">
        <v>29</v>
      </c>
      <c r="F444" s="4" t="s">
        <v>24</v>
      </c>
      <c r="G444" s="4" t="s">
        <v>109</v>
      </c>
      <c r="H444">
        <v>150</v>
      </c>
      <c r="I444">
        <v>224</v>
      </c>
      <c r="J444">
        <v>6</v>
      </c>
      <c r="K444">
        <v>218</v>
      </c>
      <c r="L444">
        <v>425127</v>
      </c>
      <c r="M444">
        <v>9770.5</v>
      </c>
      <c r="N444">
        <v>415356.5</v>
      </c>
      <c r="O444">
        <v>239547</v>
      </c>
      <c r="P444">
        <v>175809.5</v>
      </c>
      <c r="Q444">
        <v>0.42330000000000001</v>
      </c>
      <c r="R444">
        <v>21</v>
      </c>
      <c r="S444">
        <v>71036.5</v>
      </c>
      <c r="T444">
        <v>0</v>
      </c>
      <c r="U444">
        <v>2769.04</v>
      </c>
    </row>
    <row r="445" spans="1:21" x14ac:dyDescent="0.35">
      <c r="A445">
        <v>2024</v>
      </c>
      <c r="B445">
        <v>6</v>
      </c>
      <c r="C445">
        <v>2</v>
      </c>
      <c r="D445" s="1">
        <v>45444</v>
      </c>
      <c r="E445" s="4" t="s">
        <v>29</v>
      </c>
      <c r="F445" s="4" t="s">
        <v>26</v>
      </c>
      <c r="G445" s="4" t="s">
        <v>107</v>
      </c>
      <c r="H445">
        <v>17</v>
      </c>
      <c r="I445">
        <v>23</v>
      </c>
      <c r="J445">
        <v>0</v>
      </c>
      <c r="K445">
        <v>23</v>
      </c>
      <c r="L445">
        <v>16806.48</v>
      </c>
      <c r="M445">
        <v>0</v>
      </c>
      <c r="N445">
        <v>16806.48</v>
      </c>
      <c r="O445">
        <v>10290.6</v>
      </c>
      <c r="P445">
        <v>6515.88</v>
      </c>
      <c r="Q445">
        <v>0.38769999999999999</v>
      </c>
      <c r="R445">
        <v>2</v>
      </c>
      <c r="S445">
        <v>2787.48</v>
      </c>
      <c r="T445">
        <v>0</v>
      </c>
      <c r="U445">
        <v>988.62</v>
      </c>
    </row>
    <row r="446" spans="1:21" x14ac:dyDescent="0.35">
      <c r="A446">
        <v>2024</v>
      </c>
      <c r="B446">
        <v>6</v>
      </c>
      <c r="C446">
        <v>2</v>
      </c>
      <c r="D446" s="1">
        <v>45444</v>
      </c>
      <c r="E446" s="4" t="s">
        <v>29</v>
      </c>
      <c r="F446" s="4" t="s">
        <v>26</v>
      </c>
      <c r="G446" s="4" t="s">
        <v>109</v>
      </c>
      <c r="H446">
        <v>36</v>
      </c>
      <c r="I446">
        <v>70</v>
      </c>
      <c r="J446">
        <v>1</v>
      </c>
      <c r="K446">
        <v>69</v>
      </c>
      <c r="L446">
        <v>44799.199999999997</v>
      </c>
      <c r="M446">
        <v>1109</v>
      </c>
      <c r="N446">
        <v>43690.2</v>
      </c>
      <c r="O446">
        <v>27820.2</v>
      </c>
      <c r="P446">
        <v>15870</v>
      </c>
      <c r="Q446">
        <v>0.36320000000000002</v>
      </c>
      <c r="R446">
        <v>4</v>
      </c>
      <c r="S446">
        <v>6753.2</v>
      </c>
      <c r="T446">
        <v>0</v>
      </c>
      <c r="U446">
        <v>1213.6199999999999</v>
      </c>
    </row>
    <row r="447" spans="1:21" x14ac:dyDescent="0.35">
      <c r="A447">
        <v>2024</v>
      </c>
      <c r="B447">
        <v>6</v>
      </c>
      <c r="C447">
        <v>2</v>
      </c>
      <c r="D447" s="1">
        <v>45444</v>
      </c>
      <c r="E447" s="4" t="s">
        <v>31</v>
      </c>
      <c r="F447" s="4" t="s">
        <v>28</v>
      </c>
      <c r="G447" s="4" t="s">
        <v>107</v>
      </c>
      <c r="H447">
        <v>66</v>
      </c>
      <c r="I447">
        <v>108</v>
      </c>
      <c r="J447">
        <v>0</v>
      </c>
      <c r="K447">
        <v>108</v>
      </c>
      <c r="L447">
        <v>40698.93</v>
      </c>
      <c r="M447">
        <v>0</v>
      </c>
      <c r="N447">
        <v>40698.93</v>
      </c>
      <c r="O447">
        <v>15160.95</v>
      </c>
      <c r="P447">
        <v>25537.98</v>
      </c>
      <c r="Q447">
        <v>0.62749999999999995</v>
      </c>
      <c r="R447">
        <v>14</v>
      </c>
      <c r="S447">
        <v>10692.93</v>
      </c>
      <c r="T447">
        <v>0</v>
      </c>
      <c r="U447">
        <v>616.65</v>
      </c>
    </row>
    <row r="448" spans="1:21" x14ac:dyDescent="0.35">
      <c r="A448">
        <v>2024</v>
      </c>
      <c r="B448">
        <v>6</v>
      </c>
      <c r="C448">
        <v>2</v>
      </c>
      <c r="D448" s="1">
        <v>45444</v>
      </c>
      <c r="E448" s="4" t="s">
        <v>31</v>
      </c>
      <c r="F448" s="4" t="s">
        <v>28</v>
      </c>
      <c r="G448" s="4" t="s">
        <v>108</v>
      </c>
      <c r="H448">
        <v>242</v>
      </c>
      <c r="I448">
        <v>363</v>
      </c>
      <c r="J448">
        <v>0</v>
      </c>
      <c r="K448">
        <v>363</v>
      </c>
      <c r="L448">
        <v>141928.95000000001</v>
      </c>
      <c r="M448">
        <v>0</v>
      </c>
      <c r="N448">
        <v>141928.95000000001</v>
      </c>
      <c r="O448">
        <v>51095.45</v>
      </c>
      <c r="P448">
        <v>90833.5</v>
      </c>
      <c r="Q448">
        <v>0.64</v>
      </c>
      <c r="R448">
        <v>22</v>
      </c>
      <c r="S448">
        <v>16010.48</v>
      </c>
      <c r="T448">
        <v>0</v>
      </c>
      <c r="U448">
        <v>586.48</v>
      </c>
    </row>
    <row r="449" spans="1:21" x14ac:dyDescent="0.35">
      <c r="A449">
        <v>2024</v>
      </c>
      <c r="B449">
        <v>6</v>
      </c>
      <c r="C449">
        <v>2</v>
      </c>
      <c r="D449" s="1">
        <v>45444</v>
      </c>
      <c r="E449" s="4" t="s">
        <v>31</v>
      </c>
      <c r="F449" s="4" t="s">
        <v>28</v>
      </c>
      <c r="G449" s="4" t="s">
        <v>109</v>
      </c>
      <c r="H449">
        <v>881</v>
      </c>
      <c r="I449">
        <v>1365</v>
      </c>
      <c r="J449">
        <v>0</v>
      </c>
      <c r="K449">
        <v>1365</v>
      </c>
      <c r="L449">
        <v>652931.87</v>
      </c>
      <c r="M449">
        <v>0</v>
      </c>
      <c r="N449">
        <v>652931.87</v>
      </c>
      <c r="O449">
        <v>238498.4</v>
      </c>
      <c r="P449">
        <v>414433.47</v>
      </c>
      <c r="Q449">
        <v>0.63470000000000004</v>
      </c>
      <c r="R449">
        <v>113</v>
      </c>
      <c r="S449">
        <v>108359.4</v>
      </c>
      <c r="T449">
        <v>0</v>
      </c>
      <c r="U449">
        <v>741.13</v>
      </c>
    </row>
    <row r="450" spans="1:21" x14ac:dyDescent="0.35">
      <c r="A450">
        <v>2024</v>
      </c>
      <c r="B450">
        <v>6</v>
      </c>
      <c r="C450">
        <v>2</v>
      </c>
      <c r="D450" s="1">
        <v>45444</v>
      </c>
      <c r="E450" s="4" t="s">
        <v>31</v>
      </c>
      <c r="F450" s="4" t="s">
        <v>35</v>
      </c>
      <c r="G450" s="4" t="s">
        <v>109</v>
      </c>
      <c r="H450">
        <v>1</v>
      </c>
      <c r="I450">
        <v>2</v>
      </c>
      <c r="J450">
        <v>0</v>
      </c>
      <c r="K450">
        <v>2</v>
      </c>
      <c r="L450">
        <v>893.2</v>
      </c>
      <c r="M450">
        <v>0</v>
      </c>
      <c r="N450">
        <v>893.2</v>
      </c>
      <c r="O450">
        <v>232</v>
      </c>
      <c r="P450">
        <v>661.2</v>
      </c>
      <c r="Q450">
        <v>0.74029999999999996</v>
      </c>
      <c r="R450">
        <v>1</v>
      </c>
      <c r="S450">
        <v>893.2</v>
      </c>
      <c r="T450">
        <v>0</v>
      </c>
      <c r="U450">
        <v>893.2</v>
      </c>
    </row>
    <row r="451" spans="1:21" x14ac:dyDescent="0.35">
      <c r="A451">
        <v>2024</v>
      </c>
      <c r="B451">
        <v>6</v>
      </c>
      <c r="C451">
        <v>2</v>
      </c>
      <c r="D451" s="1">
        <v>45444</v>
      </c>
      <c r="E451" s="4" t="s">
        <v>31</v>
      </c>
      <c r="F451" s="4" t="s">
        <v>24</v>
      </c>
      <c r="G451" s="4" t="s">
        <v>107</v>
      </c>
      <c r="H451">
        <v>7</v>
      </c>
      <c r="I451">
        <v>12</v>
      </c>
      <c r="J451">
        <v>2</v>
      </c>
      <c r="K451">
        <v>10</v>
      </c>
      <c r="L451">
        <v>21720</v>
      </c>
      <c r="M451">
        <v>3620</v>
      </c>
      <c r="N451">
        <v>18100</v>
      </c>
      <c r="O451">
        <v>9955</v>
      </c>
      <c r="P451">
        <v>8145</v>
      </c>
      <c r="Q451">
        <v>0.45</v>
      </c>
      <c r="R451">
        <v>0</v>
      </c>
      <c r="S451">
        <v>0</v>
      </c>
      <c r="T451">
        <v>0</v>
      </c>
      <c r="U451">
        <v>2585.71</v>
      </c>
    </row>
    <row r="452" spans="1:21" x14ac:dyDescent="0.35">
      <c r="A452">
        <v>2024</v>
      </c>
      <c r="B452">
        <v>6</v>
      </c>
      <c r="C452">
        <v>2</v>
      </c>
      <c r="D452" s="1">
        <v>45444</v>
      </c>
      <c r="E452" s="4" t="s">
        <v>31</v>
      </c>
      <c r="F452" s="4" t="s">
        <v>24</v>
      </c>
      <c r="G452" s="4" t="s">
        <v>109</v>
      </c>
      <c r="H452">
        <v>194</v>
      </c>
      <c r="I452">
        <v>296</v>
      </c>
      <c r="J452">
        <v>11</v>
      </c>
      <c r="K452">
        <v>285</v>
      </c>
      <c r="L452">
        <v>411674.61</v>
      </c>
      <c r="M452">
        <v>18823.55</v>
      </c>
      <c r="N452">
        <v>392851.06</v>
      </c>
      <c r="O452">
        <v>224798.2</v>
      </c>
      <c r="P452">
        <v>168052.86</v>
      </c>
      <c r="Q452">
        <v>0.42780000000000001</v>
      </c>
      <c r="R452">
        <v>24</v>
      </c>
      <c r="S452">
        <v>55457.06</v>
      </c>
      <c r="T452">
        <v>0</v>
      </c>
      <c r="U452">
        <v>2025.01</v>
      </c>
    </row>
    <row r="453" spans="1:21" x14ac:dyDescent="0.35">
      <c r="A453">
        <v>2024</v>
      </c>
      <c r="B453">
        <v>6</v>
      </c>
      <c r="C453">
        <v>2</v>
      </c>
      <c r="D453" s="1">
        <v>45444</v>
      </c>
      <c r="E453" s="4" t="s">
        <v>31</v>
      </c>
      <c r="F453" s="4" t="s">
        <v>26</v>
      </c>
      <c r="G453" s="4" t="s">
        <v>107</v>
      </c>
      <c r="H453">
        <v>5</v>
      </c>
      <c r="I453">
        <v>11</v>
      </c>
      <c r="J453">
        <v>0</v>
      </c>
      <c r="K453">
        <v>11</v>
      </c>
      <c r="L453">
        <v>4767.2</v>
      </c>
      <c r="M453">
        <v>0</v>
      </c>
      <c r="N453">
        <v>4767.2</v>
      </c>
      <c r="O453">
        <v>3046.8</v>
      </c>
      <c r="P453">
        <v>1720.4</v>
      </c>
      <c r="Q453">
        <v>0.3609</v>
      </c>
      <c r="R453">
        <v>1</v>
      </c>
      <c r="S453">
        <v>799.2</v>
      </c>
      <c r="T453">
        <v>0</v>
      </c>
      <c r="U453">
        <v>953.44</v>
      </c>
    </row>
    <row r="454" spans="1:21" x14ac:dyDescent="0.35">
      <c r="A454">
        <v>2024</v>
      </c>
      <c r="B454">
        <v>6</v>
      </c>
      <c r="C454">
        <v>2</v>
      </c>
      <c r="D454" s="1">
        <v>45444</v>
      </c>
      <c r="E454" s="4" t="s">
        <v>31</v>
      </c>
      <c r="F454" s="4" t="s">
        <v>26</v>
      </c>
      <c r="G454" s="4" t="s">
        <v>108</v>
      </c>
      <c r="H454">
        <v>2</v>
      </c>
      <c r="I454">
        <v>5</v>
      </c>
      <c r="J454">
        <v>0</v>
      </c>
      <c r="K454">
        <v>5</v>
      </c>
      <c r="L454">
        <v>5004</v>
      </c>
      <c r="M454">
        <v>0</v>
      </c>
      <c r="N454">
        <v>5004</v>
      </c>
      <c r="O454">
        <v>3002.4</v>
      </c>
      <c r="P454">
        <v>2001.6</v>
      </c>
      <c r="Q454">
        <v>0.4</v>
      </c>
      <c r="R454">
        <v>0</v>
      </c>
      <c r="S454">
        <v>0</v>
      </c>
      <c r="T454">
        <v>0</v>
      </c>
      <c r="U454">
        <v>2502</v>
      </c>
    </row>
    <row r="455" spans="1:21" x14ac:dyDescent="0.35">
      <c r="A455">
        <v>2024</v>
      </c>
      <c r="B455">
        <v>6</v>
      </c>
      <c r="C455">
        <v>2</v>
      </c>
      <c r="D455" s="1">
        <v>45444</v>
      </c>
      <c r="E455" s="4" t="s">
        <v>31</v>
      </c>
      <c r="F455" s="4" t="s">
        <v>26</v>
      </c>
      <c r="G455" s="4" t="s">
        <v>109</v>
      </c>
      <c r="H455">
        <v>46</v>
      </c>
      <c r="I455">
        <v>70</v>
      </c>
      <c r="J455">
        <v>1</v>
      </c>
      <c r="K455">
        <v>69</v>
      </c>
      <c r="L455">
        <v>59097.279999999999</v>
      </c>
      <c r="M455">
        <v>521</v>
      </c>
      <c r="N455">
        <v>58576.28</v>
      </c>
      <c r="O455">
        <v>36268.800000000003</v>
      </c>
      <c r="P455">
        <v>22307.48</v>
      </c>
      <c r="Q455">
        <v>0.38080000000000003</v>
      </c>
      <c r="R455">
        <v>6</v>
      </c>
      <c r="S455">
        <v>8288.2800000000007</v>
      </c>
      <c r="T455">
        <v>0</v>
      </c>
      <c r="U455">
        <v>1273.4000000000001</v>
      </c>
    </row>
    <row r="456" spans="1:21" x14ac:dyDescent="0.35">
      <c r="A456">
        <v>2024</v>
      </c>
      <c r="B456">
        <v>6</v>
      </c>
      <c r="C456">
        <v>2</v>
      </c>
      <c r="D456" s="1">
        <v>45444</v>
      </c>
      <c r="E456" s="4" t="s">
        <v>30</v>
      </c>
      <c r="F456" s="4" t="s">
        <v>28</v>
      </c>
      <c r="G456" s="4" t="s">
        <v>107</v>
      </c>
      <c r="H456">
        <v>98</v>
      </c>
      <c r="I456">
        <v>149</v>
      </c>
      <c r="J456">
        <v>0</v>
      </c>
      <c r="K456">
        <v>149</v>
      </c>
      <c r="L456">
        <v>63879.64</v>
      </c>
      <c r="M456">
        <v>0</v>
      </c>
      <c r="N456">
        <v>63879.64</v>
      </c>
      <c r="O456">
        <v>23519.65</v>
      </c>
      <c r="P456">
        <v>40359.99</v>
      </c>
      <c r="Q456">
        <v>0.63180000000000003</v>
      </c>
      <c r="R456">
        <v>12</v>
      </c>
      <c r="S456">
        <v>9308.64</v>
      </c>
      <c r="T456">
        <v>0</v>
      </c>
      <c r="U456">
        <v>651.83000000000004</v>
      </c>
    </row>
    <row r="457" spans="1:21" x14ac:dyDescent="0.35">
      <c r="A457">
        <v>2024</v>
      </c>
      <c r="B457">
        <v>6</v>
      </c>
      <c r="C457">
        <v>2</v>
      </c>
      <c r="D457" s="1">
        <v>45444</v>
      </c>
      <c r="E457" s="4" t="s">
        <v>30</v>
      </c>
      <c r="F457" s="4" t="s">
        <v>28</v>
      </c>
      <c r="G457" s="4" t="s">
        <v>108</v>
      </c>
      <c r="H457">
        <v>35</v>
      </c>
      <c r="I457">
        <v>51</v>
      </c>
      <c r="J457">
        <v>0</v>
      </c>
      <c r="K457">
        <v>51</v>
      </c>
      <c r="L457">
        <v>30504</v>
      </c>
      <c r="M457">
        <v>0</v>
      </c>
      <c r="N457">
        <v>30504</v>
      </c>
      <c r="O457">
        <v>10977.75</v>
      </c>
      <c r="P457">
        <v>19526.25</v>
      </c>
      <c r="Q457">
        <v>0.6401</v>
      </c>
      <c r="R457">
        <v>3</v>
      </c>
      <c r="S457">
        <v>2829</v>
      </c>
      <c r="T457">
        <v>0</v>
      </c>
      <c r="U457">
        <v>871.54</v>
      </c>
    </row>
    <row r="458" spans="1:21" x14ac:dyDescent="0.35">
      <c r="A458">
        <v>2024</v>
      </c>
      <c r="B458">
        <v>6</v>
      </c>
      <c r="C458">
        <v>2</v>
      </c>
      <c r="D458" s="1">
        <v>45444</v>
      </c>
      <c r="E458" s="4" t="s">
        <v>30</v>
      </c>
      <c r="F458" s="4" t="s">
        <v>28</v>
      </c>
      <c r="G458" s="4" t="s">
        <v>109</v>
      </c>
      <c r="H458">
        <v>631</v>
      </c>
      <c r="I458">
        <v>931</v>
      </c>
      <c r="J458">
        <v>0</v>
      </c>
      <c r="K458">
        <v>931</v>
      </c>
      <c r="L458">
        <v>368016.94</v>
      </c>
      <c r="M458">
        <v>0</v>
      </c>
      <c r="N458">
        <v>368016.94</v>
      </c>
      <c r="O458">
        <v>133004.54999999999</v>
      </c>
      <c r="P458">
        <v>235012.39</v>
      </c>
      <c r="Q458">
        <v>0.63859999999999995</v>
      </c>
      <c r="R458">
        <v>63</v>
      </c>
      <c r="S458">
        <v>44338.6</v>
      </c>
      <c r="T458">
        <v>0</v>
      </c>
      <c r="U458">
        <v>583.23</v>
      </c>
    </row>
    <row r="459" spans="1:21" x14ac:dyDescent="0.35">
      <c r="A459">
        <v>2024</v>
      </c>
      <c r="B459">
        <v>6</v>
      </c>
      <c r="C459">
        <v>2</v>
      </c>
      <c r="D459" s="1">
        <v>45444</v>
      </c>
      <c r="E459" s="4" t="s">
        <v>30</v>
      </c>
      <c r="F459" s="4" t="s">
        <v>24</v>
      </c>
      <c r="G459" s="4" t="s">
        <v>107</v>
      </c>
      <c r="H459">
        <v>61</v>
      </c>
      <c r="I459">
        <v>89</v>
      </c>
      <c r="J459">
        <v>0</v>
      </c>
      <c r="K459">
        <v>89</v>
      </c>
      <c r="L459">
        <v>161525.18</v>
      </c>
      <c r="M459">
        <v>0</v>
      </c>
      <c r="N459">
        <v>161525.18</v>
      </c>
      <c r="O459">
        <v>94245.8</v>
      </c>
      <c r="P459">
        <v>67279.38</v>
      </c>
      <c r="Q459">
        <v>0.41649999999999998</v>
      </c>
      <c r="R459">
        <v>6</v>
      </c>
      <c r="S459">
        <v>25433.18</v>
      </c>
      <c r="T459">
        <v>0</v>
      </c>
      <c r="U459">
        <v>2647.95</v>
      </c>
    </row>
    <row r="460" spans="1:21" x14ac:dyDescent="0.35">
      <c r="A460">
        <v>2024</v>
      </c>
      <c r="B460">
        <v>6</v>
      </c>
      <c r="C460">
        <v>2</v>
      </c>
      <c r="D460" s="1">
        <v>45444</v>
      </c>
      <c r="E460" s="4" t="s">
        <v>30</v>
      </c>
      <c r="F460" s="4" t="s">
        <v>24</v>
      </c>
      <c r="G460" s="4" t="s">
        <v>108</v>
      </c>
      <c r="H460">
        <v>4</v>
      </c>
      <c r="I460">
        <v>7</v>
      </c>
      <c r="J460">
        <v>0</v>
      </c>
      <c r="K460">
        <v>7</v>
      </c>
      <c r="L460">
        <v>16863</v>
      </c>
      <c r="M460">
        <v>0</v>
      </c>
      <c r="N460">
        <v>16863</v>
      </c>
      <c r="O460">
        <v>9274.65</v>
      </c>
      <c r="P460">
        <v>7588.35</v>
      </c>
      <c r="Q460">
        <v>0.45</v>
      </c>
      <c r="R460">
        <v>0</v>
      </c>
      <c r="S460">
        <v>0</v>
      </c>
      <c r="T460">
        <v>0</v>
      </c>
      <c r="U460">
        <v>4215.75</v>
      </c>
    </row>
    <row r="461" spans="1:21" x14ac:dyDescent="0.35">
      <c r="A461">
        <v>2024</v>
      </c>
      <c r="B461">
        <v>6</v>
      </c>
      <c r="C461">
        <v>2</v>
      </c>
      <c r="D461" s="1">
        <v>45444</v>
      </c>
      <c r="E461" s="4" t="s">
        <v>30</v>
      </c>
      <c r="F461" s="4" t="s">
        <v>24</v>
      </c>
      <c r="G461" s="4" t="s">
        <v>109</v>
      </c>
      <c r="H461">
        <v>213</v>
      </c>
      <c r="I461">
        <v>301</v>
      </c>
      <c r="J461">
        <v>6</v>
      </c>
      <c r="K461">
        <v>295</v>
      </c>
      <c r="L461">
        <v>540878.86</v>
      </c>
      <c r="M461">
        <v>8019</v>
      </c>
      <c r="N461">
        <v>532859.86</v>
      </c>
      <c r="O461">
        <v>304603.2</v>
      </c>
      <c r="P461">
        <v>228256.66</v>
      </c>
      <c r="Q461">
        <v>0.4284</v>
      </c>
      <c r="R461">
        <v>25</v>
      </c>
      <c r="S461">
        <v>82170.86</v>
      </c>
      <c r="T461">
        <v>0</v>
      </c>
      <c r="U461">
        <v>2501.69</v>
      </c>
    </row>
    <row r="462" spans="1:21" x14ac:dyDescent="0.35">
      <c r="A462">
        <v>2024</v>
      </c>
      <c r="B462">
        <v>6</v>
      </c>
      <c r="C462">
        <v>2</v>
      </c>
      <c r="D462" s="1">
        <v>45444</v>
      </c>
      <c r="E462" s="4" t="s">
        <v>30</v>
      </c>
      <c r="F462" s="4" t="s">
        <v>26</v>
      </c>
      <c r="G462" s="4" t="s">
        <v>107</v>
      </c>
      <c r="H462">
        <v>1</v>
      </c>
      <c r="I462">
        <v>1</v>
      </c>
      <c r="J462">
        <v>0</v>
      </c>
      <c r="K462">
        <v>1</v>
      </c>
      <c r="L462">
        <v>908</v>
      </c>
      <c r="M462">
        <v>0</v>
      </c>
      <c r="N462">
        <v>908</v>
      </c>
      <c r="O462">
        <v>544.79999999999995</v>
      </c>
      <c r="P462">
        <v>363.2</v>
      </c>
      <c r="Q462">
        <v>0.4</v>
      </c>
      <c r="R462">
        <v>0</v>
      </c>
      <c r="S462">
        <v>0</v>
      </c>
      <c r="T462">
        <v>0</v>
      </c>
      <c r="U462">
        <v>908</v>
      </c>
    </row>
    <row r="463" spans="1:21" x14ac:dyDescent="0.35">
      <c r="A463">
        <v>2024</v>
      </c>
      <c r="B463">
        <v>6</v>
      </c>
      <c r="C463">
        <v>2</v>
      </c>
      <c r="D463" s="1">
        <v>45444</v>
      </c>
      <c r="E463" s="4" t="s">
        <v>30</v>
      </c>
      <c r="F463" s="4" t="s">
        <v>26</v>
      </c>
      <c r="G463" s="4" t="s">
        <v>109</v>
      </c>
      <c r="H463">
        <v>50</v>
      </c>
      <c r="I463">
        <v>79</v>
      </c>
      <c r="J463">
        <v>1</v>
      </c>
      <c r="K463">
        <v>78</v>
      </c>
      <c r="L463">
        <v>60054.15</v>
      </c>
      <c r="M463">
        <v>389</v>
      </c>
      <c r="N463">
        <v>59665.15</v>
      </c>
      <c r="O463">
        <v>37278</v>
      </c>
      <c r="P463">
        <v>22387.15</v>
      </c>
      <c r="Q463">
        <v>0.37519999999999998</v>
      </c>
      <c r="R463">
        <v>8</v>
      </c>
      <c r="S463">
        <v>12122.98</v>
      </c>
      <c r="T463">
        <v>0</v>
      </c>
      <c r="U463">
        <v>1193.3</v>
      </c>
    </row>
    <row r="464" spans="1:21" x14ac:dyDescent="0.35">
      <c r="A464">
        <v>2024</v>
      </c>
      <c r="B464">
        <v>6</v>
      </c>
      <c r="C464">
        <v>2</v>
      </c>
      <c r="D464" s="1">
        <v>45444</v>
      </c>
      <c r="E464" s="4" t="s">
        <v>78</v>
      </c>
      <c r="F464" s="4" t="s">
        <v>78</v>
      </c>
      <c r="G464" s="4" t="s">
        <v>110</v>
      </c>
      <c r="H464">
        <v>220</v>
      </c>
      <c r="I464">
        <v>311</v>
      </c>
      <c r="J464">
        <v>0</v>
      </c>
      <c r="K464">
        <v>311</v>
      </c>
      <c r="L464">
        <v>651966</v>
      </c>
      <c r="M464">
        <v>0</v>
      </c>
      <c r="N464">
        <v>651966</v>
      </c>
      <c r="O464">
        <v>97794.9</v>
      </c>
      <c r="P464">
        <v>554171.1</v>
      </c>
      <c r="Q464">
        <v>0.85</v>
      </c>
      <c r="R464">
        <v>0</v>
      </c>
      <c r="S464">
        <v>0</v>
      </c>
      <c r="T464">
        <v>0</v>
      </c>
      <c r="U464">
        <v>2963.48</v>
      </c>
    </row>
    <row r="465" spans="1:21" x14ac:dyDescent="0.35">
      <c r="A465">
        <v>2024</v>
      </c>
      <c r="B465">
        <v>7</v>
      </c>
      <c r="C465">
        <v>3</v>
      </c>
      <c r="D465" s="1">
        <v>45474</v>
      </c>
      <c r="E465" s="4" t="s">
        <v>33</v>
      </c>
      <c r="F465" s="4" t="s">
        <v>28</v>
      </c>
      <c r="G465" s="4" t="s">
        <v>107</v>
      </c>
      <c r="H465">
        <v>69</v>
      </c>
      <c r="I465">
        <v>108</v>
      </c>
      <c r="J465">
        <v>0</v>
      </c>
      <c r="K465">
        <v>108</v>
      </c>
      <c r="L465">
        <v>33644.94</v>
      </c>
      <c r="M465">
        <v>0</v>
      </c>
      <c r="N465">
        <v>33644.94</v>
      </c>
      <c r="O465">
        <v>12362.7</v>
      </c>
      <c r="P465">
        <v>21282.240000000002</v>
      </c>
      <c r="Q465">
        <v>0.63260000000000005</v>
      </c>
      <c r="R465">
        <v>10</v>
      </c>
      <c r="S465">
        <v>5354.94</v>
      </c>
      <c r="T465">
        <v>0</v>
      </c>
      <c r="U465">
        <v>487.61</v>
      </c>
    </row>
    <row r="466" spans="1:21" x14ac:dyDescent="0.35">
      <c r="A466">
        <v>2024</v>
      </c>
      <c r="B466">
        <v>7</v>
      </c>
      <c r="C466">
        <v>3</v>
      </c>
      <c r="D466" s="1">
        <v>45474</v>
      </c>
      <c r="E466" s="4" t="s">
        <v>33</v>
      </c>
      <c r="F466" s="4" t="s">
        <v>28</v>
      </c>
      <c r="G466" s="4" t="s">
        <v>108</v>
      </c>
      <c r="H466">
        <v>29</v>
      </c>
      <c r="I466">
        <v>55</v>
      </c>
      <c r="J466">
        <v>0</v>
      </c>
      <c r="K466">
        <v>55</v>
      </c>
      <c r="L466">
        <v>36767.68</v>
      </c>
      <c r="M466">
        <v>0</v>
      </c>
      <c r="N466">
        <v>36767.68</v>
      </c>
      <c r="O466">
        <v>13706</v>
      </c>
      <c r="P466">
        <v>23061.68</v>
      </c>
      <c r="Q466">
        <v>0.62719999999999998</v>
      </c>
      <c r="R466">
        <v>5</v>
      </c>
      <c r="S466">
        <v>8287.68</v>
      </c>
      <c r="T466">
        <v>0</v>
      </c>
      <c r="U466">
        <v>1267.8499999999999</v>
      </c>
    </row>
    <row r="467" spans="1:21" x14ac:dyDescent="0.35">
      <c r="A467">
        <v>2024</v>
      </c>
      <c r="B467">
        <v>7</v>
      </c>
      <c r="C467">
        <v>3</v>
      </c>
      <c r="D467" s="1">
        <v>45474</v>
      </c>
      <c r="E467" s="4" t="s">
        <v>33</v>
      </c>
      <c r="F467" s="4" t="s">
        <v>28</v>
      </c>
      <c r="G467" s="4" t="s">
        <v>109</v>
      </c>
      <c r="H467">
        <v>366</v>
      </c>
      <c r="I467">
        <v>572</v>
      </c>
      <c r="J467">
        <v>0</v>
      </c>
      <c r="K467">
        <v>572</v>
      </c>
      <c r="L467">
        <v>298457.11</v>
      </c>
      <c r="M467">
        <v>0</v>
      </c>
      <c r="N467">
        <v>298457.11</v>
      </c>
      <c r="O467">
        <v>107979.2</v>
      </c>
      <c r="P467">
        <v>190477.91</v>
      </c>
      <c r="Q467">
        <v>0.63819999999999999</v>
      </c>
      <c r="R467">
        <v>42</v>
      </c>
      <c r="S467">
        <v>35961.15</v>
      </c>
      <c r="T467">
        <v>0</v>
      </c>
      <c r="U467">
        <v>815.46</v>
      </c>
    </row>
    <row r="468" spans="1:21" x14ac:dyDescent="0.35">
      <c r="A468">
        <v>2024</v>
      </c>
      <c r="B468">
        <v>7</v>
      </c>
      <c r="C468">
        <v>3</v>
      </c>
      <c r="D468" s="1">
        <v>45474</v>
      </c>
      <c r="E468" s="4" t="s">
        <v>33</v>
      </c>
      <c r="F468" s="4" t="s">
        <v>24</v>
      </c>
      <c r="G468" s="4" t="s">
        <v>107</v>
      </c>
      <c r="H468">
        <v>6</v>
      </c>
      <c r="I468">
        <v>9</v>
      </c>
      <c r="J468">
        <v>0</v>
      </c>
      <c r="K468">
        <v>9</v>
      </c>
      <c r="L468">
        <v>12760.35</v>
      </c>
      <c r="M468">
        <v>0</v>
      </c>
      <c r="N468">
        <v>12760.35</v>
      </c>
      <c r="O468">
        <v>7685.7</v>
      </c>
      <c r="P468">
        <v>5074.6499999999996</v>
      </c>
      <c r="Q468">
        <v>0.3977</v>
      </c>
      <c r="R468">
        <v>1</v>
      </c>
      <c r="S468">
        <v>2971.35</v>
      </c>
      <c r="T468">
        <v>0</v>
      </c>
      <c r="U468">
        <v>2126.73</v>
      </c>
    </row>
    <row r="469" spans="1:21" x14ac:dyDescent="0.35">
      <c r="A469">
        <v>2024</v>
      </c>
      <c r="B469">
        <v>7</v>
      </c>
      <c r="C469">
        <v>3</v>
      </c>
      <c r="D469" s="1">
        <v>45474</v>
      </c>
      <c r="E469" s="4" t="s">
        <v>33</v>
      </c>
      <c r="F469" s="4" t="s">
        <v>24</v>
      </c>
      <c r="G469" s="4" t="s">
        <v>109</v>
      </c>
      <c r="H469">
        <v>73</v>
      </c>
      <c r="I469">
        <v>105</v>
      </c>
      <c r="J469">
        <v>0</v>
      </c>
      <c r="K469">
        <v>105</v>
      </c>
      <c r="L469">
        <v>154768.22</v>
      </c>
      <c r="M469">
        <v>0</v>
      </c>
      <c r="N469">
        <v>154768.22</v>
      </c>
      <c r="O469">
        <v>89061.5</v>
      </c>
      <c r="P469">
        <v>65706.720000000001</v>
      </c>
      <c r="Q469">
        <v>0.42449999999999999</v>
      </c>
      <c r="R469">
        <v>8</v>
      </c>
      <c r="S469">
        <v>24259.22</v>
      </c>
      <c r="T469">
        <v>0</v>
      </c>
      <c r="U469">
        <v>2120.11</v>
      </c>
    </row>
    <row r="470" spans="1:21" x14ac:dyDescent="0.35">
      <c r="A470">
        <v>2024</v>
      </c>
      <c r="B470">
        <v>7</v>
      </c>
      <c r="C470">
        <v>3</v>
      </c>
      <c r="D470" s="1">
        <v>45474</v>
      </c>
      <c r="E470" s="4" t="s">
        <v>33</v>
      </c>
      <c r="F470" s="4" t="s">
        <v>26</v>
      </c>
      <c r="G470" s="4" t="s">
        <v>107</v>
      </c>
      <c r="H470">
        <v>2</v>
      </c>
      <c r="I470">
        <v>2</v>
      </c>
      <c r="J470">
        <v>0</v>
      </c>
      <c r="K470">
        <v>2</v>
      </c>
      <c r="L470">
        <v>1169</v>
      </c>
      <c r="M470">
        <v>0</v>
      </c>
      <c r="N470">
        <v>1169</v>
      </c>
      <c r="O470">
        <v>701.4</v>
      </c>
      <c r="P470">
        <v>467.6</v>
      </c>
      <c r="Q470">
        <v>0.4</v>
      </c>
      <c r="R470">
        <v>0</v>
      </c>
      <c r="S470">
        <v>0</v>
      </c>
      <c r="T470">
        <v>0</v>
      </c>
      <c r="U470">
        <v>584.5</v>
      </c>
    </row>
    <row r="471" spans="1:21" x14ac:dyDescent="0.35">
      <c r="A471">
        <v>2024</v>
      </c>
      <c r="B471">
        <v>7</v>
      </c>
      <c r="C471">
        <v>3</v>
      </c>
      <c r="D471" s="1">
        <v>45474</v>
      </c>
      <c r="E471" s="4" t="s">
        <v>33</v>
      </c>
      <c r="F471" s="4" t="s">
        <v>26</v>
      </c>
      <c r="G471" s="4" t="s">
        <v>108</v>
      </c>
      <c r="H471">
        <v>5</v>
      </c>
      <c r="I471">
        <v>8</v>
      </c>
      <c r="J471">
        <v>0</v>
      </c>
      <c r="K471">
        <v>8</v>
      </c>
      <c r="L471">
        <v>6737.5</v>
      </c>
      <c r="M471">
        <v>0</v>
      </c>
      <c r="N471">
        <v>6737.5</v>
      </c>
      <c r="O471">
        <v>4200</v>
      </c>
      <c r="P471">
        <v>2537.5</v>
      </c>
      <c r="Q471">
        <v>0.37659999999999999</v>
      </c>
      <c r="R471">
        <v>1</v>
      </c>
      <c r="S471">
        <v>1487.5</v>
      </c>
      <c r="T471">
        <v>0</v>
      </c>
      <c r="U471">
        <v>1347.5</v>
      </c>
    </row>
    <row r="472" spans="1:21" x14ac:dyDescent="0.35">
      <c r="A472">
        <v>2024</v>
      </c>
      <c r="B472">
        <v>7</v>
      </c>
      <c r="C472">
        <v>3</v>
      </c>
      <c r="D472" s="1">
        <v>45474</v>
      </c>
      <c r="E472" s="4" t="s">
        <v>33</v>
      </c>
      <c r="F472" s="4" t="s">
        <v>26</v>
      </c>
      <c r="G472" s="4" t="s">
        <v>109</v>
      </c>
      <c r="H472">
        <v>21</v>
      </c>
      <c r="I472">
        <v>29</v>
      </c>
      <c r="J472">
        <v>0</v>
      </c>
      <c r="K472">
        <v>29</v>
      </c>
      <c r="L472">
        <v>23572.76</v>
      </c>
      <c r="M472">
        <v>0</v>
      </c>
      <c r="N472">
        <v>23572.76</v>
      </c>
      <c r="O472">
        <v>14242.8</v>
      </c>
      <c r="P472">
        <v>9329.9599999999991</v>
      </c>
      <c r="Q472">
        <v>0.39579999999999999</v>
      </c>
      <c r="R472">
        <v>1</v>
      </c>
      <c r="S472">
        <v>2588.7600000000002</v>
      </c>
      <c r="T472">
        <v>0</v>
      </c>
      <c r="U472">
        <v>1122.51</v>
      </c>
    </row>
    <row r="473" spans="1:21" x14ac:dyDescent="0.35">
      <c r="A473">
        <v>2024</v>
      </c>
      <c r="B473">
        <v>7</v>
      </c>
      <c r="C473">
        <v>3</v>
      </c>
      <c r="D473" s="1">
        <v>45474</v>
      </c>
      <c r="E473" s="4" t="s">
        <v>32</v>
      </c>
      <c r="F473" s="4" t="s">
        <v>28</v>
      </c>
      <c r="G473" s="4" t="s">
        <v>107</v>
      </c>
      <c r="H473">
        <v>26</v>
      </c>
      <c r="I473">
        <v>37</v>
      </c>
      <c r="J473">
        <v>0</v>
      </c>
      <c r="K473">
        <v>37</v>
      </c>
      <c r="L473">
        <v>16280.44</v>
      </c>
      <c r="M473">
        <v>0</v>
      </c>
      <c r="N473">
        <v>16280.44</v>
      </c>
      <c r="O473">
        <v>5879.3</v>
      </c>
      <c r="P473">
        <v>10401.14</v>
      </c>
      <c r="Q473">
        <v>0.63890000000000002</v>
      </c>
      <c r="R473">
        <v>3</v>
      </c>
      <c r="S473">
        <v>2660.44</v>
      </c>
      <c r="T473">
        <v>0</v>
      </c>
      <c r="U473">
        <v>626.16999999999996</v>
      </c>
    </row>
    <row r="474" spans="1:21" x14ac:dyDescent="0.35">
      <c r="A474">
        <v>2024</v>
      </c>
      <c r="B474">
        <v>7</v>
      </c>
      <c r="C474">
        <v>3</v>
      </c>
      <c r="D474" s="1">
        <v>45474</v>
      </c>
      <c r="E474" s="4" t="s">
        <v>32</v>
      </c>
      <c r="F474" s="4" t="s">
        <v>28</v>
      </c>
      <c r="G474" s="4" t="s">
        <v>109</v>
      </c>
      <c r="H474">
        <v>264</v>
      </c>
      <c r="I474">
        <v>401</v>
      </c>
      <c r="J474">
        <v>0</v>
      </c>
      <c r="K474">
        <v>401</v>
      </c>
      <c r="L474">
        <v>151350.34</v>
      </c>
      <c r="M474">
        <v>0</v>
      </c>
      <c r="N474">
        <v>151350.34</v>
      </c>
      <c r="O474">
        <v>54324.2</v>
      </c>
      <c r="P474">
        <v>97026.14</v>
      </c>
      <c r="Q474">
        <v>0.6411</v>
      </c>
      <c r="R474">
        <v>28</v>
      </c>
      <c r="S474">
        <v>21577.34</v>
      </c>
      <c r="T474">
        <v>0</v>
      </c>
      <c r="U474">
        <v>573.29999999999995</v>
      </c>
    </row>
    <row r="475" spans="1:21" x14ac:dyDescent="0.35">
      <c r="A475">
        <v>2024</v>
      </c>
      <c r="B475">
        <v>7</v>
      </c>
      <c r="C475">
        <v>3</v>
      </c>
      <c r="D475" s="1">
        <v>45474</v>
      </c>
      <c r="E475" s="4" t="s">
        <v>32</v>
      </c>
      <c r="F475" s="4" t="s">
        <v>24</v>
      </c>
      <c r="G475" s="4" t="s">
        <v>107</v>
      </c>
      <c r="H475">
        <v>27</v>
      </c>
      <c r="I475">
        <v>35</v>
      </c>
      <c r="J475">
        <v>0</v>
      </c>
      <c r="K475">
        <v>35</v>
      </c>
      <c r="L475">
        <v>53531.67</v>
      </c>
      <c r="M475">
        <v>0</v>
      </c>
      <c r="N475">
        <v>53531.67</v>
      </c>
      <c r="O475">
        <v>29922.75</v>
      </c>
      <c r="P475">
        <v>23608.92</v>
      </c>
      <c r="Q475">
        <v>0.441</v>
      </c>
      <c r="R475">
        <v>2</v>
      </c>
      <c r="S475">
        <v>2435.67</v>
      </c>
      <c r="T475">
        <v>0</v>
      </c>
      <c r="U475">
        <v>1982.65</v>
      </c>
    </row>
    <row r="476" spans="1:21" x14ac:dyDescent="0.35">
      <c r="A476">
        <v>2024</v>
      </c>
      <c r="B476">
        <v>7</v>
      </c>
      <c r="C476">
        <v>3</v>
      </c>
      <c r="D476" s="1">
        <v>45474</v>
      </c>
      <c r="E476" s="4" t="s">
        <v>32</v>
      </c>
      <c r="F476" s="4" t="s">
        <v>24</v>
      </c>
      <c r="G476" s="4" t="s">
        <v>109</v>
      </c>
      <c r="H476">
        <v>113</v>
      </c>
      <c r="I476">
        <v>175</v>
      </c>
      <c r="J476">
        <v>5</v>
      </c>
      <c r="K476">
        <v>170</v>
      </c>
      <c r="L476">
        <v>219575.21</v>
      </c>
      <c r="M476">
        <v>8832</v>
      </c>
      <c r="N476">
        <v>210743.21</v>
      </c>
      <c r="O476">
        <v>120184.35</v>
      </c>
      <c r="P476">
        <v>90558.86</v>
      </c>
      <c r="Q476">
        <v>0.42970000000000003</v>
      </c>
      <c r="R476">
        <v>15</v>
      </c>
      <c r="S476">
        <v>29767.21</v>
      </c>
      <c r="T476">
        <v>0</v>
      </c>
      <c r="U476">
        <v>1864.98</v>
      </c>
    </row>
    <row r="477" spans="1:21" x14ac:dyDescent="0.35">
      <c r="A477">
        <v>2024</v>
      </c>
      <c r="B477">
        <v>7</v>
      </c>
      <c r="C477">
        <v>3</v>
      </c>
      <c r="D477" s="1">
        <v>45474</v>
      </c>
      <c r="E477" s="4" t="s">
        <v>32</v>
      </c>
      <c r="F477" s="4" t="s">
        <v>26</v>
      </c>
      <c r="G477" s="4" t="s">
        <v>108</v>
      </c>
      <c r="H477">
        <v>5</v>
      </c>
      <c r="I477">
        <v>6</v>
      </c>
      <c r="J477">
        <v>0</v>
      </c>
      <c r="K477">
        <v>6</v>
      </c>
      <c r="L477">
        <v>1817.55</v>
      </c>
      <c r="M477">
        <v>0</v>
      </c>
      <c r="N477">
        <v>1817.55</v>
      </c>
      <c r="O477">
        <v>1134</v>
      </c>
      <c r="P477">
        <v>683.55</v>
      </c>
      <c r="Q477">
        <v>0.37609999999999999</v>
      </c>
      <c r="R477">
        <v>1</v>
      </c>
      <c r="S477">
        <v>242.55</v>
      </c>
      <c r="T477">
        <v>0</v>
      </c>
      <c r="U477">
        <v>363.51</v>
      </c>
    </row>
    <row r="478" spans="1:21" x14ac:dyDescent="0.35">
      <c r="A478">
        <v>2024</v>
      </c>
      <c r="B478">
        <v>7</v>
      </c>
      <c r="C478">
        <v>3</v>
      </c>
      <c r="D478" s="1">
        <v>45474</v>
      </c>
      <c r="E478" s="4" t="s">
        <v>32</v>
      </c>
      <c r="F478" s="4" t="s">
        <v>26</v>
      </c>
      <c r="G478" s="4" t="s">
        <v>109</v>
      </c>
      <c r="H478">
        <v>36</v>
      </c>
      <c r="I478">
        <v>57</v>
      </c>
      <c r="J478">
        <v>6</v>
      </c>
      <c r="K478">
        <v>51</v>
      </c>
      <c r="L478">
        <v>37159.97</v>
      </c>
      <c r="M478">
        <v>2742</v>
      </c>
      <c r="N478">
        <v>34417.97</v>
      </c>
      <c r="O478">
        <v>22155.599999999999</v>
      </c>
      <c r="P478">
        <v>12262.37</v>
      </c>
      <c r="Q478">
        <v>0.35630000000000001</v>
      </c>
      <c r="R478">
        <v>7</v>
      </c>
      <c r="S478">
        <v>6815.97</v>
      </c>
      <c r="T478">
        <v>0</v>
      </c>
      <c r="U478">
        <v>956.05</v>
      </c>
    </row>
    <row r="479" spans="1:21" x14ac:dyDescent="0.35">
      <c r="A479">
        <v>2024</v>
      </c>
      <c r="B479">
        <v>7</v>
      </c>
      <c r="C479">
        <v>3</v>
      </c>
      <c r="D479" s="1">
        <v>45474</v>
      </c>
      <c r="E479" s="4" t="s">
        <v>27</v>
      </c>
      <c r="F479" s="4" t="s">
        <v>28</v>
      </c>
      <c r="G479" s="4" t="s">
        <v>107</v>
      </c>
      <c r="H479">
        <v>148</v>
      </c>
      <c r="I479">
        <v>232</v>
      </c>
      <c r="J479">
        <v>0</v>
      </c>
      <c r="K479">
        <v>232</v>
      </c>
      <c r="L479">
        <v>102222.24</v>
      </c>
      <c r="M479">
        <v>0</v>
      </c>
      <c r="N479">
        <v>102222.24</v>
      </c>
      <c r="O479">
        <v>37609.949999999997</v>
      </c>
      <c r="P479">
        <v>64612.29</v>
      </c>
      <c r="Q479">
        <v>0.6321</v>
      </c>
      <c r="R479">
        <v>20</v>
      </c>
      <c r="S479">
        <v>16891.240000000002</v>
      </c>
      <c r="T479">
        <v>0</v>
      </c>
      <c r="U479">
        <v>690.69</v>
      </c>
    </row>
    <row r="480" spans="1:21" x14ac:dyDescent="0.35">
      <c r="A480">
        <v>2024</v>
      </c>
      <c r="B480">
        <v>7</v>
      </c>
      <c r="C480">
        <v>3</v>
      </c>
      <c r="D480" s="1">
        <v>45474</v>
      </c>
      <c r="E480" s="4" t="s">
        <v>27</v>
      </c>
      <c r="F480" s="4" t="s">
        <v>28</v>
      </c>
      <c r="G480" s="4" t="s">
        <v>109</v>
      </c>
      <c r="H480">
        <v>443</v>
      </c>
      <c r="I480">
        <v>666</v>
      </c>
      <c r="J480">
        <v>0</v>
      </c>
      <c r="K480">
        <v>666</v>
      </c>
      <c r="L480">
        <v>354136.36</v>
      </c>
      <c r="M480">
        <v>0</v>
      </c>
      <c r="N480">
        <v>354136.36</v>
      </c>
      <c r="O480">
        <v>128913.75</v>
      </c>
      <c r="P480">
        <v>225222.61</v>
      </c>
      <c r="Q480">
        <v>0.63600000000000001</v>
      </c>
      <c r="R480">
        <v>55</v>
      </c>
      <c r="S480">
        <v>50070.36</v>
      </c>
      <c r="T480">
        <v>0</v>
      </c>
      <c r="U480">
        <v>799.4</v>
      </c>
    </row>
    <row r="481" spans="1:21" x14ac:dyDescent="0.35">
      <c r="A481">
        <v>2024</v>
      </c>
      <c r="B481">
        <v>7</v>
      </c>
      <c r="C481">
        <v>3</v>
      </c>
      <c r="D481" s="1">
        <v>45474</v>
      </c>
      <c r="E481" s="4" t="s">
        <v>27</v>
      </c>
      <c r="F481" s="4" t="s">
        <v>24</v>
      </c>
      <c r="G481" s="4" t="s">
        <v>107</v>
      </c>
      <c r="H481">
        <v>25</v>
      </c>
      <c r="I481">
        <v>41</v>
      </c>
      <c r="J481">
        <v>1</v>
      </c>
      <c r="K481">
        <v>40</v>
      </c>
      <c r="L481">
        <v>72561</v>
      </c>
      <c r="M481">
        <v>1049</v>
      </c>
      <c r="N481">
        <v>71512</v>
      </c>
      <c r="O481">
        <v>39331.599999999999</v>
      </c>
      <c r="P481">
        <v>32180.400000000001</v>
      </c>
      <c r="Q481">
        <v>0.45</v>
      </c>
      <c r="R481">
        <v>0</v>
      </c>
      <c r="S481">
        <v>0</v>
      </c>
      <c r="T481">
        <v>0</v>
      </c>
      <c r="U481">
        <v>2860.48</v>
      </c>
    </row>
    <row r="482" spans="1:21" x14ac:dyDescent="0.35">
      <c r="A482">
        <v>2024</v>
      </c>
      <c r="B482">
        <v>7</v>
      </c>
      <c r="C482">
        <v>3</v>
      </c>
      <c r="D482" s="1">
        <v>45474</v>
      </c>
      <c r="E482" s="4" t="s">
        <v>27</v>
      </c>
      <c r="F482" s="4" t="s">
        <v>24</v>
      </c>
      <c r="G482" s="4" t="s">
        <v>109</v>
      </c>
      <c r="H482">
        <v>136</v>
      </c>
      <c r="I482">
        <v>220</v>
      </c>
      <c r="J482">
        <v>8</v>
      </c>
      <c r="K482">
        <v>212</v>
      </c>
      <c r="L482">
        <v>356417.61</v>
      </c>
      <c r="M482">
        <v>12757.34</v>
      </c>
      <c r="N482">
        <v>343660.27</v>
      </c>
      <c r="O482">
        <v>195485.95</v>
      </c>
      <c r="P482">
        <v>148174.32</v>
      </c>
      <c r="Q482">
        <v>0.43120000000000003</v>
      </c>
      <c r="R482">
        <v>21</v>
      </c>
      <c r="S482">
        <v>57495.27</v>
      </c>
      <c r="T482">
        <v>0</v>
      </c>
      <c r="U482">
        <v>2526.91</v>
      </c>
    </row>
    <row r="483" spans="1:21" x14ac:dyDescent="0.35">
      <c r="A483">
        <v>2024</v>
      </c>
      <c r="B483">
        <v>7</v>
      </c>
      <c r="C483">
        <v>3</v>
      </c>
      <c r="D483" s="1">
        <v>45474</v>
      </c>
      <c r="E483" s="4" t="s">
        <v>27</v>
      </c>
      <c r="F483" s="4" t="s">
        <v>26</v>
      </c>
      <c r="G483" s="4" t="s">
        <v>107</v>
      </c>
      <c r="H483">
        <v>5</v>
      </c>
      <c r="I483">
        <v>8</v>
      </c>
      <c r="J483">
        <v>1</v>
      </c>
      <c r="K483">
        <v>7</v>
      </c>
      <c r="L483">
        <v>7610.6</v>
      </c>
      <c r="M483">
        <v>1022</v>
      </c>
      <c r="N483">
        <v>6588.6</v>
      </c>
      <c r="O483">
        <v>4977</v>
      </c>
      <c r="P483">
        <v>1611.6</v>
      </c>
      <c r="Q483">
        <v>0.24460000000000001</v>
      </c>
      <c r="R483">
        <v>3</v>
      </c>
      <c r="S483">
        <v>5403.6</v>
      </c>
      <c r="T483">
        <v>0</v>
      </c>
      <c r="U483">
        <v>1317.72</v>
      </c>
    </row>
    <row r="484" spans="1:21" x14ac:dyDescent="0.35">
      <c r="A484">
        <v>2024</v>
      </c>
      <c r="B484">
        <v>7</v>
      </c>
      <c r="C484">
        <v>3</v>
      </c>
      <c r="D484" s="1">
        <v>45474</v>
      </c>
      <c r="E484" s="4" t="s">
        <v>27</v>
      </c>
      <c r="F484" s="4" t="s">
        <v>26</v>
      </c>
      <c r="G484" s="4" t="s">
        <v>109</v>
      </c>
      <c r="H484">
        <v>26</v>
      </c>
      <c r="I484">
        <v>44</v>
      </c>
      <c r="J484">
        <v>1</v>
      </c>
      <c r="K484">
        <v>43</v>
      </c>
      <c r="L484">
        <v>25557.24</v>
      </c>
      <c r="M484">
        <v>361</v>
      </c>
      <c r="N484">
        <v>25196.240000000002</v>
      </c>
      <c r="O484">
        <v>16201.8</v>
      </c>
      <c r="P484">
        <v>8994.44</v>
      </c>
      <c r="Q484">
        <v>0.35699999999999998</v>
      </c>
      <c r="R484">
        <v>5</v>
      </c>
      <c r="S484">
        <v>5360.24</v>
      </c>
      <c r="T484">
        <v>0</v>
      </c>
      <c r="U484">
        <v>969.09</v>
      </c>
    </row>
    <row r="485" spans="1:21" x14ac:dyDescent="0.35">
      <c r="A485">
        <v>2024</v>
      </c>
      <c r="B485">
        <v>7</v>
      </c>
      <c r="C485">
        <v>3</v>
      </c>
      <c r="D485" s="1">
        <v>45474</v>
      </c>
      <c r="E485" s="4" t="s">
        <v>34</v>
      </c>
      <c r="F485" s="4" t="s">
        <v>28</v>
      </c>
      <c r="G485" s="4" t="s">
        <v>107</v>
      </c>
      <c r="H485">
        <v>89</v>
      </c>
      <c r="I485">
        <v>136</v>
      </c>
      <c r="J485">
        <v>0</v>
      </c>
      <c r="K485">
        <v>136</v>
      </c>
      <c r="L485">
        <v>88420.7</v>
      </c>
      <c r="M485">
        <v>0</v>
      </c>
      <c r="N485">
        <v>88420.7</v>
      </c>
      <c r="O485">
        <v>32578.7</v>
      </c>
      <c r="P485">
        <v>55842</v>
      </c>
      <c r="Q485">
        <v>0.63149999999999995</v>
      </c>
      <c r="R485">
        <v>12</v>
      </c>
      <c r="S485">
        <v>13842.7</v>
      </c>
      <c r="T485">
        <v>0</v>
      </c>
      <c r="U485">
        <v>993.49</v>
      </c>
    </row>
    <row r="486" spans="1:21" x14ac:dyDescent="0.35">
      <c r="A486">
        <v>2024</v>
      </c>
      <c r="B486">
        <v>7</v>
      </c>
      <c r="C486">
        <v>3</v>
      </c>
      <c r="D486" s="1">
        <v>45474</v>
      </c>
      <c r="E486" s="4" t="s">
        <v>34</v>
      </c>
      <c r="F486" s="4" t="s">
        <v>28</v>
      </c>
      <c r="G486" s="4" t="s">
        <v>108</v>
      </c>
      <c r="H486">
        <v>33</v>
      </c>
      <c r="I486">
        <v>46</v>
      </c>
      <c r="J486">
        <v>0</v>
      </c>
      <c r="K486">
        <v>46</v>
      </c>
      <c r="L486">
        <v>18671.580000000002</v>
      </c>
      <c r="M486">
        <v>0</v>
      </c>
      <c r="N486">
        <v>18671.580000000002</v>
      </c>
      <c r="O486">
        <v>6858.6</v>
      </c>
      <c r="P486">
        <v>11812.98</v>
      </c>
      <c r="Q486">
        <v>0.63270000000000004</v>
      </c>
      <c r="R486">
        <v>5</v>
      </c>
      <c r="S486">
        <v>3761.58</v>
      </c>
      <c r="T486">
        <v>0</v>
      </c>
      <c r="U486">
        <v>565.80999999999995</v>
      </c>
    </row>
    <row r="487" spans="1:21" x14ac:dyDescent="0.35">
      <c r="A487">
        <v>2024</v>
      </c>
      <c r="B487">
        <v>7</v>
      </c>
      <c r="C487">
        <v>3</v>
      </c>
      <c r="D487" s="1">
        <v>45474</v>
      </c>
      <c r="E487" s="4" t="s">
        <v>34</v>
      </c>
      <c r="F487" s="4" t="s">
        <v>28</v>
      </c>
      <c r="G487" s="4" t="s">
        <v>109</v>
      </c>
      <c r="H487">
        <v>389</v>
      </c>
      <c r="I487">
        <v>586</v>
      </c>
      <c r="J487">
        <v>0</v>
      </c>
      <c r="K487">
        <v>586</v>
      </c>
      <c r="L487">
        <v>293015.09000000003</v>
      </c>
      <c r="M487">
        <v>0</v>
      </c>
      <c r="N487">
        <v>293015.09000000003</v>
      </c>
      <c r="O487">
        <v>104584.2</v>
      </c>
      <c r="P487">
        <v>188430.89</v>
      </c>
      <c r="Q487">
        <v>0.6431</v>
      </c>
      <c r="R487">
        <v>34</v>
      </c>
      <c r="S487">
        <v>27928.59</v>
      </c>
      <c r="T487">
        <v>0</v>
      </c>
      <c r="U487">
        <v>753.25</v>
      </c>
    </row>
    <row r="488" spans="1:21" x14ac:dyDescent="0.35">
      <c r="A488">
        <v>2024</v>
      </c>
      <c r="B488">
        <v>7</v>
      </c>
      <c r="C488">
        <v>3</v>
      </c>
      <c r="D488" s="1">
        <v>45474</v>
      </c>
      <c r="E488" s="4" t="s">
        <v>34</v>
      </c>
      <c r="F488" s="4" t="s">
        <v>24</v>
      </c>
      <c r="G488" s="4" t="s">
        <v>107</v>
      </c>
      <c r="H488">
        <v>42</v>
      </c>
      <c r="I488">
        <v>61</v>
      </c>
      <c r="J488">
        <v>5</v>
      </c>
      <c r="K488">
        <v>56</v>
      </c>
      <c r="L488">
        <v>118992.52</v>
      </c>
      <c r="M488">
        <v>11319</v>
      </c>
      <c r="N488">
        <v>107673.52</v>
      </c>
      <c r="O488">
        <v>60775.55</v>
      </c>
      <c r="P488">
        <v>46897.97</v>
      </c>
      <c r="Q488">
        <v>0.43559999999999999</v>
      </c>
      <c r="R488">
        <v>4</v>
      </c>
      <c r="S488">
        <v>17205.52</v>
      </c>
      <c r="T488">
        <v>0</v>
      </c>
      <c r="U488">
        <v>2563.66</v>
      </c>
    </row>
    <row r="489" spans="1:21" x14ac:dyDescent="0.35">
      <c r="A489">
        <v>2024</v>
      </c>
      <c r="B489">
        <v>7</v>
      </c>
      <c r="C489">
        <v>3</v>
      </c>
      <c r="D489" s="1">
        <v>45474</v>
      </c>
      <c r="E489" s="4" t="s">
        <v>34</v>
      </c>
      <c r="F489" s="4" t="s">
        <v>24</v>
      </c>
      <c r="G489" s="4" t="s">
        <v>108</v>
      </c>
      <c r="H489">
        <v>5</v>
      </c>
      <c r="I489">
        <v>7</v>
      </c>
      <c r="J489">
        <v>0</v>
      </c>
      <c r="K489">
        <v>7</v>
      </c>
      <c r="L489">
        <v>8949.7099999999991</v>
      </c>
      <c r="M489">
        <v>0</v>
      </c>
      <c r="N489">
        <v>8949.7099999999991</v>
      </c>
      <c r="O489">
        <v>5309.15</v>
      </c>
      <c r="P489">
        <v>3640.56</v>
      </c>
      <c r="Q489">
        <v>0.40679999999999999</v>
      </c>
      <c r="R489">
        <v>1</v>
      </c>
      <c r="S489">
        <v>3433.71</v>
      </c>
      <c r="T489">
        <v>0</v>
      </c>
      <c r="U489">
        <v>1789.94</v>
      </c>
    </row>
    <row r="490" spans="1:21" x14ac:dyDescent="0.35">
      <c r="A490">
        <v>2024</v>
      </c>
      <c r="B490">
        <v>7</v>
      </c>
      <c r="C490">
        <v>3</v>
      </c>
      <c r="D490" s="1">
        <v>45474</v>
      </c>
      <c r="E490" s="4" t="s">
        <v>34</v>
      </c>
      <c r="F490" s="4" t="s">
        <v>24</v>
      </c>
      <c r="G490" s="4" t="s">
        <v>109</v>
      </c>
      <c r="H490">
        <v>130</v>
      </c>
      <c r="I490">
        <v>213</v>
      </c>
      <c r="J490">
        <v>6</v>
      </c>
      <c r="K490">
        <v>207</v>
      </c>
      <c r="L490">
        <v>346293.66</v>
      </c>
      <c r="M490">
        <v>12229</v>
      </c>
      <c r="N490">
        <v>334064.65999999997</v>
      </c>
      <c r="O490">
        <v>192936.15</v>
      </c>
      <c r="P490">
        <v>141128.51</v>
      </c>
      <c r="Q490">
        <v>0.42249999999999999</v>
      </c>
      <c r="R490">
        <v>24</v>
      </c>
      <c r="S490">
        <v>76224.66</v>
      </c>
      <c r="T490">
        <v>0</v>
      </c>
      <c r="U490">
        <v>2569.73</v>
      </c>
    </row>
    <row r="491" spans="1:21" x14ac:dyDescent="0.35">
      <c r="A491">
        <v>2024</v>
      </c>
      <c r="B491">
        <v>7</v>
      </c>
      <c r="C491">
        <v>3</v>
      </c>
      <c r="D491" s="1">
        <v>45474</v>
      </c>
      <c r="E491" s="4" t="s">
        <v>34</v>
      </c>
      <c r="F491" s="4" t="s">
        <v>26</v>
      </c>
      <c r="G491" s="4" t="s">
        <v>107</v>
      </c>
      <c r="H491">
        <v>2</v>
      </c>
      <c r="I491">
        <v>2</v>
      </c>
      <c r="J491">
        <v>0</v>
      </c>
      <c r="K491">
        <v>2</v>
      </c>
      <c r="L491">
        <v>1262</v>
      </c>
      <c r="M491">
        <v>0</v>
      </c>
      <c r="N491">
        <v>1262</v>
      </c>
      <c r="O491">
        <v>757.2</v>
      </c>
      <c r="P491">
        <v>504.8</v>
      </c>
      <c r="Q491">
        <v>0.4</v>
      </c>
      <c r="R491">
        <v>0</v>
      </c>
      <c r="S491">
        <v>0</v>
      </c>
      <c r="T491">
        <v>0</v>
      </c>
      <c r="U491">
        <v>631</v>
      </c>
    </row>
    <row r="492" spans="1:21" x14ac:dyDescent="0.35">
      <c r="A492">
        <v>2024</v>
      </c>
      <c r="B492">
        <v>7</v>
      </c>
      <c r="C492">
        <v>3</v>
      </c>
      <c r="D492" s="1">
        <v>45474</v>
      </c>
      <c r="E492" s="4" t="s">
        <v>34</v>
      </c>
      <c r="F492" s="4" t="s">
        <v>26</v>
      </c>
      <c r="G492" s="4" t="s">
        <v>108</v>
      </c>
      <c r="H492">
        <v>1</v>
      </c>
      <c r="I492">
        <v>2</v>
      </c>
      <c r="J492">
        <v>0</v>
      </c>
      <c r="K492">
        <v>2</v>
      </c>
      <c r="L492">
        <v>732</v>
      </c>
      <c r="M492">
        <v>0</v>
      </c>
      <c r="N492">
        <v>732</v>
      </c>
      <c r="O492">
        <v>439.2</v>
      </c>
      <c r="P492">
        <v>292.8</v>
      </c>
      <c r="Q492">
        <v>0.4</v>
      </c>
      <c r="R492">
        <v>0</v>
      </c>
      <c r="S492">
        <v>0</v>
      </c>
      <c r="T492">
        <v>0</v>
      </c>
      <c r="U492">
        <v>732</v>
      </c>
    </row>
    <row r="493" spans="1:21" x14ac:dyDescent="0.35">
      <c r="A493">
        <v>2024</v>
      </c>
      <c r="B493">
        <v>7</v>
      </c>
      <c r="C493">
        <v>3</v>
      </c>
      <c r="D493" s="1">
        <v>45474</v>
      </c>
      <c r="E493" s="4" t="s">
        <v>34</v>
      </c>
      <c r="F493" s="4" t="s">
        <v>26</v>
      </c>
      <c r="G493" s="4" t="s">
        <v>109</v>
      </c>
      <c r="H493">
        <v>22</v>
      </c>
      <c r="I493">
        <v>33</v>
      </c>
      <c r="J493">
        <v>0</v>
      </c>
      <c r="K493">
        <v>33</v>
      </c>
      <c r="L493">
        <v>23093.21</v>
      </c>
      <c r="M493">
        <v>0</v>
      </c>
      <c r="N493">
        <v>23093.21</v>
      </c>
      <c r="O493">
        <v>14656.2</v>
      </c>
      <c r="P493">
        <v>8437.01</v>
      </c>
      <c r="Q493">
        <v>0.36530000000000001</v>
      </c>
      <c r="R493">
        <v>5</v>
      </c>
      <c r="S493">
        <v>5122.21</v>
      </c>
      <c r="T493">
        <v>0</v>
      </c>
      <c r="U493">
        <v>1049.69</v>
      </c>
    </row>
    <row r="494" spans="1:21" x14ac:dyDescent="0.35">
      <c r="A494">
        <v>2024</v>
      </c>
      <c r="B494">
        <v>7</v>
      </c>
      <c r="C494">
        <v>3</v>
      </c>
      <c r="D494" s="1">
        <v>45474</v>
      </c>
      <c r="E494" s="4" t="s">
        <v>36</v>
      </c>
      <c r="F494" s="4" t="s">
        <v>28</v>
      </c>
      <c r="G494" s="4" t="s">
        <v>107</v>
      </c>
      <c r="H494">
        <v>33</v>
      </c>
      <c r="I494">
        <v>46</v>
      </c>
      <c r="J494">
        <v>0</v>
      </c>
      <c r="K494">
        <v>46</v>
      </c>
      <c r="L494">
        <v>27837.19</v>
      </c>
      <c r="M494">
        <v>0</v>
      </c>
      <c r="N494">
        <v>27837.19</v>
      </c>
      <c r="O494">
        <v>10180.1</v>
      </c>
      <c r="P494">
        <v>17657.09</v>
      </c>
      <c r="Q494">
        <v>0.63429999999999997</v>
      </c>
      <c r="R494">
        <v>6</v>
      </c>
      <c r="S494">
        <v>4421.1899999999996</v>
      </c>
      <c r="T494">
        <v>0</v>
      </c>
      <c r="U494">
        <v>843.55</v>
      </c>
    </row>
    <row r="495" spans="1:21" x14ac:dyDescent="0.35">
      <c r="A495">
        <v>2024</v>
      </c>
      <c r="B495">
        <v>7</v>
      </c>
      <c r="C495">
        <v>3</v>
      </c>
      <c r="D495" s="1">
        <v>45474</v>
      </c>
      <c r="E495" s="4" t="s">
        <v>36</v>
      </c>
      <c r="F495" s="4" t="s">
        <v>28</v>
      </c>
      <c r="G495" s="4" t="s">
        <v>108</v>
      </c>
      <c r="H495">
        <v>99</v>
      </c>
      <c r="I495">
        <v>160</v>
      </c>
      <c r="J495">
        <v>0</v>
      </c>
      <c r="K495">
        <v>160</v>
      </c>
      <c r="L495">
        <v>52451.33</v>
      </c>
      <c r="M495">
        <v>0</v>
      </c>
      <c r="N495">
        <v>52451.33</v>
      </c>
      <c r="O495">
        <v>18917.5</v>
      </c>
      <c r="P495">
        <v>33533.83</v>
      </c>
      <c r="Q495">
        <v>0.63929999999999998</v>
      </c>
      <c r="R495">
        <v>11</v>
      </c>
      <c r="S495">
        <v>6807.33</v>
      </c>
      <c r="T495">
        <v>0</v>
      </c>
      <c r="U495">
        <v>529.80999999999995</v>
      </c>
    </row>
    <row r="496" spans="1:21" x14ac:dyDescent="0.35">
      <c r="A496">
        <v>2024</v>
      </c>
      <c r="B496">
        <v>7</v>
      </c>
      <c r="C496">
        <v>3</v>
      </c>
      <c r="D496" s="1">
        <v>45474</v>
      </c>
      <c r="E496" s="4" t="s">
        <v>36</v>
      </c>
      <c r="F496" s="4" t="s">
        <v>28</v>
      </c>
      <c r="G496" s="4" t="s">
        <v>109</v>
      </c>
      <c r="H496">
        <v>393</v>
      </c>
      <c r="I496">
        <v>609</v>
      </c>
      <c r="J496">
        <v>0</v>
      </c>
      <c r="K496">
        <v>609</v>
      </c>
      <c r="L496">
        <v>289179.03000000003</v>
      </c>
      <c r="M496">
        <v>0</v>
      </c>
      <c r="N496">
        <v>289179.03000000003</v>
      </c>
      <c r="O496">
        <v>105038.15</v>
      </c>
      <c r="P496">
        <v>184140.88</v>
      </c>
      <c r="Q496">
        <v>0.63680000000000003</v>
      </c>
      <c r="R496">
        <v>48</v>
      </c>
      <c r="S496">
        <v>42239.16</v>
      </c>
      <c r="T496">
        <v>0</v>
      </c>
      <c r="U496">
        <v>735.82</v>
      </c>
    </row>
    <row r="497" spans="1:21" x14ac:dyDescent="0.35">
      <c r="A497">
        <v>2024</v>
      </c>
      <c r="B497">
        <v>7</v>
      </c>
      <c r="C497">
        <v>3</v>
      </c>
      <c r="D497" s="1">
        <v>45474</v>
      </c>
      <c r="E497" s="4" t="s">
        <v>36</v>
      </c>
      <c r="F497" s="4" t="s">
        <v>24</v>
      </c>
      <c r="G497" s="4" t="s">
        <v>107</v>
      </c>
      <c r="H497">
        <v>38</v>
      </c>
      <c r="I497">
        <v>60</v>
      </c>
      <c r="J497">
        <v>2</v>
      </c>
      <c r="K497">
        <v>58</v>
      </c>
      <c r="L497">
        <v>83099.55</v>
      </c>
      <c r="M497">
        <v>4374</v>
      </c>
      <c r="N497">
        <v>78725.55</v>
      </c>
      <c r="O497">
        <v>45921.7</v>
      </c>
      <c r="P497">
        <v>32803.85</v>
      </c>
      <c r="Q497">
        <v>0.41670000000000001</v>
      </c>
      <c r="R497">
        <v>7</v>
      </c>
      <c r="S497">
        <v>17961.55</v>
      </c>
      <c r="T497">
        <v>0</v>
      </c>
      <c r="U497">
        <v>2071.73</v>
      </c>
    </row>
    <row r="498" spans="1:21" x14ac:dyDescent="0.35">
      <c r="A498">
        <v>2024</v>
      </c>
      <c r="B498">
        <v>7</v>
      </c>
      <c r="C498">
        <v>3</v>
      </c>
      <c r="D498" s="1">
        <v>45474</v>
      </c>
      <c r="E498" s="4" t="s">
        <v>36</v>
      </c>
      <c r="F498" s="4" t="s">
        <v>24</v>
      </c>
      <c r="G498" s="4" t="s">
        <v>108</v>
      </c>
      <c r="H498">
        <v>14</v>
      </c>
      <c r="I498">
        <v>26</v>
      </c>
      <c r="J498">
        <v>7</v>
      </c>
      <c r="K498">
        <v>19</v>
      </c>
      <c r="L498">
        <v>38348</v>
      </c>
      <c r="M498">
        <v>8676</v>
      </c>
      <c r="N498">
        <v>29672</v>
      </c>
      <c r="O498">
        <v>17111.599999999999</v>
      </c>
      <c r="P498">
        <v>12560.4</v>
      </c>
      <c r="Q498">
        <v>0.42330000000000001</v>
      </c>
      <c r="R498">
        <v>3</v>
      </c>
      <c r="S498">
        <v>6560</v>
      </c>
      <c r="T498">
        <v>0</v>
      </c>
      <c r="U498">
        <v>2119.4299999999998</v>
      </c>
    </row>
    <row r="499" spans="1:21" x14ac:dyDescent="0.35">
      <c r="A499">
        <v>2024</v>
      </c>
      <c r="B499">
        <v>7</v>
      </c>
      <c r="C499">
        <v>3</v>
      </c>
      <c r="D499" s="1">
        <v>45474</v>
      </c>
      <c r="E499" s="4" t="s">
        <v>36</v>
      </c>
      <c r="F499" s="4" t="s">
        <v>24</v>
      </c>
      <c r="G499" s="4" t="s">
        <v>109</v>
      </c>
      <c r="H499">
        <v>64</v>
      </c>
      <c r="I499">
        <v>102</v>
      </c>
      <c r="J499">
        <v>1</v>
      </c>
      <c r="K499">
        <v>101</v>
      </c>
      <c r="L499">
        <v>154943.82999999999</v>
      </c>
      <c r="M499">
        <v>1873</v>
      </c>
      <c r="N499">
        <v>153070.82999999999</v>
      </c>
      <c r="O499">
        <v>90021.8</v>
      </c>
      <c r="P499">
        <v>63049.03</v>
      </c>
      <c r="Q499">
        <v>0.41189999999999999</v>
      </c>
      <c r="R499">
        <v>12</v>
      </c>
      <c r="S499">
        <v>36555.83</v>
      </c>
      <c r="T499">
        <v>0</v>
      </c>
      <c r="U499">
        <v>2391.73</v>
      </c>
    </row>
    <row r="500" spans="1:21" x14ac:dyDescent="0.35">
      <c r="A500">
        <v>2024</v>
      </c>
      <c r="B500">
        <v>7</v>
      </c>
      <c r="C500">
        <v>3</v>
      </c>
      <c r="D500" s="1">
        <v>45474</v>
      </c>
      <c r="E500" s="4" t="s">
        <v>36</v>
      </c>
      <c r="F500" s="4" t="s">
        <v>26</v>
      </c>
      <c r="G500" s="4" t="s">
        <v>109</v>
      </c>
      <c r="H500">
        <v>31</v>
      </c>
      <c r="I500">
        <v>46</v>
      </c>
      <c r="J500">
        <v>0</v>
      </c>
      <c r="K500">
        <v>46</v>
      </c>
      <c r="L500">
        <v>40960.339999999997</v>
      </c>
      <c r="M500">
        <v>0</v>
      </c>
      <c r="N500">
        <v>40960.339999999997</v>
      </c>
      <c r="O500">
        <v>25570.799999999999</v>
      </c>
      <c r="P500">
        <v>15389.54</v>
      </c>
      <c r="Q500">
        <v>0.37569999999999998</v>
      </c>
      <c r="R500">
        <v>4</v>
      </c>
      <c r="S500">
        <v>5299.34</v>
      </c>
      <c r="T500">
        <v>0</v>
      </c>
      <c r="U500">
        <v>1321.3</v>
      </c>
    </row>
    <row r="501" spans="1:21" x14ac:dyDescent="0.35">
      <c r="A501">
        <v>2024</v>
      </c>
      <c r="B501">
        <v>7</v>
      </c>
      <c r="C501">
        <v>3</v>
      </c>
      <c r="D501" s="1">
        <v>45474</v>
      </c>
      <c r="E501" s="4" t="s">
        <v>23</v>
      </c>
      <c r="F501" s="4" t="s">
        <v>28</v>
      </c>
      <c r="G501" s="4" t="s">
        <v>107</v>
      </c>
      <c r="H501">
        <v>58</v>
      </c>
      <c r="I501">
        <v>85</v>
      </c>
      <c r="J501">
        <v>0</v>
      </c>
      <c r="K501">
        <v>85</v>
      </c>
      <c r="L501">
        <v>27421.94</v>
      </c>
      <c r="M501">
        <v>0</v>
      </c>
      <c r="N501">
        <v>27421.94</v>
      </c>
      <c r="O501">
        <v>10055.5</v>
      </c>
      <c r="P501">
        <v>17366.439999999999</v>
      </c>
      <c r="Q501">
        <v>0.63329999999999997</v>
      </c>
      <c r="R501">
        <v>9</v>
      </c>
      <c r="S501">
        <v>4775.9399999999996</v>
      </c>
      <c r="T501">
        <v>0</v>
      </c>
      <c r="U501">
        <v>472.79</v>
      </c>
    </row>
    <row r="502" spans="1:21" x14ac:dyDescent="0.35">
      <c r="A502">
        <v>2024</v>
      </c>
      <c r="B502">
        <v>7</v>
      </c>
      <c r="C502">
        <v>3</v>
      </c>
      <c r="D502" s="1">
        <v>45474</v>
      </c>
      <c r="E502" s="4" t="s">
        <v>23</v>
      </c>
      <c r="F502" s="4" t="s">
        <v>28</v>
      </c>
      <c r="G502" s="4" t="s">
        <v>108</v>
      </c>
      <c r="H502">
        <v>19</v>
      </c>
      <c r="I502">
        <v>33</v>
      </c>
      <c r="J502">
        <v>0</v>
      </c>
      <c r="K502">
        <v>33</v>
      </c>
      <c r="L502">
        <v>22439.759999999998</v>
      </c>
      <c r="M502">
        <v>0</v>
      </c>
      <c r="N502">
        <v>22439.759999999998</v>
      </c>
      <c r="O502">
        <v>8119.65</v>
      </c>
      <c r="P502">
        <v>14320.11</v>
      </c>
      <c r="Q502">
        <v>0.63819999999999999</v>
      </c>
      <c r="R502">
        <v>3</v>
      </c>
      <c r="S502">
        <v>4864.76</v>
      </c>
      <c r="T502">
        <v>0</v>
      </c>
      <c r="U502">
        <v>1181.04</v>
      </c>
    </row>
    <row r="503" spans="1:21" x14ac:dyDescent="0.35">
      <c r="A503">
        <v>2024</v>
      </c>
      <c r="B503">
        <v>7</v>
      </c>
      <c r="C503">
        <v>3</v>
      </c>
      <c r="D503" s="1">
        <v>45474</v>
      </c>
      <c r="E503" s="4" t="s">
        <v>23</v>
      </c>
      <c r="F503" s="4" t="s">
        <v>28</v>
      </c>
      <c r="G503" s="4" t="s">
        <v>109</v>
      </c>
      <c r="H503">
        <v>324</v>
      </c>
      <c r="I503">
        <v>506</v>
      </c>
      <c r="J503">
        <v>0</v>
      </c>
      <c r="K503">
        <v>506</v>
      </c>
      <c r="L503">
        <v>229950.85</v>
      </c>
      <c r="M503">
        <v>0</v>
      </c>
      <c r="N503">
        <v>229950.85</v>
      </c>
      <c r="O503">
        <v>83483.75</v>
      </c>
      <c r="P503">
        <v>146467.1</v>
      </c>
      <c r="Q503">
        <v>0.63690000000000002</v>
      </c>
      <c r="R503">
        <v>42</v>
      </c>
      <c r="S503">
        <v>29039.85</v>
      </c>
      <c r="T503">
        <v>0</v>
      </c>
      <c r="U503">
        <v>709.72</v>
      </c>
    </row>
    <row r="504" spans="1:21" x14ac:dyDescent="0.35">
      <c r="A504">
        <v>2024</v>
      </c>
      <c r="B504">
        <v>7</v>
      </c>
      <c r="C504">
        <v>3</v>
      </c>
      <c r="D504" s="1">
        <v>45474</v>
      </c>
      <c r="E504" s="4" t="s">
        <v>23</v>
      </c>
      <c r="F504" s="4" t="s">
        <v>24</v>
      </c>
      <c r="G504" s="4" t="s">
        <v>107</v>
      </c>
      <c r="H504">
        <v>45</v>
      </c>
      <c r="I504">
        <v>69</v>
      </c>
      <c r="J504">
        <v>1</v>
      </c>
      <c r="K504">
        <v>68</v>
      </c>
      <c r="L504">
        <v>110485.69</v>
      </c>
      <c r="M504">
        <v>2449</v>
      </c>
      <c r="N504">
        <v>108036.69</v>
      </c>
      <c r="O504">
        <v>60545.65</v>
      </c>
      <c r="P504">
        <v>47491.040000000001</v>
      </c>
      <c r="Q504">
        <v>0.43959999999999999</v>
      </c>
      <c r="R504">
        <v>4</v>
      </c>
      <c r="S504">
        <v>14476.69</v>
      </c>
      <c r="T504">
        <v>0</v>
      </c>
      <c r="U504">
        <v>2400.8200000000002</v>
      </c>
    </row>
    <row r="505" spans="1:21" x14ac:dyDescent="0.35">
      <c r="A505">
        <v>2024</v>
      </c>
      <c r="B505">
        <v>7</v>
      </c>
      <c r="C505">
        <v>3</v>
      </c>
      <c r="D505" s="1">
        <v>45474</v>
      </c>
      <c r="E505" s="4" t="s">
        <v>23</v>
      </c>
      <c r="F505" s="4" t="s">
        <v>24</v>
      </c>
      <c r="G505" s="4" t="s">
        <v>109</v>
      </c>
      <c r="H505">
        <v>72</v>
      </c>
      <c r="I505">
        <v>112</v>
      </c>
      <c r="J505">
        <v>0</v>
      </c>
      <c r="K505">
        <v>112</v>
      </c>
      <c r="L505">
        <v>131205.65</v>
      </c>
      <c r="M505">
        <v>0</v>
      </c>
      <c r="N505">
        <v>131205.65</v>
      </c>
      <c r="O505">
        <v>74593.75</v>
      </c>
      <c r="P505">
        <v>56611.9</v>
      </c>
      <c r="Q505">
        <v>0.43149999999999999</v>
      </c>
      <c r="R505">
        <v>12</v>
      </c>
      <c r="S505">
        <v>25261.65</v>
      </c>
      <c r="T505">
        <v>0</v>
      </c>
      <c r="U505">
        <v>1822.3</v>
      </c>
    </row>
    <row r="506" spans="1:21" x14ac:dyDescent="0.35">
      <c r="A506">
        <v>2024</v>
      </c>
      <c r="B506">
        <v>7</v>
      </c>
      <c r="C506">
        <v>3</v>
      </c>
      <c r="D506" s="1">
        <v>45474</v>
      </c>
      <c r="E506" s="4" t="s">
        <v>23</v>
      </c>
      <c r="F506" s="4" t="s">
        <v>26</v>
      </c>
      <c r="G506" s="4" t="s">
        <v>107</v>
      </c>
      <c r="H506">
        <v>4</v>
      </c>
      <c r="I506">
        <v>5</v>
      </c>
      <c r="J506">
        <v>0</v>
      </c>
      <c r="K506">
        <v>5</v>
      </c>
      <c r="L506">
        <v>2655</v>
      </c>
      <c r="M506">
        <v>0</v>
      </c>
      <c r="N506">
        <v>2655</v>
      </c>
      <c r="O506">
        <v>1593</v>
      </c>
      <c r="P506">
        <v>1062</v>
      </c>
      <c r="Q506">
        <v>0.4</v>
      </c>
      <c r="R506">
        <v>0</v>
      </c>
      <c r="S506">
        <v>0</v>
      </c>
      <c r="T506">
        <v>0</v>
      </c>
      <c r="U506">
        <v>663.75</v>
      </c>
    </row>
    <row r="507" spans="1:21" x14ac:dyDescent="0.35">
      <c r="A507">
        <v>2024</v>
      </c>
      <c r="B507">
        <v>7</v>
      </c>
      <c r="C507">
        <v>3</v>
      </c>
      <c r="D507" s="1">
        <v>45474</v>
      </c>
      <c r="E507" s="4" t="s">
        <v>23</v>
      </c>
      <c r="F507" s="4" t="s">
        <v>26</v>
      </c>
      <c r="G507" s="4" t="s">
        <v>109</v>
      </c>
      <c r="H507">
        <v>19</v>
      </c>
      <c r="I507">
        <v>21</v>
      </c>
      <c r="J507">
        <v>0</v>
      </c>
      <c r="K507">
        <v>21</v>
      </c>
      <c r="L507">
        <v>12513.18</v>
      </c>
      <c r="M507">
        <v>0</v>
      </c>
      <c r="N507">
        <v>12513.18</v>
      </c>
      <c r="O507">
        <v>7750.8</v>
      </c>
      <c r="P507">
        <v>4762.38</v>
      </c>
      <c r="Q507">
        <v>0.38059999999999999</v>
      </c>
      <c r="R507">
        <v>1</v>
      </c>
      <c r="S507">
        <v>1152.18</v>
      </c>
      <c r="T507">
        <v>0</v>
      </c>
      <c r="U507">
        <v>658.59</v>
      </c>
    </row>
    <row r="508" spans="1:21" x14ac:dyDescent="0.35">
      <c r="A508">
        <v>2024</v>
      </c>
      <c r="B508">
        <v>7</v>
      </c>
      <c r="C508">
        <v>3</v>
      </c>
      <c r="D508" s="1">
        <v>45474</v>
      </c>
      <c r="E508" s="4" t="s">
        <v>25</v>
      </c>
      <c r="F508" s="4" t="s">
        <v>28</v>
      </c>
      <c r="G508" s="4" t="s">
        <v>107</v>
      </c>
      <c r="H508">
        <v>13</v>
      </c>
      <c r="I508">
        <v>18</v>
      </c>
      <c r="J508">
        <v>0</v>
      </c>
      <c r="K508">
        <v>18</v>
      </c>
      <c r="L508">
        <v>8399.2999999999993</v>
      </c>
      <c r="M508">
        <v>0</v>
      </c>
      <c r="N508">
        <v>8399.2999999999993</v>
      </c>
      <c r="O508">
        <v>3131.1</v>
      </c>
      <c r="P508">
        <v>5268.2</v>
      </c>
      <c r="Q508">
        <v>0.62719999999999998</v>
      </c>
      <c r="R508">
        <v>3</v>
      </c>
      <c r="S508">
        <v>2435.3000000000002</v>
      </c>
      <c r="T508">
        <v>0</v>
      </c>
      <c r="U508">
        <v>646.1</v>
      </c>
    </row>
    <row r="509" spans="1:21" x14ac:dyDescent="0.35">
      <c r="A509">
        <v>2024</v>
      </c>
      <c r="B509">
        <v>7</v>
      </c>
      <c r="C509">
        <v>3</v>
      </c>
      <c r="D509" s="1">
        <v>45474</v>
      </c>
      <c r="E509" s="4" t="s">
        <v>25</v>
      </c>
      <c r="F509" s="4" t="s">
        <v>28</v>
      </c>
      <c r="G509" s="4" t="s">
        <v>109</v>
      </c>
      <c r="H509">
        <v>352</v>
      </c>
      <c r="I509">
        <v>526</v>
      </c>
      <c r="J509">
        <v>0</v>
      </c>
      <c r="K509">
        <v>526</v>
      </c>
      <c r="L509">
        <v>280434.83</v>
      </c>
      <c r="M509">
        <v>0</v>
      </c>
      <c r="N509">
        <v>280434.83</v>
      </c>
      <c r="O509">
        <v>101364.55</v>
      </c>
      <c r="P509">
        <v>179070.28</v>
      </c>
      <c r="Q509">
        <v>0.63849999999999996</v>
      </c>
      <c r="R509">
        <v>42</v>
      </c>
      <c r="S509">
        <v>37147.18</v>
      </c>
      <c r="T509">
        <v>0</v>
      </c>
      <c r="U509">
        <v>796.69</v>
      </c>
    </row>
    <row r="510" spans="1:21" x14ac:dyDescent="0.35">
      <c r="A510">
        <v>2024</v>
      </c>
      <c r="B510">
        <v>7</v>
      </c>
      <c r="C510">
        <v>3</v>
      </c>
      <c r="D510" s="1">
        <v>45474</v>
      </c>
      <c r="E510" s="4" t="s">
        <v>25</v>
      </c>
      <c r="F510" s="4" t="s">
        <v>24</v>
      </c>
      <c r="G510" s="4" t="s">
        <v>107</v>
      </c>
      <c r="H510">
        <v>18</v>
      </c>
      <c r="I510">
        <v>28</v>
      </c>
      <c r="J510">
        <v>0</v>
      </c>
      <c r="K510">
        <v>28</v>
      </c>
      <c r="L510">
        <v>51998.13</v>
      </c>
      <c r="M510">
        <v>0</v>
      </c>
      <c r="N510">
        <v>51998.13</v>
      </c>
      <c r="O510">
        <v>29172.55</v>
      </c>
      <c r="P510">
        <v>22825.58</v>
      </c>
      <c r="Q510">
        <v>0.439</v>
      </c>
      <c r="R510">
        <v>3</v>
      </c>
      <c r="S510">
        <v>6038.13</v>
      </c>
      <c r="T510">
        <v>0</v>
      </c>
      <c r="U510">
        <v>2888.79</v>
      </c>
    </row>
    <row r="511" spans="1:21" x14ac:dyDescent="0.35">
      <c r="A511">
        <v>2024</v>
      </c>
      <c r="B511">
        <v>7</v>
      </c>
      <c r="C511">
        <v>3</v>
      </c>
      <c r="D511" s="1">
        <v>45474</v>
      </c>
      <c r="E511" s="4" t="s">
        <v>25</v>
      </c>
      <c r="F511" s="4" t="s">
        <v>24</v>
      </c>
      <c r="G511" s="4" t="s">
        <v>109</v>
      </c>
      <c r="H511">
        <v>98</v>
      </c>
      <c r="I511">
        <v>160</v>
      </c>
      <c r="J511">
        <v>5</v>
      </c>
      <c r="K511">
        <v>155</v>
      </c>
      <c r="L511">
        <v>231386.75</v>
      </c>
      <c r="M511">
        <v>8778.9</v>
      </c>
      <c r="N511">
        <v>222607.85</v>
      </c>
      <c r="O511">
        <v>129258.25</v>
      </c>
      <c r="P511">
        <v>93349.6</v>
      </c>
      <c r="Q511">
        <v>0.41930000000000001</v>
      </c>
      <c r="R511">
        <v>14</v>
      </c>
      <c r="S511">
        <v>48072.52</v>
      </c>
      <c r="T511">
        <v>0</v>
      </c>
      <c r="U511">
        <v>2271.5100000000002</v>
      </c>
    </row>
    <row r="512" spans="1:21" x14ac:dyDescent="0.35">
      <c r="A512">
        <v>2024</v>
      </c>
      <c r="B512">
        <v>7</v>
      </c>
      <c r="C512">
        <v>3</v>
      </c>
      <c r="D512" s="1">
        <v>45474</v>
      </c>
      <c r="E512" s="4" t="s">
        <v>25</v>
      </c>
      <c r="F512" s="4" t="s">
        <v>26</v>
      </c>
      <c r="G512" s="4" t="s">
        <v>107</v>
      </c>
      <c r="H512">
        <v>10</v>
      </c>
      <c r="I512">
        <v>12</v>
      </c>
      <c r="J512">
        <v>0</v>
      </c>
      <c r="K512">
        <v>12</v>
      </c>
      <c r="L512">
        <v>11938</v>
      </c>
      <c r="M512">
        <v>0</v>
      </c>
      <c r="N512">
        <v>11938</v>
      </c>
      <c r="O512">
        <v>7162.8</v>
      </c>
      <c r="P512">
        <v>4775.2</v>
      </c>
      <c r="Q512">
        <v>0.4</v>
      </c>
      <c r="R512">
        <v>0</v>
      </c>
      <c r="S512">
        <v>0</v>
      </c>
      <c r="T512">
        <v>0</v>
      </c>
      <c r="U512">
        <v>1193.8</v>
      </c>
    </row>
    <row r="513" spans="1:21" x14ac:dyDescent="0.35">
      <c r="A513">
        <v>2024</v>
      </c>
      <c r="B513">
        <v>7</v>
      </c>
      <c r="C513">
        <v>3</v>
      </c>
      <c r="D513" s="1">
        <v>45474</v>
      </c>
      <c r="E513" s="4" t="s">
        <v>25</v>
      </c>
      <c r="F513" s="4" t="s">
        <v>26</v>
      </c>
      <c r="G513" s="4" t="s">
        <v>109</v>
      </c>
      <c r="H513">
        <v>23</v>
      </c>
      <c r="I513">
        <v>34</v>
      </c>
      <c r="J513">
        <v>0</v>
      </c>
      <c r="K513">
        <v>34</v>
      </c>
      <c r="L513">
        <v>24312.720000000001</v>
      </c>
      <c r="M513">
        <v>0</v>
      </c>
      <c r="N513">
        <v>24312.720000000001</v>
      </c>
      <c r="O513">
        <v>14677.2</v>
      </c>
      <c r="P513">
        <v>9635.52</v>
      </c>
      <c r="Q513">
        <v>0.39629999999999999</v>
      </c>
      <c r="R513">
        <v>1</v>
      </c>
      <c r="S513">
        <v>472.72</v>
      </c>
      <c r="T513">
        <v>0</v>
      </c>
      <c r="U513">
        <v>1057.07</v>
      </c>
    </row>
    <row r="514" spans="1:21" x14ac:dyDescent="0.35">
      <c r="A514">
        <v>2024</v>
      </c>
      <c r="B514">
        <v>7</v>
      </c>
      <c r="C514">
        <v>3</v>
      </c>
      <c r="D514" s="1">
        <v>45474</v>
      </c>
      <c r="E514" s="4" t="s">
        <v>29</v>
      </c>
      <c r="F514" s="4" t="s">
        <v>28</v>
      </c>
      <c r="G514" s="4" t="s">
        <v>107</v>
      </c>
      <c r="H514">
        <v>152</v>
      </c>
      <c r="I514">
        <v>234</v>
      </c>
      <c r="J514">
        <v>0</v>
      </c>
      <c r="K514">
        <v>234</v>
      </c>
      <c r="L514">
        <v>92223.96</v>
      </c>
      <c r="M514">
        <v>0</v>
      </c>
      <c r="N514">
        <v>92223.96</v>
      </c>
      <c r="O514">
        <v>32970</v>
      </c>
      <c r="P514">
        <v>59253.96</v>
      </c>
      <c r="Q514">
        <v>0.64249999999999996</v>
      </c>
      <c r="R514">
        <v>20</v>
      </c>
      <c r="S514">
        <v>9123.9599999999991</v>
      </c>
      <c r="T514">
        <v>0</v>
      </c>
      <c r="U514">
        <v>606.74</v>
      </c>
    </row>
    <row r="515" spans="1:21" x14ac:dyDescent="0.35">
      <c r="A515">
        <v>2024</v>
      </c>
      <c r="B515">
        <v>7</v>
      </c>
      <c r="C515">
        <v>3</v>
      </c>
      <c r="D515" s="1">
        <v>45474</v>
      </c>
      <c r="E515" s="4" t="s">
        <v>29</v>
      </c>
      <c r="F515" s="4" t="s">
        <v>28</v>
      </c>
      <c r="G515" s="4" t="s">
        <v>108</v>
      </c>
      <c r="H515">
        <v>20</v>
      </c>
      <c r="I515">
        <v>33</v>
      </c>
      <c r="J515">
        <v>0</v>
      </c>
      <c r="K515">
        <v>33</v>
      </c>
      <c r="L515">
        <v>19030.400000000001</v>
      </c>
      <c r="M515">
        <v>0</v>
      </c>
      <c r="N515">
        <v>19030.400000000001</v>
      </c>
      <c r="O515">
        <v>7022.4</v>
      </c>
      <c r="P515">
        <v>12008</v>
      </c>
      <c r="Q515">
        <v>0.63100000000000001</v>
      </c>
      <c r="R515">
        <v>3</v>
      </c>
      <c r="S515">
        <v>5046.3999999999996</v>
      </c>
      <c r="T515">
        <v>0</v>
      </c>
      <c r="U515">
        <v>951.52</v>
      </c>
    </row>
    <row r="516" spans="1:21" x14ac:dyDescent="0.35">
      <c r="A516">
        <v>2024</v>
      </c>
      <c r="B516">
        <v>7</v>
      </c>
      <c r="C516">
        <v>3</v>
      </c>
      <c r="D516" s="1">
        <v>45474</v>
      </c>
      <c r="E516" s="4" t="s">
        <v>29</v>
      </c>
      <c r="F516" s="4" t="s">
        <v>28</v>
      </c>
      <c r="G516" s="4" t="s">
        <v>109</v>
      </c>
      <c r="H516">
        <v>508</v>
      </c>
      <c r="I516">
        <v>782</v>
      </c>
      <c r="J516">
        <v>0</v>
      </c>
      <c r="K516">
        <v>782</v>
      </c>
      <c r="L516">
        <v>367363.03</v>
      </c>
      <c r="M516">
        <v>0</v>
      </c>
      <c r="N516">
        <v>367363.03</v>
      </c>
      <c r="O516">
        <v>133095.54999999999</v>
      </c>
      <c r="P516">
        <v>234267.48</v>
      </c>
      <c r="Q516">
        <v>0.63770000000000004</v>
      </c>
      <c r="R516">
        <v>73</v>
      </c>
      <c r="S516">
        <v>54024.03</v>
      </c>
      <c r="T516">
        <v>0</v>
      </c>
      <c r="U516">
        <v>723.16</v>
      </c>
    </row>
    <row r="517" spans="1:21" x14ac:dyDescent="0.35">
      <c r="A517">
        <v>2024</v>
      </c>
      <c r="B517">
        <v>7</v>
      </c>
      <c r="C517">
        <v>3</v>
      </c>
      <c r="D517" s="1">
        <v>45474</v>
      </c>
      <c r="E517" s="4" t="s">
        <v>29</v>
      </c>
      <c r="F517" s="4" t="s">
        <v>24</v>
      </c>
      <c r="G517" s="4" t="s">
        <v>107</v>
      </c>
      <c r="H517">
        <v>7</v>
      </c>
      <c r="I517">
        <v>13</v>
      </c>
      <c r="J517">
        <v>0</v>
      </c>
      <c r="K517">
        <v>13</v>
      </c>
      <c r="L517">
        <v>10402.56</v>
      </c>
      <c r="M517">
        <v>0</v>
      </c>
      <c r="N517">
        <v>10402.56</v>
      </c>
      <c r="O517">
        <v>6177.6</v>
      </c>
      <c r="P517">
        <v>4224.96</v>
      </c>
      <c r="Q517">
        <v>0.40610000000000002</v>
      </c>
      <c r="R517">
        <v>1</v>
      </c>
      <c r="S517">
        <v>1762.56</v>
      </c>
      <c r="T517">
        <v>0</v>
      </c>
      <c r="U517">
        <v>1486.08</v>
      </c>
    </row>
    <row r="518" spans="1:21" x14ac:dyDescent="0.35">
      <c r="A518">
        <v>2024</v>
      </c>
      <c r="B518">
        <v>7</v>
      </c>
      <c r="C518">
        <v>3</v>
      </c>
      <c r="D518" s="1">
        <v>45474</v>
      </c>
      <c r="E518" s="4" t="s">
        <v>29</v>
      </c>
      <c r="F518" s="4" t="s">
        <v>24</v>
      </c>
      <c r="G518" s="4" t="s">
        <v>108</v>
      </c>
      <c r="H518">
        <v>2</v>
      </c>
      <c r="I518">
        <v>2</v>
      </c>
      <c r="J518">
        <v>0</v>
      </c>
      <c r="K518">
        <v>2</v>
      </c>
      <c r="L518">
        <v>1484</v>
      </c>
      <c r="M518">
        <v>0</v>
      </c>
      <c r="N518">
        <v>1484</v>
      </c>
      <c r="O518">
        <v>816.2</v>
      </c>
      <c r="P518">
        <v>667.8</v>
      </c>
      <c r="Q518">
        <v>0.45</v>
      </c>
      <c r="R518">
        <v>0</v>
      </c>
      <c r="S518">
        <v>0</v>
      </c>
      <c r="T518">
        <v>0</v>
      </c>
      <c r="U518">
        <v>742</v>
      </c>
    </row>
    <row r="519" spans="1:21" x14ac:dyDescent="0.35">
      <c r="A519">
        <v>2024</v>
      </c>
      <c r="B519">
        <v>7</v>
      </c>
      <c r="C519">
        <v>3</v>
      </c>
      <c r="D519" s="1">
        <v>45474</v>
      </c>
      <c r="E519" s="4" t="s">
        <v>29</v>
      </c>
      <c r="F519" s="4" t="s">
        <v>24</v>
      </c>
      <c r="G519" s="4" t="s">
        <v>109</v>
      </c>
      <c r="H519">
        <v>75</v>
      </c>
      <c r="I519">
        <v>121</v>
      </c>
      <c r="J519">
        <v>5</v>
      </c>
      <c r="K519">
        <v>116</v>
      </c>
      <c r="L519">
        <v>243601.7</v>
      </c>
      <c r="M519">
        <v>11492.57</v>
      </c>
      <c r="N519">
        <v>232109.13</v>
      </c>
      <c r="O519">
        <v>133096.15</v>
      </c>
      <c r="P519">
        <v>99012.98</v>
      </c>
      <c r="Q519">
        <v>0.42659999999999998</v>
      </c>
      <c r="R519">
        <v>11</v>
      </c>
      <c r="S519">
        <v>41480.129999999997</v>
      </c>
      <c r="T519">
        <v>0</v>
      </c>
      <c r="U519">
        <v>3094.79</v>
      </c>
    </row>
    <row r="520" spans="1:21" x14ac:dyDescent="0.35">
      <c r="A520">
        <v>2024</v>
      </c>
      <c r="B520">
        <v>7</v>
      </c>
      <c r="C520">
        <v>3</v>
      </c>
      <c r="D520" s="1">
        <v>45474</v>
      </c>
      <c r="E520" s="4" t="s">
        <v>29</v>
      </c>
      <c r="F520" s="4" t="s">
        <v>26</v>
      </c>
      <c r="G520" s="4" t="s">
        <v>107</v>
      </c>
      <c r="H520">
        <v>10</v>
      </c>
      <c r="I520">
        <v>11</v>
      </c>
      <c r="J520">
        <v>0</v>
      </c>
      <c r="K520">
        <v>11</v>
      </c>
      <c r="L520">
        <v>5247.89</v>
      </c>
      <c r="M520">
        <v>0</v>
      </c>
      <c r="N520">
        <v>5247.89</v>
      </c>
      <c r="O520">
        <v>3168.6</v>
      </c>
      <c r="P520">
        <v>2079.29</v>
      </c>
      <c r="Q520">
        <v>0.3962</v>
      </c>
      <c r="R520">
        <v>1</v>
      </c>
      <c r="S520">
        <v>267.89</v>
      </c>
      <c r="T520">
        <v>0</v>
      </c>
      <c r="U520">
        <v>524.79</v>
      </c>
    </row>
    <row r="521" spans="1:21" x14ac:dyDescent="0.35">
      <c r="A521">
        <v>2024</v>
      </c>
      <c r="B521">
        <v>7</v>
      </c>
      <c r="C521">
        <v>3</v>
      </c>
      <c r="D521" s="1">
        <v>45474</v>
      </c>
      <c r="E521" s="4" t="s">
        <v>29</v>
      </c>
      <c r="F521" s="4" t="s">
        <v>26</v>
      </c>
      <c r="G521" s="4" t="s">
        <v>109</v>
      </c>
      <c r="H521">
        <v>18</v>
      </c>
      <c r="I521">
        <v>25</v>
      </c>
      <c r="J521">
        <v>0</v>
      </c>
      <c r="K521">
        <v>25</v>
      </c>
      <c r="L521">
        <v>22660.1</v>
      </c>
      <c r="M521">
        <v>0</v>
      </c>
      <c r="N521">
        <v>22660.1</v>
      </c>
      <c r="O521">
        <v>13662.6</v>
      </c>
      <c r="P521">
        <v>8997.5</v>
      </c>
      <c r="Q521">
        <v>0.39710000000000001</v>
      </c>
      <c r="R521">
        <v>1</v>
      </c>
      <c r="S521">
        <v>2107.1</v>
      </c>
      <c r="T521">
        <v>0</v>
      </c>
      <c r="U521">
        <v>1258.8900000000001</v>
      </c>
    </row>
    <row r="522" spans="1:21" x14ac:dyDescent="0.35">
      <c r="A522">
        <v>2024</v>
      </c>
      <c r="B522">
        <v>7</v>
      </c>
      <c r="C522">
        <v>3</v>
      </c>
      <c r="D522" s="1">
        <v>45474</v>
      </c>
      <c r="E522" s="4" t="s">
        <v>31</v>
      </c>
      <c r="F522" s="4" t="s">
        <v>28</v>
      </c>
      <c r="G522" s="4" t="s">
        <v>107</v>
      </c>
      <c r="H522">
        <v>39</v>
      </c>
      <c r="I522">
        <v>60</v>
      </c>
      <c r="J522">
        <v>0</v>
      </c>
      <c r="K522">
        <v>60</v>
      </c>
      <c r="L522">
        <v>24412.07</v>
      </c>
      <c r="M522">
        <v>0</v>
      </c>
      <c r="N522">
        <v>24412.07</v>
      </c>
      <c r="O522">
        <v>8664.25</v>
      </c>
      <c r="P522">
        <v>15747.82</v>
      </c>
      <c r="Q522">
        <v>0.64510000000000001</v>
      </c>
      <c r="R522">
        <v>4</v>
      </c>
      <c r="S522">
        <v>3008.07</v>
      </c>
      <c r="T522">
        <v>0</v>
      </c>
      <c r="U522">
        <v>625.95000000000005</v>
      </c>
    </row>
    <row r="523" spans="1:21" x14ac:dyDescent="0.35">
      <c r="A523">
        <v>2024</v>
      </c>
      <c r="B523">
        <v>7</v>
      </c>
      <c r="C523">
        <v>3</v>
      </c>
      <c r="D523" s="1">
        <v>45474</v>
      </c>
      <c r="E523" s="4" t="s">
        <v>31</v>
      </c>
      <c r="F523" s="4" t="s">
        <v>28</v>
      </c>
      <c r="G523" s="4" t="s">
        <v>108</v>
      </c>
      <c r="H523">
        <v>155</v>
      </c>
      <c r="I523">
        <v>238</v>
      </c>
      <c r="J523">
        <v>0</v>
      </c>
      <c r="K523">
        <v>238</v>
      </c>
      <c r="L523">
        <v>91408.6</v>
      </c>
      <c r="M523">
        <v>0</v>
      </c>
      <c r="N523">
        <v>91408.6</v>
      </c>
      <c r="O523">
        <v>32997.65</v>
      </c>
      <c r="P523">
        <v>58410.95</v>
      </c>
      <c r="Q523">
        <v>0.63900000000000001</v>
      </c>
      <c r="R523">
        <v>20</v>
      </c>
      <c r="S523">
        <v>10986.73</v>
      </c>
      <c r="T523">
        <v>0</v>
      </c>
      <c r="U523">
        <v>589.73</v>
      </c>
    </row>
    <row r="524" spans="1:21" x14ac:dyDescent="0.35">
      <c r="A524">
        <v>2024</v>
      </c>
      <c r="B524">
        <v>7</v>
      </c>
      <c r="C524">
        <v>3</v>
      </c>
      <c r="D524" s="1">
        <v>45474</v>
      </c>
      <c r="E524" s="4" t="s">
        <v>31</v>
      </c>
      <c r="F524" s="4" t="s">
        <v>28</v>
      </c>
      <c r="G524" s="4" t="s">
        <v>109</v>
      </c>
      <c r="H524">
        <v>476</v>
      </c>
      <c r="I524">
        <v>703</v>
      </c>
      <c r="J524">
        <v>0</v>
      </c>
      <c r="K524">
        <v>703</v>
      </c>
      <c r="L524">
        <v>353846.14</v>
      </c>
      <c r="M524">
        <v>0</v>
      </c>
      <c r="N524">
        <v>353846.14</v>
      </c>
      <c r="O524">
        <v>126853.65</v>
      </c>
      <c r="P524">
        <v>226992.49</v>
      </c>
      <c r="Q524">
        <v>0.64149999999999996</v>
      </c>
      <c r="R524">
        <v>49</v>
      </c>
      <c r="S524">
        <v>42791.25</v>
      </c>
      <c r="T524">
        <v>0</v>
      </c>
      <c r="U524">
        <v>743.37</v>
      </c>
    </row>
    <row r="525" spans="1:21" x14ac:dyDescent="0.35">
      <c r="A525">
        <v>2024</v>
      </c>
      <c r="B525">
        <v>7</v>
      </c>
      <c r="C525">
        <v>3</v>
      </c>
      <c r="D525" s="1">
        <v>45474</v>
      </c>
      <c r="E525" s="4" t="s">
        <v>31</v>
      </c>
      <c r="F525" s="4" t="s">
        <v>35</v>
      </c>
      <c r="G525" s="4" t="s">
        <v>109</v>
      </c>
      <c r="H525">
        <v>1</v>
      </c>
      <c r="I525">
        <v>3</v>
      </c>
      <c r="J525">
        <v>0</v>
      </c>
      <c r="K525">
        <v>3</v>
      </c>
      <c r="L525">
        <v>888</v>
      </c>
      <c r="M525">
        <v>0</v>
      </c>
      <c r="N525">
        <v>888</v>
      </c>
      <c r="O525">
        <v>177.6</v>
      </c>
      <c r="P525">
        <v>710.4</v>
      </c>
      <c r="Q525">
        <v>0.8</v>
      </c>
      <c r="R525">
        <v>0</v>
      </c>
      <c r="S525">
        <v>0</v>
      </c>
      <c r="T525">
        <v>0</v>
      </c>
      <c r="U525">
        <v>888</v>
      </c>
    </row>
    <row r="526" spans="1:21" x14ac:dyDescent="0.35">
      <c r="A526">
        <v>2024</v>
      </c>
      <c r="B526">
        <v>7</v>
      </c>
      <c r="C526">
        <v>3</v>
      </c>
      <c r="D526" s="1">
        <v>45474</v>
      </c>
      <c r="E526" s="4" t="s">
        <v>31</v>
      </c>
      <c r="F526" s="4" t="s">
        <v>24</v>
      </c>
      <c r="G526" s="4" t="s">
        <v>107</v>
      </c>
      <c r="H526">
        <v>10</v>
      </c>
      <c r="I526">
        <v>14</v>
      </c>
      <c r="J526">
        <v>0</v>
      </c>
      <c r="K526">
        <v>14</v>
      </c>
      <c r="L526">
        <v>24308.3</v>
      </c>
      <c r="M526">
        <v>0</v>
      </c>
      <c r="N526">
        <v>24308.3</v>
      </c>
      <c r="O526">
        <v>13937</v>
      </c>
      <c r="P526">
        <v>10371.299999999999</v>
      </c>
      <c r="Q526">
        <v>0.42670000000000002</v>
      </c>
      <c r="R526">
        <v>3</v>
      </c>
      <c r="S526">
        <v>8018.3</v>
      </c>
      <c r="T526">
        <v>0</v>
      </c>
      <c r="U526">
        <v>2430.83</v>
      </c>
    </row>
    <row r="527" spans="1:21" x14ac:dyDescent="0.35">
      <c r="A527">
        <v>2024</v>
      </c>
      <c r="B527">
        <v>7</v>
      </c>
      <c r="C527">
        <v>3</v>
      </c>
      <c r="D527" s="1">
        <v>45474</v>
      </c>
      <c r="E527" s="4" t="s">
        <v>31</v>
      </c>
      <c r="F527" s="4" t="s">
        <v>24</v>
      </c>
      <c r="G527" s="4" t="s">
        <v>109</v>
      </c>
      <c r="H527">
        <v>147</v>
      </c>
      <c r="I527">
        <v>242</v>
      </c>
      <c r="J527">
        <v>13</v>
      </c>
      <c r="K527">
        <v>229</v>
      </c>
      <c r="L527">
        <v>358436.84</v>
      </c>
      <c r="M527">
        <v>18085.919999999998</v>
      </c>
      <c r="N527">
        <v>340350.92</v>
      </c>
      <c r="O527">
        <v>194465.15</v>
      </c>
      <c r="P527">
        <v>145885.76999999999</v>
      </c>
      <c r="Q527">
        <v>0.42859999999999998</v>
      </c>
      <c r="R527">
        <v>20</v>
      </c>
      <c r="S527">
        <v>63049.919999999998</v>
      </c>
      <c r="T527">
        <v>0</v>
      </c>
      <c r="U527">
        <v>2315.31</v>
      </c>
    </row>
    <row r="528" spans="1:21" x14ac:dyDescent="0.35">
      <c r="A528">
        <v>2024</v>
      </c>
      <c r="B528">
        <v>7</v>
      </c>
      <c r="C528">
        <v>3</v>
      </c>
      <c r="D528" s="1">
        <v>45474</v>
      </c>
      <c r="E528" s="4" t="s">
        <v>31</v>
      </c>
      <c r="F528" s="4" t="s">
        <v>26</v>
      </c>
      <c r="G528" s="4" t="s">
        <v>107</v>
      </c>
      <c r="H528">
        <v>1</v>
      </c>
      <c r="I528">
        <v>1</v>
      </c>
      <c r="J528">
        <v>0</v>
      </c>
      <c r="K528">
        <v>1</v>
      </c>
      <c r="L528">
        <v>514</v>
      </c>
      <c r="M528">
        <v>0</v>
      </c>
      <c r="N528">
        <v>514</v>
      </c>
      <c r="O528">
        <v>308.39999999999998</v>
      </c>
      <c r="P528">
        <v>205.6</v>
      </c>
      <c r="Q528">
        <v>0.4</v>
      </c>
      <c r="R528">
        <v>0</v>
      </c>
      <c r="S528">
        <v>0</v>
      </c>
      <c r="T528">
        <v>0</v>
      </c>
      <c r="U528">
        <v>514</v>
      </c>
    </row>
    <row r="529" spans="1:21" x14ac:dyDescent="0.35">
      <c r="A529">
        <v>2024</v>
      </c>
      <c r="B529">
        <v>7</v>
      </c>
      <c r="C529">
        <v>3</v>
      </c>
      <c r="D529" s="1">
        <v>45474</v>
      </c>
      <c r="E529" s="4" t="s">
        <v>31</v>
      </c>
      <c r="F529" s="4" t="s">
        <v>26</v>
      </c>
      <c r="G529" s="4" t="s">
        <v>108</v>
      </c>
      <c r="H529">
        <v>3</v>
      </c>
      <c r="I529">
        <v>4</v>
      </c>
      <c r="J529">
        <v>0</v>
      </c>
      <c r="K529">
        <v>4</v>
      </c>
      <c r="L529">
        <v>2904</v>
      </c>
      <c r="M529">
        <v>0</v>
      </c>
      <c r="N529">
        <v>2904</v>
      </c>
      <c r="O529">
        <v>1742.4</v>
      </c>
      <c r="P529">
        <v>1161.5999999999999</v>
      </c>
      <c r="Q529">
        <v>0.4</v>
      </c>
      <c r="R529">
        <v>0</v>
      </c>
      <c r="S529">
        <v>0</v>
      </c>
      <c r="T529">
        <v>0</v>
      </c>
      <c r="U529">
        <v>968</v>
      </c>
    </row>
    <row r="530" spans="1:21" x14ac:dyDescent="0.35">
      <c r="A530">
        <v>2024</v>
      </c>
      <c r="B530">
        <v>7</v>
      </c>
      <c r="C530">
        <v>3</v>
      </c>
      <c r="D530" s="1">
        <v>45474</v>
      </c>
      <c r="E530" s="4" t="s">
        <v>31</v>
      </c>
      <c r="F530" s="4" t="s">
        <v>26</v>
      </c>
      <c r="G530" s="4" t="s">
        <v>109</v>
      </c>
      <c r="H530">
        <v>25</v>
      </c>
      <c r="I530">
        <v>31</v>
      </c>
      <c r="J530">
        <v>0</v>
      </c>
      <c r="K530">
        <v>31</v>
      </c>
      <c r="L530">
        <v>27570.31</v>
      </c>
      <c r="M530">
        <v>0</v>
      </c>
      <c r="N530">
        <v>27570.31</v>
      </c>
      <c r="O530">
        <v>16826.400000000001</v>
      </c>
      <c r="P530">
        <v>10743.91</v>
      </c>
      <c r="Q530">
        <v>0.38969999999999999</v>
      </c>
      <c r="R530">
        <v>3</v>
      </c>
      <c r="S530">
        <v>2494.31</v>
      </c>
      <c r="T530">
        <v>0</v>
      </c>
      <c r="U530">
        <v>1102.81</v>
      </c>
    </row>
    <row r="531" spans="1:21" x14ac:dyDescent="0.35">
      <c r="A531">
        <v>2024</v>
      </c>
      <c r="B531">
        <v>7</v>
      </c>
      <c r="C531">
        <v>3</v>
      </c>
      <c r="D531" s="1">
        <v>45474</v>
      </c>
      <c r="E531" s="4" t="s">
        <v>30</v>
      </c>
      <c r="F531" s="4" t="s">
        <v>28</v>
      </c>
      <c r="G531" s="4" t="s">
        <v>107</v>
      </c>
      <c r="H531">
        <v>61</v>
      </c>
      <c r="I531">
        <v>89</v>
      </c>
      <c r="J531">
        <v>0</v>
      </c>
      <c r="K531">
        <v>89</v>
      </c>
      <c r="L531">
        <v>39412.89</v>
      </c>
      <c r="M531">
        <v>0</v>
      </c>
      <c r="N531">
        <v>39412.89</v>
      </c>
      <c r="O531">
        <v>14048.65</v>
      </c>
      <c r="P531">
        <v>25364.240000000002</v>
      </c>
      <c r="Q531">
        <v>0.64359999999999995</v>
      </c>
      <c r="R531">
        <v>4</v>
      </c>
      <c r="S531">
        <v>3783.89</v>
      </c>
      <c r="T531">
        <v>0</v>
      </c>
      <c r="U531">
        <v>646.11</v>
      </c>
    </row>
    <row r="532" spans="1:21" x14ac:dyDescent="0.35">
      <c r="A532">
        <v>2024</v>
      </c>
      <c r="B532">
        <v>7</v>
      </c>
      <c r="C532">
        <v>3</v>
      </c>
      <c r="D532" s="1">
        <v>45474</v>
      </c>
      <c r="E532" s="4" t="s">
        <v>30</v>
      </c>
      <c r="F532" s="4" t="s">
        <v>28</v>
      </c>
      <c r="G532" s="4" t="s">
        <v>108</v>
      </c>
      <c r="H532">
        <v>24</v>
      </c>
      <c r="I532">
        <v>41</v>
      </c>
      <c r="J532">
        <v>0</v>
      </c>
      <c r="K532">
        <v>41</v>
      </c>
      <c r="L532">
        <v>24833.7</v>
      </c>
      <c r="M532">
        <v>0</v>
      </c>
      <c r="N532">
        <v>24833.7</v>
      </c>
      <c r="O532">
        <v>8825.25</v>
      </c>
      <c r="P532">
        <v>16008.45</v>
      </c>
      <c r="Q532">
        <v>0.64459999999999995</v>
      </c>
      <c r="R532">
        <v>2</v>
      </c>
      <c r="S532">
        <v>2078.6999999999998</v>
      </c>
      <c r="T532">
        <v>0</v>
      </c>
      <c r="U532">
        <v>1034.74</v>
      </c>
    </row>
    <row r="533" spans="1:21" x14ac:dyDescent="0.35">
      <c r="A533">
        <v>2024</v>
      </c>
      <c r="B533">
        <v>7</v>
      </c>
      <c r="C533">
        <v>3</v>
      </c>
      <c r="D533" s="1">
        <v>45474</v>
      </c>
      <c r="E533" s="4" t="s">
        <v>30</v>
      </c>
      <c r="F533" s="4" t="s">
        <v>28</v>
      </c>
      <c r="G533" s="4" t="s">
        <v>109</v>
      </c>
      <c r="H533">
        <v>412</v>
      </c>
      <c r="I533">
        <v>620</v>
      </c>
      <c r="J533">
        <v>0</v>
      </c>
      <c r="K533">
        <v>620</v>
      </c>
      <c r="L533">
        <v>251270.9</v>
      </c>
      <c r="M533">
        <v>0</v>
      </c>
      <c r="N533">
        <v>251270.9</v>
      </c>
      <c r="O533">
        <v>90990.9</v>
      </c>
      <c r="P533">
        <v>160280</v>
      </c>
      <c r="Q533">
        <v>0.63790000000000002</v>
      </c>
      <c r="R533">
        <v>46</v>
      </c>
      <c r="S533">
        <v>33006.9</v>
      </c>
      <c r="T533">
        <v>0</v>
      </c>
      <c r="U533">
        <v>609.88</v>
      </c>
    </row>
    <row r="534" spans="1:21" x14ac:dyDescent="0.35">
      <c r="A534">
        <v>2024</v>
      </c>
      <c r="B534">
        <v>7</v>
      </c>
      <c r="C534">
        <v>3</v>
      </c>
      <c r="D534" s="1">
        <v>45474</v>
      </c>
      <c r="E534" s="4" t="s">
        <v>30</v>
      </c>
      <c r="F534" s="4" t="s">
        <v>24</v>
      </c>
      <c r="G534" s="4" t="s">
        <v>107</v>
      </c>
      <c r="H534">
        <v>36</v>
      </c>
      <c r="I534">
        <v>56</v>
      </c>
      <c r="J534">
        <v>4</v>
      </c>
      <c r="K534">
        <v>52</v>
      </c>
      <c r="L534">
        <v>104477.5</v>
      </c>
      <c r="M534">
        <v>7308</v>
      </c>
      <c r="N534">
        <v>97169.5</v>
      </c>
      <c r="O534">
        <v>54961.5</v>
      </c>
      <c r="P534">
        <v>42208</v>
      </c>
      <c r="Q534">
        <v>0.43440000000000001</v>
      </c>
      <c r="R534">
        <v>5</v>
      </c>
      <c r="S534">
        <v>18180.5</v>
      </c>
      <c r="T534">
        <v>0</v>
      </c>
      <c r="U534">
        <v>2699.15</v>
      </c>
    </row>
    <row r="535" spans="1:21" x14ac:dyDescent="0.35">
      <c r="A535">
        <v>2024</v>
      </c>
      <c r="B535">
        <v>7</v>
      </c>
      <c r="C535">
        <v>3</v>
      </c>
      <c r="D535" s="1">
        <v>45474</v>
      </c>
      <c r="E535" s="4" t="s">
        <v>30</v>
      </c>
      <c r="F535" s="4" t="s">
        <v>24</v>
      </c>
      <c r="G535" s="4" t="s">
        <v>108</v>
      </c>
      <c r="H535">
        <v>1</v>
      </c>
      <c r="I535">
        <v>1</v>
      </c>
      <c r="J535">
        <v>0</v>
      </c>
      <c r="K535">
        <v>1</v>
      </c>
      <c r="L535">
        <v>2409</v>
      </c>
      <c r="M535">
        <v>0</v>
      </c>
      <c r="N535">
        <v>2409</v>
      </c>
      <c r="O535">
        <v>1324.95</v>
      </c>
      <c r="P535">
        <v>1084.05</v>
      </c>
      <c r="Q535">
        <v>0.45</v>
      </c>
      <c r="R535">
        <v>0</v>
      </c>
      <c r="S535">
        <v>0</v>
      </c>
      <c r="T535">
        <v>0</v>
      </c>
      <c r="U535">
        <v>2409</v>
      </c>
    </row>
    <row r="536" spans="1:21" x14ac:dyDescent="0.35">
      <c r="A536">
        <v>2024</v>
      </c>
      <c r="B536">
        <v>7</v>
      </c>
      <c r="C536">
        <v>3</v>
      </c>
      <c r="D536" s="1">
        <v>45474</v>
      </c>
      <c r="E536" s="4" t="s">
        <v>30</v>
      </c>
      <c r="F536" s="4" t="s">
        <v>24</v>
      </c>
      <c r="G536" s="4" t="s">
        <v>109</v>
      </c>
      <c r="H536">
        <v>130</v>
      </c>
      <c r="I536">
        <v>190</v>
      </c>
      <c r="J536">
        <v>1</v>
      </c>
      <c r="K536">
        <v>189</v>
      </c>
      <c r="L536">
        <v>343198.71</v>
      </c>
      <c r="M536">
        <v>1712</v>
      </c>
      <c r="N536">
        <v>341486.71</v>
      </c>
      <c r="O536">
        <v>194856.2</v>
      </c>
      <c r="P536">
        <v>146630.51</v>
      </c>
      <c r="Q536">
        <v>0.4294</v>
      </c>
      <c r="R536">
        <v>14</v>
      </c>
      <c r="S536">
        <v>42226.91</v>
      </c>
      <c r="T536">
        <v>0</v>
      </c>
      <c r="U536">
        <v>2626.82</v>
      </c>
    </row>
    <row r="537" spans="1:21" x14ac:dyDescent="0.35">
      <c r="A537">
        <v>2024</v>
      </c>
      <c r="B537">
        <v>7</v>
      </c>
      <c r="C537">
        <v>3</v>
      </c>
      <c r="D537" s="1">
        <v>45474</v>
      </c>
      <c r="E537" s="4" t="s">
        <v>30</v>
      </c>
      <c r="F537" s="4" t="s">
        <v>26</v>
      </c>
      <c r="G537" s="4" t="s">
        <v>107</v>
      </c>
      <c r="H537">
        <v>1</v>
      </c>
      <c r="I537">
        <v>1</v>
      </c>
      <c r="J537">
        <v>0</v>
      </c>
      <c r="K537">
        <v>1</v>
      </c>
      <c r="L537">
        <v>941</v>
      </c>
      <c r="M537">
        <v>0</v>
      </c>
      <c r="N537">
        <v>941</v>
      </c>
      <c r="O537">
        <v>564.6</v>
      </c>
      <c r="P537">
        <v>376.4</v>
      </c>
      <c r="Q537">
        <v>0.4</v>
      </c>
      <c r="R537">
        <v>0</v>
      </c>
      <c r="S537">
        <v>0</v>
      </c>
      <c r="T537">
        <v>0</v>
      </c>
      <c r="U537">
        <v>941</v>
      </c>
    </row>
    <row r="538" spans="1:21" x14ac:dyDescent="0.35">
      <c r="A538">
        <v>2024</v>
      </c>
      <c r="B538">
        <v>7</v>
      </c>
      <c r="C538">
        <v>3</v>
      </c>
      <c r="D538" s="1">
        <v>45474</v>
      </c>
      <c r="E538" s="4" t="s">
        <v>30</v>
      </c>
      <c r="F538" s="4" t="s">
        <v>26</v>
      </c>
      <c r="G538" s="4" t="s">
        <v>109</v>
      </c>
      <c r="H538">
        <v>31</v>
      </c>
      <c r="I538">
        <v>45</v>
      </c>
      <c r="J538">
        <v>6</v>
      </c>
      <c r="K538">
        <v>39</v>
      </c>
      <c r="L538">
        <v>37223.760000000002</v>
      </c>
      <c r="M538">
        <v>5281</v>
      </c>
      <c r="N538">
        <v>31942.76</v>
      </c>
      <c r="O538">
        <v>19349.400000000001</v>
      </c>
      <c r="P538">
        <v>12593.36</v>
      </c>
      <c r="Q538">
        <v>0.39419999999999999</v>
      </c>
      <c r="R538">
        <v>2</v>
      </c>
      <c r="S538">
        <v>2133.7600000000002</v>
      </c>
      <c r="T538">
        <v>0</v>
      </c>
      <c r="U538">
        <v>1030.4100000000001</v>
      </c>
    </row>
    <row r="539" spans="1:21" x14ac:dyDescent="0.35">
      <c r="A539">
        <v>2024</v>
      </c>
      <c r="B539">
        <v>7</v>
      </c>
      <c r="C539">
        <v>3</v>
      </c>
      <c r="D539" s="1">
        <v>45474</v>
      </c>
      <c r="E539" s="4" t="s">
        <v>78</v>
      </c>
      <c r="F539" s="4" t="s">
        <v>78</v>
      </c>
      <c r="G539" s="4" t="s">
        <v>110</v>
      </c>
      <c r="H539">
        <v>120</v>
      </c>
      <c r="I539">
        <v>164</v>
      </c>
      <c r="J539">
        <v>0</v>
      </c>
      <c r="K539">
        <v>164</v>
      </c>
      <c r="L539">
        <v>356307</v>
      </c>
      <c r="M539">
        <v>0</v>
      </c>
      <c r="N539">
        <v>356307</v>
      </c>
      <c r="O539">
        <v>53446.05</v>
      </c>
      <c r="P539">
        <v>302860.95</v>
      </c>
      <c r="Q539">
        <v>0.85</v>
      </c>
      <c r="R539">
        <v>1</v>
      </c>
      <c r="S539">
        <v>7980</v>
      </c>
      <c r="T539">
        <v>0</v>
      </c>
      <c r="U539">
        <v>2969.23</v>
      </c>
    </row>
    <row r="540" spans="1:21" x14ac:dyDescent="0.35">
      <c r="A540">
        <v>2024</v>
      </c>
      <c r="B540">
        <v>8</v>
      </c>
      <c r="C540">
        <v>3</v>
      </c>
      <c r="D540" s="1">
        <v>45505</v>
      </c>
      <c r="E540" s="4" t="s">
        <v>33</v>
      </c>
      <c r="F540" s="4" t="s">
        <v>28</v>
      </c>
      <c r="G540" s="4" t="s">
        <v>107</v>
      </c>
      <c r="H540">
        <v>98</v>
      </c>
      <c r="I540">
        <v>152</v>
      </c>
      <c r="J540">
        <v>0</v>
      </c>
      <c r="K540">
        <v>152</v>
      </c>
      <c r="L540">
        <v>48008.28</v>
      </c>
      <c r="M540">
        <v>0</v>
      </c>
      <c r="N540">
        <v>48008.28</v>
      </c>
      <c r="O540">
        <v>17599.05</v>
      </c>
      <c r="P540">
        <v>30409.23</v>
      </c>
      <c r="Q540">
        <v>0.63339999999999996</v>
      </c>
      <c r="R540">
        <v>15</v>
      </c>
      <c r="S540">
        <v>8120.28</v>
      </c>
      <c r="T540">
        <v>0</v>
      </c>
      <c r="U540">
        <v>489.88</v>
      </c>
    </row>
    <row r="541" spans="1:21" x14ac:dyDescent="0.35">
      <c r="A541">
        <v>2024</v>
      </c>
      <c r="B541">
        <v>8</v>
      </c>
      <c r="C541">
        <v>3</v>
      </c>
      <c r="D541" s="1">
        <v>45505</v>
      </c>
      <c r="E541" s="4" t="s">
        <v>33</v>
      </c>
      <c r="F541" s="4" t="s">
        <v>28</v>
      </c>
      <c r="G541" s="4" t="s">
        <v>108</v>
      </c>
      <c r="H541">
        <v>43</v>
      </c>
      <c r="I541">
        <v>61</v>
      </c>
      <c r="J541">
        <v>0</v>
      </c>
      <c r="K541">
        <v>61</v>
      </c>
      <c r="L541">
        <v>42235.839999999997</v>
      </c>
      <c r="M541">
        <v>0</v>
      </c>
      <c r="N541">
        <v>42235.839999999997</v>
      </c>
      <c r="O541">
        <v>15201.2</v>
      </c>
      <c r="P541">
        <v>27034.639999999999</v>
      </c>
      <c r="Q541">
        <v>0.6401</v>
      </c>
      <c r="R541">
        <v>5</v>
      </c>
      <c r="S541">
        <v>4499.84</v>
      </c>
      <c r="T541">
        <v>0</v>
      </c>
      <c r="U541">
        <v>982.23</v>
      </c>
    </row>
    <row r="542" spans="1:21" x14ac:dyDescent="0.35">
      <c r="A542">
        <v>2024</v>
      </c>
      <c r="B542">
        <v>8</v>
      </c>
      <c r="C542">
        <v>3</v>
      </c>
      <c r="D542" s="1">
        <v>45505</v>
      </c>
      <c r="E542" s="4" t="s">
        <v>33</v>
      </c>
      <c r="F542" s="4" t="s">
        <v>28</v>
      </c>
      <c r="G542" s="4" t="s">
        <v>109</v>
      </c>
      <c r="H542">
        <v>677</v>
      </c>
      <c r="I542">
        <v>1061</v>
      </c>
      <c r="J542">
        <v>0</v>
      </c>
      <c r="K542">
        <v>1061</v>
      </c>
      <c r="L542">
        <v>553490.56000000006</v>
      </c>
      <c r="M542">
        <v>0</v>
      </c>
      <c r="N542">
        <v>553490.56000000006</v>
      </c>
      <c r="O542">
        <v>200447.8</v>
      </c>
      <c r="P542">
        <v>353042.76</v>
      </c>
      <c r="Q542">
        <v>0.63780000000000003</v>
      </c>
      <c r="R542">
        <v>85</v>
      </c>
      <c r="S542">
        <v>78884.56</v>
      </c>
      <c r="T542">
        <v>0</v>
      </c>
      <c r="U542">
        <v>817.56</v>
      </c>
    </row>
    <row r="543" spans="1:21" x14ac:dyDescent="0.35">
      <c r="A543">
        <v>2024</v>
      </c>
      <c r="B543">
        <v>8</v>
      </c>
      <c r="C543">
        <v>3</v>
      </c>
      <c r="D543" s="1">
        <v>45505</v>
      </c>
      <c r="E543" s="4" t="s">
        <v>33</v>
      </c>
      <c r="F543" s="4" t="s">
        <v>24</v>
      </c>
      <c r="G543" s="4" t="s">
        <v>107</v>
      </c>
      <c r="H543">
        <v>13</v>
      </c>
      <c r="I543">
        <v>16</v>
      </c>
      <c r="J543">
        <v>1</v>
      </c>
      <c r="K543">
        <v>15</v>
      </c>
      <c r="L543">
        <v>25134.080000000002</v>
      </c>
      <c r="M543">
        <v>1395</v>
      </c>
      <c r="N543">
        <v>23739.08</v>
      </c>
      <c r="O543">
        <v>13589.95</v>
      </c>
      <c r="P543">
        <v>10149.129999999999</v>
      </c>
      <c r="Q543">
        <v>0.42749999999999999</v>
      </c>
      <c r="R543">
        <v>2</v>
      </c>
      <c r="S543">
        <v>6951.08</v>
      </c>
      <c r="T543">
        <v>0</v>
      </c>
      <c r="U543">
        <v>1826.08</v>
      </c>
    </row>
    <row r="544" spans="1:21" x14ac:dyDescent="0.35">
      <c r="A544">
        <v>2024</v>
      </c>
      <c r="B544">
        <v>8</v>
      </c>
      <c r="C544">
        <v>3</v>
      </c>
      <c r="D544" s="1">
        <v>45505</v>
      </c>
      <c r="E544" s="4" t="s">
        <v>33</v>
      </c>
      <c r="F544" s="4" t="s">
        <v>24</v>
      </c>
      <c r="G544" s="4" t="s">
        <v>109</v>
      </c>
      <c r="H544">
        <v>131</v>
      </c>
      <c r="I544">
        <v>189</v>
      </c>
      <c r="J544">
        <v>5</v>
      </c>
      <c r="K544">
        <v>184</v>
      </c>
      <c r="L544">
        <v>302123.81</v>
      </c>
      <c r="M544">
        <v>10425</v>
      </c>
      <c r="N544">
        <v>291698.81</v>
      </c>
      <c r="O544">
        <v>165998.25</v>
      </c>
      <c r="P544">
        <v>125700.56</v>
      </c>
      <c r="Q544">
        <v>0.43090000000000001</v>
      </c>
      <c r="R544">
        <v>14</v>
      </c>
      <c r="S544">
        <v>38010.81</v>
      </c>
      <c r="T544">
        <v>0</v>
      </c>
      <c r="U544">
        <v>2226.71</v>
      </c>
    </row>
    <row r="545" spans="1:21" x14ac:dyDescent="0.35">
      <c r="A545">
        <v>2024</v>
      </c>
      <c r="B545">
        <v>8</v>
      </c>
      <c r="C545">
        <v>3</v>
      </c>
      <c r="D545" s="1">
        <v>45505</v>
      </c>
      <c r="E545" s="4" t="s">
        <v>33</v>
      </c>
      <c r="F545" s="4" t="s">
        <v>26</v>
      </c>
      <c r="G545" s="4" t="s">
        <v>107</v>
      </c>
      <c r="H545">
        <v>7</v>
      </c>
      <c r="I545">
        <v>8</v>
      </c>
      <c r="J545">
        <v>0</v>
      </c>
      <c r="K545">
        <v>8</v>
      </c>
      <c r="L545">
        <v>4389</v>
      </c>
      <c r="M545">
        <v>0</v>
      </c>
      <c r="N545">
        <v>4389</v>
      </c>
      <c r="O545">
        <v>2805.6</v>
      </c>
      <c r="P545">
        <v>1583.4</v>
      </c>
      <c r="Q545">
        <v>0.36080000000000001</v>
      </c>
      <c r="R545">
        <v>2</v>
      </c>
      <c r="S545">
        <v>1463</v>
      </c>
      <c r="T545">
        <v>0</v>
      </c>
      <c r="U545">
        <v>627</v>
      </c>
    </row>
    <row r="546" spans="1:21" x14ac:dyDescent="0.35">
      <c r="A546">
        <v>2024</v>
      </c>
      <c r="B546">
        <v>8</v>
      </c>
      <c r="C546">
        <v>3</v>
      </c>
      <c r="D546" s="1">
        <v>45505</v>
      </c>
      <c r="E546" s="4" t="s">
        <v>33</v>
      </c>
      <c r="F546" s="4" t="s">
        <v>26</v>
      </c>
      <c r="G546" s="4" t="s">
        <v>108</v>
      </c>
      <c r="H546">
        <v>2</v>
      </c>
      <c r="I546">
        <v>3</v>
      </c>
      <c r="J546">
        <v>0</v>
      </c>
      <c r="K546">
        <v>3</v>
      </c>
      <c r="L546">
        <v>2065</v>
      </c>
      <c r="M546">
        <v>0</v>
      </c>
      <c r="N546">
        <v>2065</v>
      </c>
      <c r="O546">
        <v>1575</v>
      </c>
      <c r="P546">
        <v>490</v>
      </c>
      <c r="Q546">
        <v>0.23730000000000001</v>
      </c>
      <c r="R546">
        <v>1</v>
      </c>
      <c r="S546">
        <v>1190</v>
      </c>
      <c r="T546">
        <v>0</v>
      </c>
      <c r="U546">
        <v>1032.5</v>
      </c>
    </row>
    <row r="547" spans="1:21" x14ac:dyDescent="0.35">
      <c r="A547">
        <v>2024</v>
      </c>
      <c r="B547">
        <v>8</v>
      </c>
      <c r="C547">
        <v>3</v>
      </c>
      <c r="D547" s="1">
        <v>45505</v>
      </c>
      <c r="E547" s="4" t="s">
        <v>33</v>
      </c>
      <c r="F547" s="4" t="s">
        <v>26</v>
      </c>
      <c r="G547" s="4" t="s">
        <v>109</v>
      </c>
      <c r="H547">
        <v>46</v>
      </c>
      <c r="I547">
        <v>66</v>
      </c>
      <c r="J547">
        <v>5</v>
      </c>
      <c r="K547">
        <v>61</v>
      </c>
      <c r="L547">
        <v>47427.519999999997</v>
      </c>
      <c r="M547">
        <v>4265</v>
      </c>
      <c r="N547">
        <v>43162.52</v>
      </c>
      <c r="O547">
        <v>26106</v>
      </c>
      <c r="P547">
        <v>17056.52</v>
      </c>
      <c r="Q547">
        <v>0.3952</v>
      </c>
      <c r="R547">
        <v>2</v>
      </c>
      <c r="S547">
        <v>1165.52</v>
      </c>
      <c r="T547">
        <v>0</v>
      </c>
      <c r="U547">
        <v>938.32</v>
      </c>
    </row>
    <row r="548" spans="1:21" x14ac:dyDescent="0.35">
      <c r="A548">
        <v>2024</v>
      </c>
      <c r="B548">
        <v>8</v>
      </c>
      <c r="C548">
        <v>3</v>
      </c>
      <c r="D548" s="1">
        <v>45505</v>
      </c>
      <c r="E548" s="4" t="s">
        <v>32</v>
      </c>
      <c r="F548" s="4" t="s">
        <v>28</v>
      </c>
      <c r="G548" s="4" t="s">
        <v>107</v>
      </c>
      <c r="H548">
        <v>28</v>
      </c>
      <c r="I548">
        <v>42</v>
      </c>
      <c r="J548">
        <v>0</v>
      </c>
      <c r="K548">
        <v>42</v>
      </c>
      <c r="L548">
        <v>18010.18</v>
      </c>
      <c r="M548">
        <v>0</v>
      </c>
      <c r="N548">
        <v>18010.18</v>
      </c>
      <c r="O548">
        <v>6673.8</v>
      </c>
      <c r="P548">
        <v>11336.38</v>
      </c>
      <c r="Q548">
        <v>0.62939999999999996</v>
      </c>
      <c r="R548">
        <v>6</v>
      </c>
      <c r="S548">
        <v>4390.18</v>
      </c>
      <c r="T548">
        <v>0</v>
      </c>
      <c r="U548">
        <v>643.22</v>
      </c>
    </row>
    <row r="549" spans="1:21" x14ac:dyDescent="0.35">
      <c r="A549">
        <v>2024</v>
      </c>
      <c r="B549">
        <v>8</v>
      </c>
      <c r="C549">
        <v>3</v>
      </c>
      <c r="D549" s="1">
        <v>45505</v>
      </c>
      <c r="E549" s="4" t="s">
        <v>32</v>
      </c>
      <c r="F549" s="4" t="s">
        <v>28</v>
      </c>
      <c r="G549" s="4" t="s">
        <v>109</v>
      </c>
      <c r="H549">
        <v>457</v>
      </c>
      <c r="I549">
        <v>684</v>
      </c>
      <c r="J549">
        <v>0</v>
      </c>
      <c r="K549">
        <v>684</v>
      </c>
      <c r="L549">
        <v>235798.04</v>
      </c>
      <c r="M549">
        <v>0</v>
      </c>
      <c r="N549">
        <v>235798.04</v>
      </c>
      <c r="O549">
        <v>85133.65</v>
      </c>
      <c r="P549">
        <v>150664.39000000001</v>
      </c>
      <c r="Q549">
        <v>0.63900000000000001</v>
      </c>
      <c r="R549">
        <v>53</v>
      </c>
      <c r="S549">
        <v>30294.04</v>
      </c>
      <c r="T549">
        <v>0</v>
      </c>
      <c r="U549">
        <v>515.97</v>
      </c>
    </row>
    <row r="550" spans="1:21" x14ac:dyDescent="0.35">
      <c r="A550">
        <v>2024</v>
      </c>
      <c r="B550">
        <v>8</v>
      </c>
      <c r="C550">
        <v>3</v>
      </c>
      <c r="D550" s="1">
        <v>45505</v>
      </c>
      <c r="E550" s="4" t="s">
        <v>32</v>
      </c>
      <c r="F550" s="4" t="s">
        <v>24</v>
      </c>
      <c r="G550" s="4" t="s">
        <v>107</v>
      </c>
      <c r="H550">
        <v>50</v>
      </c>
      <c r="I550">
        <v>79</v>
      </c>
      <c r="J550">
        <v>0</v>
      </c>
      <c r="K550">
        <v>79</v>
      </c>
      <c r="L550">
        <v>112886.7</v>
      </c>
      <c r="M550">
        <v>0</v>
      </c>
      <c r="N550">
        <v>112886.7</v>
      </c>
      <c r="O550">
        <v>65521.5</v>
      </c>
      <c r="P550">
        <v>47365.2</v>
      </c>
      <c r="Q550">
        <v>0.41959999999999997</v>
      </c>
      <c r="R550">
        <v>9</v>
      </c>
      <c r="S550">
        <v>22943.7</v>
      </c>
      <c r="T550">
        <v>0</v>
      </c>
      <c r="U550">
        <v>2257.73</v>
      </c>
    </row>
    <row r="551" spans="1:21" x14ac:dyDescent="0.35">
      <c r="A551">
        <v>2024</v>
      </c>
      <c r="B551">
        <v>8</v>
      </c>
      <c r="C551">
        <v>3</v>
      </c>
      <c r="D551" s="1">
        <v>45505</v>
      </c>
      <c r="E551" s="4" t="s">
        <v>32</v>
      </c>
      <c r="F551" s="4" t="s">
        <v>24</v>
      </c>
      <c r="G551" s="4" t="s">
        <v>109</v>
      </c>
      <c r="H551">
        <v>168</v>
      </c>
      <c r="I551">
        <v>252</v>
      </c>
      <c r="J551">
        <v>2</v>
      </c>
      <c r="K551">
        <v>250</v>
      </c>
      <c r="L551">
        <v>340876.58</v>
      </c>
      <c r="M551">
        <v>1975</v>
      </c>
      <c r="N551">
        <v>338901.58</v>
      </c>
      <c r="O551">
        <v>192243.15</v>
      </c>
      <c r="P551">
        <v>146658.43</v>
      </c>
      <c r="Q551">
        <v>0.43269999999999997</v>
      </c>
      <c r="R551">
        <v>20</v>
      </c>
      <c r="S551">
        <v>56427.58</v>
      </c>
      <c r="T551">
        <v>0</v>
      </c>
      <c r="U551">
        <v>2017.27</v>
      </c>
    </row>
    <row r="552" spans="1:21" x14ac:dyDescent="0.35">
      <c r="A552">
        <v>2024</v>
      </c>
      <c r="B552">
        <v>8</v>
      </c>
      <c r="C552">
        <v>3</v>
      </c>
      <c r="D552" s="1">
        <v>45505</v>
      </c>
      <c r="E552" s="4" t="s">
        <v>32</v>
      </c>
      <c r="F552" s="4" t="s">
        <v>26</v>
      </c>
      <c r="G552" s="4" t="s">
        <v>107</v>
      </c>
      <c r="H552">
        <v>1</v>
      </c>
      <c r="I552">
        <v>1</v>
      </c>
      <c r="J552">
        <v>0</v>
      </c>
      <c r="K552">
        <v>1</v>
      </c>
      <c r="L552">
        <v>896</v>
      </c>
      <c r="M552">
        <v>0</v>
      </c>
      <c r="N552">
        <v>896</v>
      </c>
      <c r="O552">
        <v>537.6</v>
      </c>
      <c r="P552">
        <v>358.4</v>
      </c>
      <c r="Q552">
        <v>0.4</v>
      </c>
      <c r="R552">
        <v>0</v>
      </c>
      <c r="S552">
        <v>0</v>
      </c>
      <c r="T552">
        <v>0</v>
      </c>
      <c r="U552">
        <v>896</v>
      </c>
    </row>
    <row r="553" spans="1:21" x14ac:dyDescent="0.35">
      <c r="A553">
        <v>2024</v>
      </c>
      <c r="B553">
        <v>8</v>
      </c>
      <c r="C553">
        <v>3</v>
      </c>
      <c r="D553" s="1">
        <v>45505</v>
      </c>
      <c r="E553" s="4" t="s">
        <v>32</v>
      </c>
      <c r="F553" s="4" t="s">
        <v>26</v>
      </c>
      <c r="G553" s="4" t="s">
        <v>108</v>
      </c>
      <c r="H553">
        <v>4</v>
      </c>
      <c r="I553">
        <v>7</v>
      </c>
      <c r="J553">
        <v>0</v>
      </c>
      <c r="K553">
        <v>7</v>
      </c>
      <c r="L553">
        <v>2205</v>
      </c>
      <c r="M553">
        <v>0</v>
      </c>
      <c r="N553">
        <v>2205</v>
      </c>
      <c r="O553">
        <v>1323</v>
      </c>
      <c r="P553">
        <v>882</v>
      </c>
      <c r="Q553">
        <v>0.4</v>
      </c>
      <c r="R553">
        <v>0</v>
      </c>
      <c r="S553">
        <v>0</v>
      </c>
      <c r="T553">
        <v>0</v>
      </c>
      <c r="U553">
        <v>551.25</v>
      </c>
    </row>
    <row r="554" spans="1:21" x14ac:dyDescent="0.35">
      <c r="A554">
        <v>2024</v>
      </c>
      <c r="B554">
        <v>8</v>
      </c>
      <c r="C554">
        <v>3</v>
      </c>
      <c r="D554" s="1">
        <v>45505</v>
      </c>
      <c r="E554" s="4" t="s">
        <v>32</v>
      </c>
      <c r="F554" s="4" t="s">
        <v>26</v>
      </c>
      <c r="G554" s="4" t="s">
        <v>109</v>
      </c>
      <c r="H554">
        <v>46</v>
      </c>
      <c r="I554">
        <v>72</v>
      </c>
      <c r="J554">
        <v>0</v>
      </c>
      <c r="K554">
        <v>72</v>
      </c>
      <c r="L554">
        <v>47087.6</v>
      </c>
      <c r="M554">
        <v>0</v>
      </c>
      <c r="N554">
        <v>47087.6</v>
      </c>
      <c r="O554">
        <v>29202</v>
      </c>
      <c r="P554">
        <v>17885.599999999999</v>
      </c>
      <c r="Q554">
        <v>0.37980000000000003</v>
      </c>
      <c r="R554">
        <v>6</v>
      </c>
      <c r="S554">
        <v>9818.6</v>
      </c>
      <c r="T554">
        <v>0</v>
      </c>
      <c r="U554">
        <v>1023.64</v>
      </c>
    </row>
    <row r="555" spans="1:21" x14ac:dyDescent="0.35">
      <c r="A555">
        <v>2024</v>
      </c>
      <c r="B555">
        <v>8</v>
      </c>
      <c r="C555">
        <v>3</v>
      </c>
      <c r="D555" s="1">
        <v>45505</v>
      </c>
      <c r="E555" s="4" t="s">
        <v>27</v>
      </c>
      <c r="F555" s="4" t="s">
        <v>28</v>
      </c>
      <c r="G555" s="4" t="s">
        <v>107</v>
      </c>
      <c r="H555">
        <v>248</v>
      </c>
      <c r="I555">
        <v>393</v>
      </c>
      <c r="J555">
        <v>0</v>
      </c>
      <c r="K555">
        <v>393</v>
      </c>
      <c r="L555">
        <v>177798.43</v>
      </c>
      <c r="M555">
        <v>0</v>
      </c>
      <c r="N555">
        <v>177798.43</v>
      </c>
      <c r="O555">
        <v>64030.400000000001</v>
      </c>
      <c r="P555">
        <v>113768.03</v>
      </c>
      <c r="Q555">
        <v>0.63990000000000002</v>
      </c>
      <c r="R555">
        <v>31</v>
      </c>
      <c r="S555">
        <v>25545.43</v>
      </c>
      <c r="T555">
        <v>0</v>
      </c>
      <c r="U555">
        <v>716.93</v>
      </c>
    </row>
    <row r="556" spans="1:21" x14ac:dyDescent="0.35">
      <c r="A556">
        <v>2024</v>
      </c>
      <c r="B556">
        <v>8</v>
      </c>
      <c r="C556">
        <v>3</v>
      </c>
      <c r="D556" s="1">
        <v>45505</v>
      </c>
      <c r="E556" s="4" t="s">
        <v>27</v>
      </c>
      <c r="F556" s="4" t="s">
        <v>28</v>
      </c>
      <c r="G556" s="4" t="s">
        <v>109</v>
      </c>
      <c r="H556">
        <v>714</v>
      </c>
      <c r="I556">
        <v>1087</v>
      </c>
      <c r="J556">
        <v>0</v>
      </c>
      <c r="K556">
        <v>1087</v>
      </c>
      <c r="L556">
        <v>598720.09</v>
      </c>
      <c r="M556">
        <v>0</v>
      </c>
      <c r="N556">
        <v>598720.09</v>
      </c>
      <c r="O556">
        <v>216857.2</v>
      </c>
      <c r="P556">
        <v>381862.89</v>
      </c>
      <c r="Q556">
        <v>0.63780000000000003</v>
      </c>
      <c r="R556">
        <v>79</v>
      </c>
      <c r="S556">
        <v>79734.81</v>
      </c>
      <c r="T556">
        <v>0</v>
      </c>
      <c r="U556">
        <v>838.54</v>
      </c>
    </row>
    <row r="557" spans="1:21" x14ac:dyDescent="0.35">
      <c r="A557">
        <v>2024</v>
      </c>
      <c r="B557">
        <v>8</v>
      </c>
      <c r="C557">
        <v>3</v>
      </c>
      <c r="D557" s="1">
        <v>45505</v>
      </c>
      <c r="E557" s="4" t="s">
        <v>27</v>
      </c>
      <c r="F557" s="4" t="s">
        <v>24</v>
      </c>
      <c r="G557" s="4" t="s">
        <v>107</v>
      </c>
      <c r="H557">
        <v>55</v>
      </c>
      <c r="I557">
        <v>85</v>
      </c>
      <c r="J557">
        <v>0</v>
      </c>
      <c r="K557">
        <v>85</v>
      </c>
      <c r="L557">
        <v>141151.5</v>
      </c>
      <c r="M557">
        <v>0</v>
      </c>
      <c r="N557">
        <v>141151.5</v>
      </c>
      <c r="O557">
        <v>82229.95</v>
      </c>
      <c r="P557">
        <v>58921.55</v>
      </c>
      <c r="Q557">
        <v>0.41739999999999999</v>
      </c>
      <c r="R557">
        <v>8</v>
      </c>
      <c r="S557">
        <v>25711.5</v>
      </c>
      <c r="T557">
        <v>0</v>
      </c>
      <c r="U557">
        <v>2566.39</v>
      </c>
    </row>
    <row r="558" spans="1:21" x14ac:dyDescent="0.35">
      <c r="A558">
        <v>2024</v>
      </c>
      <c r="B558">
        <v>8</v>
      </c>
      <c r="C558">
        <v>3</v>
      </c>
      <c r="D558" s="1">
        <v>45505</v>
      </c>
      <c r="E558" s="4" t="s">
        <v>27</v>
      </c>
      <c r="F558" s="4" t="s">
        <v>24</v>
      </c>
      <c r="G558" s="4" t="s">
        <v>109</v>
      </c>
      <c r="H558">
        <v>242</v>
      </c>
      <c r="I558">
        <v>366</v>
      </c>
      <c r="J558">
        <v>22</v>
      </c>
      <c r="K558">
        <v>344</v>
      </c>
      <c r="L558">
        <v>577435.22</v>
      </c>
      <c r="M558">
        <v>41562.800000000003</v>
      </c>
      <c r="N558">
        <v>535872.42000000004</v>
      </c>
      <c r="O558">
        <v>302894.90000000002</v>
      </c>
      <c r="P558">
        <v>232977.52</v>
      </c>
      <c r="Q558">
        <v>0.43480000000000002</v>
      </c>
      <c r="R558">
        <v>29</v>
      </c>
      <c r="S558">
        <v>59638.42</v>
      </c>
      <c r="T558">
        <v>0</v>
      </c>
      <c r="U558">
        <v>2214.35</v>
      </c>
    </row>
    <row r="559" spans="1:21" x14ac:dyDescent="0.35">
      <c r="A559">
        <v>2024</v>
      </c>
      <c r="B559">
        <v>8</v>
      </c>
      <c r="C559">
        <v>3</v>
      </c>
      <c r="D559" s="1">
        <v>45505</v>
      </c>
      <c r="E559" s="4" t="s">
        <v>27</v>
      </c>
      <c r="F559" s="4" t="s">
        <v>26</v>
      </c>
      <c r="G559" s="4" t="s">
        <v>107</v>
      </c>
      <c r="H559">
        <v>7</v>
      </c>
      <c r="I559">
        <v>9</v>
      </c>
      <c r="J559">
        <v>0</v>
      </c>
      <c r="K559">
        <v>9</v>
      </c>
      <c r="L559">
        <v>6299.51</v>
      </c>
      <c r="M559">
        <v>0</v>
      </c>
      <c r="N559">
        <v>6299.51</v>
      </c>
      <c r="O559">
        <v>3842.4</v>
      </c>
      <c r="P559">
        <v>2457.11</v>
      </c>
      <c r="Q559">
        <v>0.39</v>
      </c>
      <c r="R559">
        <v>1</v>
      </c>
      <c r="S559">
        <v>282.51</v>
      </c>
      <c r="T559">
        <v>0</v>
      </c>
      <c r="U559">
        <v>899.93</v>
      </c>
    </row>
    <row r="560" spans="1:21" x14ac:dyDescent="0.35">
      <c r="A560">
        <v>2024</v>
      </c>
      <c r="B560">
        <v>8</v>
      </c>
      <c r="C560">
        <v>3</v>
      </c>
      <c r="D560" s="1">
        <v>45505</v>
      </c>
      <c r="E560" s="4" t="s">
        <v>27</v>
      </c>
      <c r="F560" s="4" t="s">
        <v>26</v>
      </c>
      <c r="G560" s="4" t="s">
        <v>109</v>
      </c>
      <c r="H560">
        <v>40</v>
      </c>
      <c r="I560">
        <v>61</v>
      </c>
      <c r="J560">
        <v>0</v>
      </c>
      <c r="K560">
        <v>61</v>
      </c>
      <c r="L560">
        <v>36762.54</v>
      </c>
      <c r="M560">
        <v>0</v>
      </c>
      <c r="N560">
        <v>36762.54</v>
      </c>
      <c r="O560">
        <v>22767</v>
      </c>
      <c r="P560">
        <v>13995.54</v>
      </c>
      <c r="Q560">
        <v>0.38069999999999998</v>
      </c>
      <c r="R560">
        <v>4</v>
      </c>
      <c r="S560">
        <v>6339.54</v>
      </c>
      <c r="T560">
        <v>0</v>
      </c>
      <c r="U560">
        <v>919.06</v>
      </c>
    </row>
    <row r="561" spans="1:21" x14ac:dyDescent="0.35">
      <c r="A561">
        <v>2024</v>
      </c>
      <c r="B561">
        <v>8</v>
      </c>
      <c r="C561">
        <v>3</v>
      </c>
      <c r="D561" s="1">
        <v>45505</v>
      </c>
      <c r="E561" s="4" t="s">
        <v>34</v>
      </c>
      <c r="F561" s="4" t="s">
        <v>28</v>
      </c>
      <c r="G561" s="4" t="s">
        <v>107</v>
      </c>
      <c r="H561">
        <v>167</v>
      </c>
      <c r="I561">
        <v>264</v>
      </c>
      <c r="J561">
        <v>0</v>
      </c>
      <c r="K561">
        <v>264</v>
      </c>
      <c r="L561">
        <v>173275.9</v>
      </c>
      <c r="M561">
        <v>0</v>
      </c>
      <c r="N561">
        <v>173275.9</v>
      </c>
      <c r="O561">
        <v>62784.4</v>
      </c>
      <c r="P561">
        <v>110491.5</v>
      </c>
      <c r="Q561">
        <v>0.63770000000000004</v>
      </c>
      <c r="R561">
        <v>22</v>
      </c>
      <c r="S561">
        <v>28989.43</v>
      </c>
      <c r="T561">
        <v>0</v>
      </c>
      <c r="U561">
        <v>1037.58</v>
      </c>
    </row>
    <row r="562" spans="1:21" x14ac:dyDescent="0.35">
      <c r="A562">
        <v>2024</v>
      </c>
      <c r="B562">
        <v>8</v>
      </c>
      <c r="C562">
        <v>3</v>
      </c>
      <c r="D562" s="1">
        <v>45505</v>
      </c>
      <c r="E562" s="4" t="s">
        <v>34</v>
      </c>
      <c r="F562" s="4" t="s">
        <v>28</v>
      </c>
      <c r="G562" s="4" t="s">
        <v>108</v>
      </c>
      <c r="H562">
        <v>45</v>
      </c>
      <c r="I562">
        <v>72</v>
      </c>
      <c r="J562">
        <v>0</v>
      </c>
      <c r="K562">
        <v>72</v>
      </c>
      <c r="L562">
        <v>28887.06</v>
      </c>
      <c r="M562">
        <v>0</v>
      </c>
      <c r="N562">
        <v>28887.06</v>
      </c>
      <c r="O562">
        <v>10735.2</v>
      </c>
      <c r="P562">
        <v>18151.86</v>
      </c>
      <c r="Q562">
        <v>0.62839999999999996</v>
      </c>
      <c r="R562">
        <v>8</v>
      </c>
      <c r="S562">
        <v>6735.06</v>
      </c>
      <c r="T562">
        <v>0</v>
      </c>
      <c r="U562">
        <v>641.92999999999995</v>
      </c>
    </row>
    <row r="563" spans="1:21" x14ac:dyDescent="0.35">
      <c r="A563">
        <v>2024</v>
      </c>
      <c r="B563">
        <v>8</v>
      </c>
      <c r="C563">
        <v>3</v>
      </c>
      <c r="D563" s="1">
        <v>45505</v>
      </c>
      <c r="E563" s="4" t="s">
        <v>34</v>
      </c>
      <c r="F563" s="4" t="s">
        <v>28</v>
      </c>
      <c r="G563" s="4" t="s">
        <v>109</v>
      </c>
      <c r="H563">
        <v>619</v>
      </c>
      <c r="I563">
        <v>936</v>
      </c>
      <c r="J563">
        <v>0</v>
      </c>
      <c r="K563">
        <v>936</v>
      </c>
      <c r="L563">
        <v>443237.04</v>
      </c>
      <c r="M563">
        <v>0</v>
      </c>
      <c r="N563">
        <v>443237.04</v>
      </c>
      <c r="O563">
        <v>160510</v>
      </c>
      <c r="P563">
        <v>282727.03999999998</v>
      </c>
      <c r="Q563">
        <v>0.63790000000000002</v>
      </c>
      <c r="R563">
        <v>79</v>
      </c>
      <c r="S563">
        <v>64008.68</v>
      </c>
      <c r="T563">
        <v>0</v>
      </c>
      <c r="U563">
        <v>716.05</v>
      </c>
    </row>
    <row r="564" spans="1:21" x14ac:dyDescent="0.35">
      <c r="A564">
        <v>2024</v>
      </c>
      <c r="B564">
        <v>8</v>
      </c>
      <c r="C564">
        <v>3</v>
      </c>
      <c r="D564" s="1">
        <v>45505</v>
      </c>
      <c r="E564" s="4" t="s">
        <v>34</v>
      </c>
      <c r="F564" s="4" t="s">
        <v>24</v>
      </c>
      <c r="G564" s="4" t="s">
        <v>107</v>
      </c>
      <c r="H564">
        <v>67</v>
      </c>
      <c r="I564">
        <v>99</v>
      </c>
      <c r="J564">
        <v>1</v>
      </c>
      <c r="K564">
        <v>98</v>
      </c>
      <c r="L564">
        <v>164600.07999999999</v>
      </c>
      <c r="M564">
        <v>1717</v>
      </c>
      <c r="N564">
        <v>162883.07999999999</v>
      </c>
      <c r="O564">
        <v>90732.95</v>
      </c>
      <c r="P564">
        <v>72150.13</v>
      </c>
      <c r="Q564">
        <v>0.443</v>
      </c>
      <c r="R564">
        <v>5</v>
      </c>
      <c r="S564">
        <v>10500.08</v>
      </c>
      <c r="T564">
        <v>0</v>
      </c>
      <c r="U564">
        <v>2431.09</v>
      </c>
    </row>
    <row r="565" spans="1:21" x14ac:dyDescent="0.35">
      <c r="A565">
        <v>2024</v>
      </c>
      <c r="B565">
        <v>8</v>
      </c>
      <c r="C565">
        <v>3</v>
      </c>
      <c r="D565" s="1">
        <v>45505</v>
      </c>
      <c r="E565" s="4" t="s">
        <v>34</v>
      </c>
      <c r="F565" s="4" t="s">
        <v>24</v>
      </c>
      <c r="G565" s="4" t="s">
        <v>108</v>
      </c>
      <c r="H565">
        <v>19</v>
      </c>
      <c r="I565">
        <v>26</v>
      </c>
      <c r="J565">
        <v>0</v>
      </c>
      <c r="K565">
        <v>26</v>
      </c>
      <c r="L565">
        <v>35440.300000000003</v>
      </c>
      <c r="M565">
        <v>0</v>
      </c>
      <c r="N565">
        <v>35440.300000000003</v>
      </c>
      <c r="O565">
        <v>19719.7</v>
      </c>
      <c r="P565">
        <v>15720.6</v>
      </c>
      <c r="Q565">
        <v>0.44359999999999999</v>
      </c>
      <c r="R565">
        <v>1</v>
      </c>
      <c r="S565">
        <v>2344.3000000000002</v>
      </c>
      <c r="T565">
        <v>0</v>
      </c>
      <c r="U565">
        <v>1865.28</v>
      </c>
    </row>
    <row r="566" spans="1:21" x14ac:dyDescent="0.35">
      <c r="A566">
        <v>2024</v>
      </c>
      <c r="B566">
        <v>8</v>
      </c>
      <c r="C566">
        <v>3</v>
      </c>
      <c r="D566" s="1">
        <v>45505</v>
      </c>
      <c r="E566" s="4" t="s">
        <v>34</v>
      </c>
      <c r="F566" s="4" t="s">
        <v>24</v>
      </c>
      <c r="G566" s="4" t="s">
        <v>109</v>
      </c>
      <c r="H566">
        <v>168</v>
      </c>
      <c r="I566">
        <v>248</v>
      </c>
      <c r="J566">
        <v>3</v>
      </c>
      <c r="K566">
        <v>245</v>
      </c>
      <c r="L566">
        <v>424310.49</v>
      </c>
      <c r="M566">
        <v>3590</v>
      </c>
      <c r="N566">
        <v>420720.49</v>
      </c>
      <c r="O566">
        <v>239474.4</v>
      </c>
      <c r="P566">
        <v>181246.09</v>
      </c>
      <c r="Q566">
        <v>0.43080000000000002</v>
      </c>
      <c r="R566">
        <v>19</v>
      </c>
      <c r="S566">
        <v>58684.92</v>
      </c>
      <c r="T566">
        <v>0</v>
      </c>
      <c r="U566">
        <v>2504.29</v>
      </c>
    </row>
    <row r="567" spans="1:21" x14ac:dyDescent="0.35">
      <c r="A567">
        <v>2024</v>
      </c>
      <c r="B567">
        <v>8</v>
      </c>
      <c r="C567">
        <v>3</v>
      </c>
      <c r="D567" s="1">
        <v>45505</v>
      </c>
      <c r="E567" s="4" t="s">
        <v>34</v>
      </c>
      <c r="F567" s="4" t="s">
        <v>26</v>
      </c>
      <c r="G567" s="4" t="s">
        <v>107</v>
      </c>
      <c r="H567">
        <v>5</v>
      </c>
      <c r="I567">
        <v>7</v>
      </c>
      <c r="J567">
        <v>0</v>
      </c>
      <c r="K567">
        <v>7</v>
      </c>
      <c r="L567">
        <v>3698</v>
      </c>
      <c r="M567">
        <v>0</v>
      </c>
      <c r="N567">
        <v>3698</v>
      </c>
      <c r="O567">
        <v>2218.8000000000002</v>
      </c>
      <c r="P567">
        <v>1479.2</v>
      </c>
      <c r="Q567">
        <v>0.4</v>
      </c>
      <c r="R567">
        <v>0</v>
      </c>
      <c r="S567">
        <v>0</v>
      </c>
      <c r="T567">
        <v>0</v>
      </c>
      <c r="U567">
        <v>739.6</v>
      </c>
    </row>
    <row r="568" spans="1:21" x14ac:dyDescent="0.35">
      <c r="A568">
        <v>2024</v>
      </c>
      <c r="B568">
        <v>8</v>
      </c>
      <c r="C568">
        <v>3</v>
      </c>
      <c r="D568" s="1">
        <v>45505</v>
      </c>
      <c r="E568" s="4" t="s">
        <v>34</v>
      </c>
      <c r="F568" s="4" t="s">
        <v>26</v>
      </c>
      <c r="G568" s="4" t="s">
        <v>108</v>
      </c>
      <c r="H568">
        <v>2</v>
      </c>
      <c r="I568">
        <v>2</v>
      </c>
      <c r="J568">
        <v>0</v>
      </c>
      <c r="K568">
        <v>2</v>
      </c>
      <c r="L568">
        <v>732</v>
      </c>
      <c r="M568">
        <v>0</v>
      </c>
      <c r="N568">
        <v>732</v>
      </c>
      <c r="O568">
        <v>439.2</v>
      </c>
      <c r="P568">
        <v>292.8</v>
      </c>
      <c r="Q568">
        <v>0.4</v>
      </c>
      <c r="R568">
        <v>0</v>
      </c>
      <c r="S568">
        <v>0</v>
      </c>
      <c r="T568">
        <v>0</v>
      </c>
      <c r="U568">
        <v>366</v>
      </c>
    </row>
    <row r="569" spans="1:21" x14ac:dyDescent="0.35">
      <c r="A569">
        <v>2024</v>
      </c>
      <c r="B569">
        <v>8</v>
      </c>
      <c r="C569">
        <v>3</v>
      </c>
      <c r="D569" s="1">
        <v>45505</v>
      </c>
      <c r="E569" s="4" t="s">
        <v>34</v>
      </c>
      <c r="F569" s="4" t="s">
        <v>26</v>
      </c>
      <c r="G569" s="4" t="s">
        <v>109</v>
      </c>
      <c r="H569">
        <v>40</v>
      </c>
      <c r="I569">
        <v>66</v>
      </c>
      <c r="J569">
        <v>0</v>
      </c>
      <c r="K569">
        <v>66</v>
      </c>
      <c r="L569">
        <v>41484.910000000003</v>
      </c>
      <c r="M569">
        <v>0</v>
      </c>
      <c r="N569">
        <v>41484.910000000003</v>
      </c>
      <c r="O569">
        <v>25866</v>
      </c>
      <c r="P569">
        <v>15618.91</v>
      </c>
      <c r="Q569">
        <v>0.3765</v>
      </c>
      <c r="R569">
        <v>6</v>
      </c>
      <c r="S569">
        <v>8283.91</v>
      </c>
      <c r="T569">
        <v>0</v>
      </c>
      <c r="U569">
        <v>1037.1199999999999</v>
      </c>
    </row>
    <row r="570" spans="1:21" x14ac:dyDescent="0.35">
      <c r="A570">
        <v>2024</v>
      </c>
      <c r="B570">
        <v>8</v>
      </c>
      <c r="C570">
        <v>3</v>
      </c>
      <c r="D570" s="1">
        <v>45505</v>
      </c>
      <c r="E570" s="4" t="s">
        <v>36</v>
      </c>
      <c r="F570" s="4" t="s">
        <v>28</v>
      </c>
      <c r="G570" s="4" t="s">
        <v>107</v>
      </c>
      <c r="H570">
        <v>63</v>
      </c>
      <c r="I570">
        <v>84</v>
      </c>
      <c r="J570">
        <v>0</v>
      </c>
      <c r="K570">
        <v>84</v>
      </c>
      <c r="L570">
        <v>51278.92</v>
      </c>
      <c r="M570">
        <v>0</v>
      </c>
      <c r="N570">
        <v>51278.92</v>
      </c>
      <c r="O570">
        <v>18688.95</v>
      </c>
      <c r="P570">
        <v>32589.97</v>
      </c>
      <c r="Q570">
        <v>0.63549999999999995</v>
      </c>
      <c r="R570">
        <v>9</v>
      </c>
      <c r="S570">
        <v>7590.92</v>
      </c>
      <c r="T570">
        <v>0</v>
      </c>
      <c r="U570">
        <v>813.95</v>
      </c>
    </row>
    <row r="571" spans="1:21" x14ac:dyDescent="0.35">
      <c r="A571">
        <v>2024</v>
      </c>
      <c r="B571">
        <v>8</v>
      </c>
      <c r="C571">
        <v>3</v>
      </c>
      <c r="D571" s="1">
        <v>45505</v>
      </c>
      <c r="E571" s="4" t="s">
        <v>36</v>
      </c>
      <c r="F571" s="4" t="s">
        <v>28</v>
      </c>
      <c r="G571" s="4" t="s">
        <v>108</v>
      </c>
      <c r="H571">
        <v>135</v>
      </c>
      <c r="I571">
        <v>190</v>
      </c>
      <c r="J571">
        <v>0</v>
      </c>
      <c r="K571">
        <v>190</v>
      </c>
      <c r="L571">
        <v>62152.42</v>
      </c>
      <c r="M571">
        <v>0</v>
      </c>
      <c r="N571">
        <v>62152.42</v>
      </c>
      <c r="O571">
        <v>22440.25</v>
      </c>
      <c r="P571">
        <v>39712.17</v>
      </c>
      <c r="Q571">
        <v>0.63890000000000002</v>
      </c>
      <c r="R571">
        <v>14</v>
      </c>
      <c r="S571">
        <v>9370.42</v>
      </c>
      <c r="T571">
        <v>0</v>
      </c>
      <c r="U571">
        <v>460.39</v>
      </c>
    </row>
    <row r="572" spans="1:21" x14ac:dyDescent="0.35">
      <c r="A572">
        <v>2024</v>
      </c>
      <c r="B572">
        <v>8</v>
      </c>
      <c r="C572">
        <v>3</v>
      </c>
      <c r="D572" s="1">
        <v>45505</v>
      </c>
      <c r="E572" s="4" t="s">
        <v>36</v>
      </c>
      <c r="F572" s="4" t="s">
        <v>28</v>
      </c>
      <c r="G572" s="4" t="s">
        <v>109</v>
      </c>
      <c r="H572">
        <v>677</v>
      </c>
      <c r="I572">
        <v>1046</v>
      </c>
      <c r="J572">
        <v>0</v>
      </c>
      <c r="K572">
        <v>1046</v>
      </c>
      <c r="L572">
        <v>509626.31</v>
      </c>
      <c r="M572">
        <v>0</v>
      </c>
      <c r="N572">
        <v>509626.31</v>
      </c>
      <c r="O572">
        <v>184395.4</v>
      </c>
      <c r="P572">
        <v>325230.90999999997</v>
      </c>
      <c r="Q572">
        <v>0.63819999999999999</v>
      </c>
      <c r="R572">
        <v>81</v>
      </c>
      <c r="S572">
        <v>72813.58</v>
      </c>
      <c r="T572">
        <v>0</v>
      </c>
      <c r="U572">
        <v>752.77</v>
      </c>
    </row>
    <row r="573" spans="1:21" x14ac:dyDescent="0.35">
      <c r="A573">
        <v>2024</v>
      </c>
      <c r="B573">
        <v>8</v>
      </c>
      <c r="C573">
        <v>3</v>
      </c>
      <c r="D573" s="1">
        <v>45505</v>
      </c>
      <c r="E573" s="4" t="s">
        <v>36</v>
      </c>
      <c r="F573" s="4" t="s">
        <v>24</v>
      </c>
      <c r="G573" s="4" t="s">
        <v>107</v>
      </c>
      <c r="H573">
        <v>52</v>
      </c>
      <c r="I573">
        <v>80</v>
      </c>
      <c r="J573">
        <v>4</v>
      </c>
      <c r="K573">
        <v>76</v>
      </c>
      <c r="L573">
        <v>100470.76</v>
      </c>
      <c r="M573">
        <v>4775.5600000000004</v>
      </c>
      <c r="N573">
        <v>95695.2</v>
      </c>
      <c r="O573">
        <v>55393.25</v>
      </c>
      <c r="P573">
        <v>40301.949999999997</v>
      </c>
      <c r="Q573">
        <v>0.42109999999999997</v>
      </c>
      <c r="R573">
        <v>9</v>
      </c>
      <c r="S573">
        <v>22828.68</v>
      </c>
      <c r="T573">
        <v>0</v>
      </c>
      <c r="U573">
        <v>1840.29</v>
      </c>
    </row>
    <row r="574" spans="1:21" x14ac:dyDescent="0.35">
      <c r="A574">
        <v>2024</v>
      </c>
      <c r="B574">
        <v>8</v>
      </c>
      <c r="C574">
        <v>3</v>
      </c>
      <c r="D574" s="1">
        <v>45505</v>
      </c>
      <c r="E574" s="4" t="s">
        <v>36</v>
      </c>
      <c r="F574" s="4" t="s">
        <v>24</v>
      </c>
      <c r="G574" s="4" t="s">
        <v>108</v>
      </c>
      <c r="H574">
        <v>23</v>
      </c>
      <c r="I574">
        <v>37</v>
      </c>
      <c r="J574">
        <v>0</v>
      </c>
      <c r="K574">
        <v>37</v>
      </c>
      <c r="L574">
        <v>63452.52</v>
      </c>
      <c r="M574">
        <v>0</v>
      </c>
      <c r="N574">
        <v>63452.52</v>
      </c>
      <c r="O574">
        <v>36867.599999999999</v>
      </c>
      <c r="P574">
        <v>26584.92</v>
      </c>
      <c r="Q574">
        <v>0.41899999999999998</v>
      </c>
      <c r="R574">
        <v>2</v>
      </c>
      <c r="S574">
        <v>10112.52</v>
      </c>
      <c r="T574">
        <v>0</v>
      </c>
      <c r="U574">
        <v>2758.81</v>
      </c>
    </row>
    <row r="575" spans="1:21" x14ac:dyDescent="0.35">
      <c r="A575">
        <v>2024</v>
      </c>
      <c r="B575">
        <v>8</v>
      </c>
      <c r="C575">
        <v>3</v>
      </c>
      <c r="D575" s="1">
        <v>45505</v>
      </c>
      <c r="E575" s="4" t="s">
        <v>36</v>
      </c>
      <c r="F575" s="4" t="s">
        <v>24</v>
      </c>
      <c r="G575" s="4" t="s">
        <v>109</v>
      </c>
      <c r="H575">
        <v>121</v>
      </c>
      <c r="I575">
        <v>210</v>
      </c>
      <c r="J575">
        <v>3</v>
      </c>
      <c r="K575">
        <v>207</v>
      </c>
      <c r="L575">
        <v>324289.48</v>
      </c>
      <c r="M575">
        <v>5077</v>
      </c>
      <c r="N575">
        <v>319212.48</v>
      </c>
      <c r="O575">
        <v>185792.75</v>
      </c>
      <c r="P575">
        <v>133419.73000000001</v>
      </c>
      <c r="Q575">
        <v>0.41799999999999998</v>
      </c>
      <c r="R575">
        <v>19</v>
      </c>
      <c r="S575">
        <v>75442.48</v>
      </c>
      <c r="T575">
        <v>0</v>
      </c>
      <c r="U575">
        <v>2638.12</v>
      </c>
    </row>
    <row r="576" spans="1:21" x14ac:dyDescent="0.35">
      <c r="A576">
        <v>2024</v>
      </c>
      <c r="B576">
        <v>8</v>
      </c>
      <c r="C576">
        <v>3</v>
      </c>
      <c r="D576" s="1">
        <v>45505</v>
      </c>
      <c r="E576" s="4" t="s">
        <v>36</v>
      </c>
      <c r="F576" s="4" t="s">
        <v>26</v>
      </c>
      <c r="G576" s="4" t="s">
        <v>109</v>
      </c>
      <c r="H576">
        <v>45</v>
      </c>
      <c r="I576">
        <v>64</v>
      </c>
      <c r="J576">
        <v>6</v>
      </c>
      <c r="K576">
        <v>58</v>
      </c>
      <c r="L576">
        <v>54078.01</v>
      </c>
      <c r="M576">
        <v>5117.58</v>
      </c>
      <c r="N576">
        <v>48960.43</v>
      </c>
      <c r="O576">
        <v>29659.200000000001</v>
      </c>
      <c r="P576">
        <v>19301.23</v>
      </c>
      <c r="Q576">
        <v>0.39419999999999999</v>
      </c>
      <c r="R576">
        <v>4</v>
      </c>
      <c r="S576">
        <v>1941.43</v>
      </c>
      <c r="T576">
        <v>0</v>
      </c>
      <c r="U576">
        <v>1088.01</v>
      </c>
    </row>
    <row r="577" spans="1:21" x14ac:dyDescent="0.35">
      <c r="A577">
        <v>2024</v>
      </c>
      <c r="B577">
        <v>8</v>
      </c>
      <c r="C577">
        <v>3</v>
      </c>
      <c r="D577" s="1">
        <v>45505</v>
      </c>
      <c r="E577" s="4" t="s">
        <v>23</v>
      </c>
      <c r="F577" s="4" t="s">
        <v>28</v>
      </c>
      <c r="G577" s="4" t="s">
        <v>107</v>
      </c>
      <c r="H577">
        <v>117</v>
      </c>
      <c r="I577">
        <v>167</v>
      </c>
      <c r="J577">
        <v>0</v>
      </c>
      <c r="K577">
        <v>167</v>
      </c>
      <c r="L577">
        <v>55421.86</v>
      </c>
      <c r="M577">
        <v>0</v>
      </c>
      <c r="N577">
        <v>55421.86</v>
      </c>
      <c r="O577">
        <v>19756.099999999999</v>
      </c>
      <c r="P577">
        <v>35665.760000000002</v>
      </c>
      <c r="Q577">
        <v>0.64349999999999996</v>
      </c>
      <c r="R577">
        <v>7</v>
      </c>
      <c r="S577">
        <v>5059.8599999999997</v>
      </c>
      <c r="T577">
        <v>0</v>
      </c>
      <c r="U577">
        <v>473.69</v>
      </c>
    </row>
    <row r="578" spans="1:21" x14ac:dyDescent="0.35">
      <c r="A578">
        <v>2024</v>
      </c>
      <c r="B578">
        <v>8</v>
      </c>
      <c r="C578">
        <v>3</v>
      </c>
      <c r="D578" s="1">
        <v>45505</v>
      </c>
      <c r="E578" s="4" t="s">
        <v>23</v>
      </c>
      <c r="F578" s="4" t="s">
        <v>28</v>
      </c>
      <c r="G578" s="4" t="s">
        <v>108</v>
      </c>
      <c r="H578">
        <v>34</v>
      </c>
      <c r="I578">
        <v>52</v>
      </c>
      <c r="J578">
        <v>0</v>
      </c>
      <c r="K578">
        <v>52</v>
      </c>
      <c r="L578">
        <v>35150</v>
      </c>
      <c r="M578">
        <v>0</v>
      </c>
      <c r="N578">
        <v>35150</v>
      </c>
      <c r="O578">
        <v>12794.6</v>
      </c>
      <c r="P578">
        <v>22355.4</v>
      </c>
      <c r="Q578">
        <v>0.63600000000000001</v>
      </c>
      <c r="R578">
        <v>5</v>
      </c>
      <c r="S578">
        <v>4218</v>
      </c>
      <c r="T578">
        <v>0</v>
      </c>
      <c r="U578">
        <v>1033.82</v>
      </c>
    </row>
    <row r="579" spans="1:21" x14ac:dyDescent="0.35">
      <c r="A579">
        <v>2024</v>
      </c>
      <c r="B579">
        <v>8</v>
      </c>
      <c r="C579">
        <v>3</v>
      </c>
      <c r="D579" s="1">
        <v>45505</v>
      </c>
      <c r="E579" s="4" t="s">
        <v>23</v>
      </c>
      <c r="F579" s="4" t="s">
        <v>28</v>
      </c>
      <c r="G579" s="4" t="s">
        <v>109</v>
      </c>
      <c r="H579">
        <v>587</v>
      </c>
      <c r="I579">
        <v>884</v>
      </c>
      <c r="J579">
        <v>0</v>
      </c>
      <c r="K579">
        <v>884</v>
      </c>
      <c r="L579">
        <v>409310.18</v>
      </c>
      <c r="M579">
        <v>0</v>
      </c>
      <c r="N579">
        <v>409310.18</v>
      </c>
      <c r="O579">
        <v>147186.54999999999</v>
      </c>
      <c r="P579">
        <v>262123.63</v>
      </c>
      <c r="Q579">
        <v>0.64039999999999997</v>
      </c>
      <c r="R579">
        <v>58</v>
      </c>
      <c r="S579">
        <v>44831.18</v>
      </c>
      <c r="T579">
        <v>0</v>
      </c>
      <c r="U579">
        <v>697.29</v>
      </c>
    </row>
    <row r="580" spans="1:21" x14ac:dyDescent="0.35">
      <c r="A580">
        <v>2024</v>
      </c>
      <c r="B580">
        <v>8</v>
      </c>
      <c r="C580">
        <v>3</v>
      </c>
      <c r="D580" s="1">
        <v>45505</v>
      </c>
      <c r="E580" s="4" t="s">
        <v>23</v>
      </c>
      <c r="F580" s="4" t="s">
        <v>24</v>
      </c>
      <c r="G580" s="4" t="s">
        <v>107</v>
      </c>
      <c r="H580">
        <v>41</v>
      </c>
      <c r="I580">
        <v>64</v>
      </c>
      <c r="J580">
        <v>1</v>
      </c>
      <c r="K580">
        <v>63</v>
      </c>
      <c r="L580">
        <v>113499.86</v>
      </c>
      <c r="M580">
        <v>2449</v>
      </c>
      <c r="N580">
        <v>111050.86</v>
      </c>
      <c r="O580">
        <v>61867.85</v>
      </c>
      <c r="P580">
        <v>49183.01</v>
      </c>
      <c r="Q580">
        <v>0.44290000000000002</v>
      </c>
      <c r="R580">
        <v>3</v>
      </c>
      <c r="S580">
        <v>13082.86</v>
      </c>
      <c r="T580">
        <v>0</v>
      </c>
      <c r="U580">
        <v>2708.56</v>
      </c>
    </row>
    <row r="581" spans="1:21" x14ac:dyDescent="0.35">
      <c r="A581">
        <v>2024</v>
      </c>
      <c r="B581">
        <v>8</v>
      </c>
      <c r="C581">
        <v>3</v>
      </c>
      <c r="D581" s="1">
        <v>45505</v>
      </c>
      <c r="E581" s="4" t="s">
        <v>23</v>
      </c>
      <c r="F581" s="4" t="s">
        <v>24</v>
      </c>
      <c r="G581" s="4" t="s">
        <v>109</v>
      </c>
      <c r="H581">
        <v>142</v>
      </c>
      <c r="I581">
        <v>207</v>
      </c>
      <c r="J581">
        <v>7</v>
      </c>
      <c r="K581">
        <v>200</v>
      </c>
      <c r="L581">
        <v>224456.63</v>
      </c>
      <c r="M581">
        <v>8759</v>
      </c>
      <c r="N581">
        <v>215697.63</v>
      </c>
      <c r="O581">
        <v>122088.45</v>
      </c>
      <c r="P581">
        <v>93609.18</v>
      </c>
      <c r="Q581">
        <v>0.434</v>
      </c>
      <c r="R581">
        <v>13</v>
      </c>
      <c r="S581">
        <v>20844.63</v>
      </c>
      <c r="T581">
        <v>0</v>
      </c>
      <c r="U581">
        <v>1519</v>
      </c>
    </row>
    <row r="582" spans="1:21" x14ac:dyDescent="0.35">
      <c r="A582">
        <v>2024</v>
      </c>
      <c r="B582">
        <v>8</v>
      </c>
      <c r="C582">
        <v>3</v>
      </c>
      <c r="D582" s="1">
        <v>45505</v>
      </c>
      <c r="E582" s="4" t="s">
        <v>23</v>
      </c>
      <c r="F582" s="4" t="s">
        <v>26</v>
      </c>
      <c r="G582" s="4" t="s">
        <v>107</v>
      </c>
      <c r="H582">
        <v>10</v>
      </c>
      <c r="I582">
        <v>13</v>
      </c>
      <c r="J582">
        <v>0</v>
      </c>
      <c r="K582">
        <v>13</v>
      </c>
      <c r="L582">
        <v>6976.12</v>
      </c>
      <c r="M582">
        <v>0</v>
      </c>
      <c r="N582">
        <v>6976.12</v>
      </c>
      <c r="O582">
        <v>4338.6000000000004</v>
      </c>
      <c r="P582">
        <v>2637.52</v>
      </c>
      <c r="Q582">
        <v>0.37809999999999999</v>
      </c>
      <c r="R582">
        <v>2</v>
      </c>
      <c r="S582">
        <v>1869.12</v>
      </c>
      <c r="T582">
        <v>0</v>
      </c>
      <c r="U582">
        <v>697.61</v>
      </c>
    </row>
    <row r="583" spans="1:21" x14ac:dyDescent="0.35">
      <c r="A583">
        <v>2024</v>
      </c>
      <c r="B583">
        <v>8</v>
      </c>
      <c r="C583">
        <v>3</v>
      </c>
      <c r="D583" s="1">
        <v>45505</v>
      </c>
      <c r="E583" s="4" t="s">
        <v>23</v>
      </c>
      <c r="F583" s="4" t="s">
        <v>26</v>
      </c>
      <c r="G583" s="4" t="s">
        <v>109</v>
      </c>
      <c r="H583">
        <v>41</v>
      </c>
      <c r="I583">
        <v>64</v>
      </c>
      <c r="J583">
        <v>1</v>
      </c>
      <c r="K583">
        <v>63</v>
      </c>
      <c r="L583">
        <v>46978.3</v>
      </c>
      <c r="M583">
        <v>342</v>
      </c>
      <c r="N583">
        <v>46636.3</v>
      </c>
      <c r="O583">
        <v>28722.6</v>
      </c>
      <c r="P583">
        <v>17913.7</v>
      </c>
      <c r="Q583">
        <v>0.3841</v>
      </c>
      <c r="R583">
        <v>4</v>
      </c>
      <c r="S583">
        <v>7584.3</v>
      </c>
      <c r="T583">
        <v>0</v>
      </c>
      <c r="U583">
        <v>1137.47</v>
      </c>
    </row>
    <row r="584" spans="1:21" x14ac:dyDescent="0.35">
      <c r="A584">
        <v>2024</v>
      </c>
      <c r="B584">
        <v>8</v>
      </c>
      <c r="C584">
        <v>3</v>
      </c>
      <c r="D584" s="1">
        <v>45505</v>
      </c>
      <c r="E584" s="4" t="s">
        <v>25</v>
      </c>
      <c r="F584" s="4" t="s">
        <v>28</v>
      </c>
      <c r="G584" s="4" t="s">
        <v>107</v>
      </c>
      <c r="H584">
        <v>39</v>
      </c>
      <c r="I584">
        <v>64</v>
      </c>
      <c r="J584">
        <v>0</v>
      </c>
      <c r="K584">
        <v>64</v>
      </c>
      <c r="L584">
        <v>31052.560000000001</v>
      </c>
      <c r="M584">
        <v>0</v>
      </c>
      <c r="N584">
        <v>31052.560000000001</v>
      </c>
      <c r="O584">
        <v>11132.8</v>
      </c>
      <c r="P584">
        <v>19919.759999999998</v>
      </c>
      <c r="Q584">
        <v>0.64149999999999996</v>
      </c>
      <c r="R584">
        <v>4</v>
      </c>
      <c r="S584">
        <v>4711.5600000000004</v>
      </c>
      <c r="T584">
        <v>0</v>
      </c>
      <c r="U584">
        <v>796.22</v>
      </c>
    </row>
    <row r="585" spans="1:21" x14ac:dyDescent="0.35">
      <c r="A585">
        <v>2024</v>
      </c>
      <c r="B585">
        <v>8</v>
      </c>
      <c r="C585">
        <v>3</v>
      </c>
      <c r="D585" s="1">
        <v>45505</v>
      </c>
      <c r="E585" s="4" t="s">
        <v>25</v>
      </c>
      <c r="F585" s="4" t="s">
        <v>28</v>
      </c>
      <c r="G585" s="4" t="s">
        <v>109</v>
      </c>
      <c r="H585">
        <v>604</v>
      </c>
      <c r="I585">
        <v>945</v>
      </c>
      <c r="J585">
        <v>0</v>
      </c>
      <c r="K585">
        <v>945</v>
      </c>
      <c r="L585">
        <v>504770.52</v>
      </c>
      <c r="M585">
        <v>0</v>
      </c>
      <c r="N585">
        <v>504770.52</v>
      </c>
      <c r="O585">
        <v>182796.25</v>
      </c>
      <c r="P585">
        <v>321974.27</v>
      </c>
      <c r="Q585">
        <v>0.63790000000000002</v>
      </c>
      <c r="R585">
        <v>73</v>
      </c>
      <c r="S585">
        <v>72623.710000000006</v>
      </c>
      <c r="T585">
        <v>0</v>
      </c>
      <c r="U585">
        <v>835.71</v>
      </c>
    </row>
    <row r="586" spans="1:21" x14ac:dyDescent="0.35">
      <c r="A586">
        <v>2024</v>
      </c>
      <c r="B586">
        <v>8</v>
      </c>
      <c r="C586">
        <v>3</v>
      </c>
      <c r="D586" s="1">
        <v>45505</v>
      </c>
      <c r="E586" s="4" t="s">
        <v>25</v>
      </c>
      <c r="F586" s="4" t="s">
        <v>24</v>
      </c>
      <c r="G586" s="4" t="s">
        <v>107</v>
      </c>
      <c r="H586">
        <v>26</v>
      </c>
      <c r="I586">
        <v>39</v>
      </c>
      <c r="J586">
        <v>1</v>
      </c>
      <c r="K586">
        <v>38</v>
      </c>
      <c r="L586">
        <v>68837.48</v>
      </c>
      <c r="M586">
        <v>1584</v>
      </c>
      <c r="N586">
        <v>67253.48</v>
      </c>
      <c r="O586">
        <v>39109.4</v>
      </c>
      <c r="P586">
        <v>28144.080000000002</v>
      </c>
      <c r="Q586">
        <v>0.41849999999999998</v>
      </c>
      <c r="R586">
        <v>3</v>
      </c>
      <c r="S586">
        <v>8370.48</v>
      </c>
      <c r="T586">
        <v>0</v>
      </c>
      <c r="U586">
        <v>2586.67</v>
      </c>
    </row>
    <row r="587" spans="1:21" x14ac:dyDescent="0.35">
      <c r="A587">
        <v>2024</v>
      </c>
      <c r="B587">
        <v>8</v>
      </c>
      <c r="C587">
        <v>3</v>
      </c>
      <c r="D587" s="1">
        <v>45505</v>
      </c>
      <c r="E587" s="4" t="s">
        <v>25</v>
      </c>
      <c r="F587" s="4" t="s">
        <v>24</v>
      </c>
      <c r="G587" s="4" t="s">
        <v>109</v>
      </c>
      <c r="H587">
        <v>186</v>
      </c>
      <c r="I587">
        <v>310</v>
      </c>
      <c r="J587">
        <v>6</v>
      </c>
      <c r="K587">
        <v>304</v>
      </c>
      <c r="L587">
        <v>461829.1</v>
      </c>
      <c r="M587">
        <v>9330.6</v>
      </c>
      <c r="N587">
        <v>452498.5</v>
      </c>
      <c r="O587">
        <v>261202.15</v>
      </c>
      <c r="P587">
        <v>191296.35</v>
      </c>
      <c r="Q587">
        <v>0.42280000000000001</v>
      </c>
      <c r="R587">
        <v>31</v>
      </c>
      <c r="S587">
        <v>91178.5</v>
      </c>
      <c r="T587">
        <v>0</v>
      </c>
      <c r="U587">
        <v>2432.79</v>
      </c>
    </row>
    <row r="588" spans="1:21" x14ac:dyDescent="0.35">
      <c r="A588">
        <v>2024</v>
      </c>
      <c r="B588">
        <v>8</v>
      </c>
      <c r="C588">
        <v>3</v>
      </c>
      <c r="D588" s="1">
        <v>45505</v>
      </c>
      <c r="E588" s="4" t="s">
        <v>25</v>
      </c>
      <c r="F588" s="4" t="s">
        <v>26</v>
      </c>
      <c r="G588" s="4" t="s">
        <v>107</v>
      </c>
      <c r="H588">
        <v>12</v>
      </c>
      <c r="I588">
        <v>13</v>
      </c>
      <c r="J588">
        <v>1</v>
      </c>
      <c r="K588">
        <v>12</v>
      </c>
      <c r="L588">
        <v>9779</v>
      </c>
      <c r="M588">
        <v>1071</v>
      </c>
      <c r="N588">
        <v>8708</v>
      </c>
      <c r="O588">
        <v>5224.8</v>
      </c>
      <c r="P588">
        <v>3483.2</v>
      </c>
      <c r="Q588">
        <v>0.4</v>
      </c>
      <c r="R588">
        <v>0</v>
      </c>
      <c r="S588">
        <v>0</v>
      </c>
      <c r="T588">
        <v>0</v>
      </c>
      <c r="U588">
        <v>725.67</v>
      </c>
    </row>
    <row r="589" spans="1:21" x14ac:dyDescent="0.35">
      <c r="A589">
        <v>2024</v>
      </c>
      <c r="B589">
        <v>8</v>
      </c>
      <c r="C589">
        <v>3</v>
      </c>
      <c r="D589" s="1">
        <v>45505</v>
      </c>
      <c r="E589" s="4" t="s">
        <v>25</v>
      </c>
      <c r="F589" s="4" t="s">
        <v>26</v>
      </c>
      <c r="G589" s="4" t="s">
        <v>109</v>
      </c>
      <c r="H589">
        <v>37</v>
      </c>
      <c r="I589">
        <v>52</v>
      </c>
      <c r="J589">
        <v>0</v>
      </c>
      <c r="K589">
        <v>52</v>
      </c>
      <c r="L589">
        <v>36979.660000000003</v>
      </c>
      <c r="M589">
        <v>0</v>
      </c>
      <c r="N589">
        <v>36979.660000000003</v>
      </c>
      <c r="O589">
        <v>23070.6</v>
      </c>
      <c r="P589">
        <v>13909.06</v>
      </c>
      <c r="Q589">
        <v>0.37609999999999999</v>
      </c>
      <c r="R589">
        <v>6</v>
      </c>
      <c r="S589">
        <v>5741.66</v>
      </c>
      <c r="T589">
        <v>0</v>
      </c>
      <c r="U589">
        <v>999.45</v>
      </c>
    </row>
    <row r="590" spans="1:21" x14ac:dyDescent="0.35">
      <c r="A590">
        <v>2024</v>
      </c>
      <c r="B590">
        <v>8</v>
      </c>
      <c r="C590">
        <v>3</v>
      </c>
      <c r="D590" s="1">
        <v>45505</v>
      </c>
      <c r="E590" s="4" t="s">
        <v>29</v>
      </c>
      <c r="F590" s="4" t="s">
        <v>28</v>
      </c>
      <c r="G590" s="4" t="s">
        <v>107</v>
      </c>
      <c r="H590">
        <v>211</v>
      </c>
      <c r="I590">
        <v>317</v>
      </c>
      <c r="J590">
        <v>0</v>
      </c>
      <c r="K590">
        <v>317</v>
      </c>
      <c r="L590">
        <v>126520.8</v>
      </c>
      <c r="M590">
        <v>0</v>
      </c>
      <c r="N590">
        <v>126520.8</v>
      </c>
      <c r="O590">
        <v>45775.8</v>
      </c>
      <c r="P590">
        <v>80745</v>
      </c>
      <c r="Q590">
        <v>0.63819999999999999</v>
      </c>
      <c r="R590">
        <v>23</v>
      </c>
      <c r="S590">
        <v>16804.8</v>
      </c>
      <c r="T590">
        <v>0</v>
      </c>
      <c r="U590">
        <v>599.62</v>
      </c>
    </row>
    <row r="591" spans="1:21" x14ac:dyDescent="0.35">
      <c r="A591">
        <v>2024</v>
      </c>
      <c r="B591">
        <v>8</v>
      </c>
      <c r="C591">
        <v>3</v>
      </c>
      <c r="D591" s="1">
        <v>45505</v>
      </c>
      <c r="E591" s="4" t="s">
        <v>29</v>
      </c>
      <c r="F591" s="4" t="s">
        <v>28</v>
      </c>
      <c r="G591" s="4" t="s">
        <v>108</v>
      </c>
      <c r="H591">
        <v>44</v>
      </c>
      <c r="I591">
        <v>72</v>
      </c>
      <c r="J591">
        <v>0</v>
      </c>
      <c r="K591">
        <v>72</v>
      </c>
      <c r="L591">
        <v>41988.480000000003</v>
      </c>
      <c r="M591">
        <v>0</v>
      </c>
      <c r="N591">
        <v>41988.480000000003</v>
      </c>
      <c r="O591">
        <v>15321.6</v>
      </c>
      <c r="P591">
        <v>26666.880000000001</v>
      </c>
      <c r="Q591">
        <v>0.6351</v>
      </c>
      <c r="R591">
        <v>7</v>
      </c>
      <c r="S591">
        <v>9764.48</v>
      </c>
      <c r="T591">
        <v>0</v>
      </c>
      <c r="U591">
        <v>954.28</v>
      </c>
    </row>
    <row r="592" spans="1:21" x14ac:dyDescent="0.35">
      <c r="A592">
        <v>2024</v>
      </c>
      <c r="B592">
        <v>8</v>
      </c>
      <c r="C592">
        <v>3</v>
      </c>
      <c r="D592" s="1">
        <v>45505</v>
      </c>
      <c r="E592" s="4" t="s">
        <v>29</v>
      </c>
      <c r="F592" s="4" t="s">
        <v>28</v>
      </c>
      <c r="G592" s="4" t="s">
        <v>109</v>
      </c>
      <c r="H592">
        <v>807</v>
      </c>
      <c r="I592">
        <v>1242</v>
      </c>
      <c r="J592">
        <v>0</v>
      </c>
      <c r="K592">
        <v>1242</v>
      </c>
      <c r="L592">
        <v>597131.15</v>
      </c>
      <c r="M592">
        <v>0</v>
      </c>
      <c r="N592">
        <v>597131.15</v>
      </c>
      <c r="O592">
        <v>216388.2</v>
      </c>
      <c r="P592">
        <v>380742.95</v>
      </c>
      <c r="Q592">
        <v>0.63759999999999994</v>
      </c>
      <c r="R592">
        <v>90</v>
      </c>
      <c r="S592">
        <v>79770.149999999994</v>
      </c>
      <c r="T592">
        <v>0</v>
      </c>
      <c r="U592">
        <v>739.94</v>
      </c>
    </row>
    <row r="593" spans="1:21" x14ac:dyDescent="0.35">
      <c r="A593">
        <v>2024</v>
      </c>
      <c r="B593">
        <v>8</v>
      </c>
      <c r="C593">
        <v>3</v>
      </c>
      <c r="D593" s="1">
        <v>45505</v>
      </c>
      <c r="E593" s="4" t="s">
        <v>29</v>
      </c>
      <c r="F593" s="4" t="s">
        <v>24</v>
      </c>
      <c r="G593" s="4" t="s">
        <v>107</v>
      </c>
      <c r="H593">
        <v>8</v>
      </c>
      <c r="I593">
        <v>14</v>
      </c>
      <c r="J593">
        <v>0</v>
      </c>
      <c r="K593">
        <v>14</v>
      </c>
      <c r="L593">
        <v>11629.44</v>
      </c>
      <c r="M593">
        <v>0</v>
      </c>
      <c r="N593">
        <v>11629.44</v>
      </c>
      <c r="O593">
        <v>6652.8</v>
      </c>
      <c r="P593">
        <v>4976.6400000000003</v>
      </c>
      <c r="Q593">
        <v>0.4279</v>
      </c>
      <c r="R593">
        <v>1</v>
      </c>
      <c r="S593">
        <v>2125.44</v>
      </c>
      <c r="T593">
        <v>0</v>
      </c>
      <c r="U593">
        <v>1453.68</v>
      </c>
    </row>
    <row r="594" spans="1:21" x14ac:dyDescent="0.35">
      <c r="A594">
        <v>2024</v>
      </c>
      <c r="B594">
        <v>8</v>
      </c>
      <c r="C594">
        <v>3</v>
      </c>
      <c r="D594" s="1">
        <v>45505</v>
      </c>
      <c r="E594" s="4" t="s">
        <v>29</v>
      </c>
      <c r="F594" s="4" t="s">
        <v>24</v>
      </c>
      <c r="G594" s="4" t="s">
        <v>108</v>
      </c>
      <c r="H594">
        <v>11</v>
      </c>
      <c r="I594">
        <v>13</v>
      </c>
      <c r="J594">
        <v>0</v>
      </c>
      <c r="K594">
        <v>13</v>
      </c>
      <c r="L594">
        <v>9646</v>
      </c>
      <c r="M594">
        <v>0</v>
      </c>
      <c r="N594">
        <v>9646</v>
      </c>
      <c r="O594">
        <v>5305.3</v>
      </c>
      <c r="P594">
        <v>4340.7</v>
      </c>
      <c r="Q594">
        <v>0.45</v>
      </c>
      <c r="R594">
        <v>0</v>
      </c>
      <c r="S594">
        <v>0</v>
      </c>
      <c r="T594">
        <v>0</v>
      </c>
      <c r="U594">
        <v>876.91</v>
      </c>
    </row>
    <row r="595" spans="1:21" x14ac:dyDescent="0.35">
      <c r="A595">
        <v>2024</v>
      </c>
      <c r="B595">
        <v>8</v>
      </c>
      <c r="C595">
        <v>3</v>
      </c>
      <c r="D595" s="1">
        <v>45505</v>
      </c>
      <c r="E595" s="4" t="s">
        <v>29</v>
      </c>
      <c r="F595" s="4" t="s">
        <v>24</v>
      </c>
      <c r="G595" s="4" t="s">
        <v>109</v>
      </c>
      <c r="H595">
        <v>151</v>
      </c>
      <c r="I595">
        <v>220</v>
      </c>
      <c r="J595">
        <v>15</v>
      </c>
      <c r="K595">
        <v>205</v>
      </c>
      <c r="L595">
        <v>424346.12</v>
      </c>
      <c r="M595">
        <v>33353.14</v>
      </c>
      <c r="N595">
        <v>390992.98</v>
      </c>
      <c r="O595">
        <v>224961.55</v>
      </c>
      <c r="P595">
        <v>166031.43</v>
      </c>
      <c r="Q595">
        <v>0.42459999999999998</v>
      </c>
      <c r="R595">
        <v>20</v>
      </c>
      <c r="S595">
        <v>63632.98</v>
      </c>
      <c r="T595">
        <v>0</v>
      </c>
      <c r="U595">
        <v>2589.36</v>
      </c>
    </row>
    <row r="596" spans="1:21" x14ac:dyDescent="0.35">
      <c r="A596">
        <v>2024</v>
      </c>
      <c r="B596">
        <v>8</v>
      </c>
      <c r="C596">
        <v>3</v>
      </c>
      <c r="D596" s="1">
        <v>45505</v>
      </c>
      <c r="E596" s="4" t="s">
        <v>29</v>
      </c>
      <c r="F596" s="4" t="s">
        <v>26</v>
      </c>
      <c r="G596" s="4" t="s">
        <v>107</v>
      </c>
      <c r="H596">
        <v>26</v>
      </c>
      <c r="I596">
        <v>39</v>
      </c>
      <c r="J596">
        <v>3</v>
      </c>
      <c r="K596">
        <v>36</v>
      </c>
      <c r="L596">
        <v>24657.21</v>
      </c>
      <c r="M596">
        <v>1361.89</v>
      </c>
      <c r="N596">
        <v>23295.32</v>
      </c>
      <c r="O596">
        <v>14323.2</v>
      </c>
      <c r="P596">
        <v>8972.1200000000008</v>
      </c>
      <c r="Q596">
        <v>0.3851</v>
      </c>
      <c r="R596">
        <v>3</v>
      </c>
      <c r="S596">
        <v>4962.32</v>
      </c>
      <c r="T596">
        <v>0</v>
      </c>
      <c r="U596">
        <v>895.97</v>
      </c>
    </row>
    <row r="597" spans="1:21" x14ac:dyDescent="0.35">
      <c r="A597">
        <v>2024</v>
      </c>
      <c r="B597">
        <v>8</v>
      </c>
      <c r="C597">
        <v>3</v>
      </c>
      <c r="D597" s="1">
        <v>45505</v>
      </c>
      <c r="E597" s="4" t="s">
        <v>29</v>
      </c>
      <c r="F597" s="4" t="s">
        <v>26</v>
      </c>
      <c r="G597" s="4" t="s">
        <v>109</v>
      </c>
      <c r="H597">
        <v>27</v>
      </c>
      <c r="I597">
        <v>40</v>
      </c>
      <c r="J597">
        <v>2</v>
      </c>
      <c r="K597">
        <v>38</v>
      </c>
      <c r="L597">
        <v>31796.639999999999</v>
      </c>
      <c r="M597">
        <v>2218</v>
      </c>
      <c r="N597">
        <v>29578.639999999999</v>
      </c>
      <c r="O597">
        <v>18129</v>
      </c>
      <c r="P597">
        <v>11449.64</v>
      </c>
      <c r="Q597">
        <v>0.3871</v>
      </c>
      <c r="R597">
        <v>3</v>
      </c>
      <c r="S597">
        <v>3255.64</v>
      </c>
      <c r="T597">
        <v>0</v>
      </c>
      <c r="U597">
        <v>1095.51</v>
      </c>
    </row>
    <row r="598" spans="1:21" x14ac:dyDescent="0.35">
      <c r="A598">
        <v>2024</v>
      </c>
      <c r="B598">
        <v>8</v>
      </c>
      <c r="C598">
        <v>3</v>
      </c>
      <c r="D598" s="1">
        <v>45505</v>
      </c>
      <c r="E598" s="4" t="s">
        <v>31</v>
      </c>
      <c r="F598" s="4" t="s">
        <v>28</v>
      </c>
      <c r="G598" s="4" t="s">
        <v>107</v>
      </c>
      <c r="H598">
        <v>77</v>
      </c>
      <c r="I598">
        <v>127</v>
      </c>
      <c r="J598">
        <v>0</v>
      </c>
      <c r="K598">
        <v>127</v>
      </c>
      <c r="L598">
        <v>48768.22</v>
      </c>
      <c r="M598">
        <v>0</v>
      </c>
      <c r="N598">
        <v>48768.22</v>
      </c>
      <c r="O598">
        <v>17865.05</v>
      </c>
      <c r="P598">
        <v>30903.17</v>
      </c>
      <c r="Q598">
        <v>0.63370000000000004</v>
      </c>
      <c r="R598">
        <v>11</v>
      </c>
      <c r="S598">
        <v>8554.2000000000007</v>
      </c>
      <c r="T598">
        <v>0</v>
      </c>
      <c r="U598">
        <v>633.35</v>
      </c>
    </row>
    <row r="599" spans="1:21" x14ac:dyDescent="0.35">
      <c r="A599">
        <v>2024</v>
      </c>
      <c r="B599">
        <v>8</v>
      </c>
      <c r="C599">
        <v>3</v>
      </c>
      <c r="D599" s="1">
        <v>45505</v>
      </c>
      <c r="E599" s="4" t="s">
        <v>31</v>
      </c>
      <c r="F599" s="4" t="s">
        <v>28</v>
      </c>
      <c r="G599" s="4" t="s">
        <v>108</v>
      </c>
      <c r="H599">
        <v>242</v>
      </c>
      <c r="I599">
        <v>347</v>
      </c>
      <c r="J599">
        <v>0</v>
      </c>
      <c r="K599">
        <v>347</v>
      </c>
      <c r="L599">
        <v>136130.09</v>
      </c>
      <c r="M599">
        <v>0</v>
      </c>
      <c r="N599">
        <v>136130.09</v>
      </c>
      <c r="O599">
        <v>48919.85</v>
      </c>
      <c r="P599">
        <v>87210.240000000005</v>
      </c>
      <c r="Q599">
        <v>0.64059999999999995</v>
      </c>
      <c r="R599">
        <v>29</v>
      </c>
      <c r="S599">
        <v>17300.09</v>
      </c>
      <c r="T599">
        <v>0</v>
      </c>
      <c r="U599">
        <v>562.52</v>
      </c>
    </row>
    <row r="600" spans="1:21" x14ac:dyDescent="0.35">
      <c r="A600">
        <v>2024</v>
      </c>
      <c r="B600">
        <v>8</v>
      </c>
      <c r="C600">
        <v>3</v>
      </c>
      <c r="D600" s="1">
        <v>45505</v>
      </c>
      <c r="E600" s="4" t="s">
        <v>31</v>
      </c>
      <c r="F600" s="4" t="s">
        <v>28</v>
      </c>
      <c r="G600" s="4" t="s">
        <v>109</v>
      </c>
      <c r="H600">
        <v>816</v>
      </c>
      <c r="I600">
        <v>1243</v>
      </c>
      <c r="J600">
        <v>0</v>
      </c>
      <c r="K600">
        <v>1243</v>
      </c>
      <c r="L600">
        <v>614823.71</v>
      </c>
      <c r="M600">
        <v>0</v>
      </c>
      <c r="N600">
        <v>614823.71</v>
      </c>
      <c r="O600">
        <v>222730.2</v>
      </c>
      <c r="P600">
        <v>392093.51</v>
      </c>
      <c r="Q600">
        <v>0.63770000000000004</v>
      </c>
      <c r="R600">
        <v>106</v>
      </c>
      <c r="S600">
        <v>87415.91</v>
      </c>
      <c r="T600">
        <v>0</v>
      </c>
      <c r="U600">
        <v>753.46</v>
      </c>
    </row>
    <row r="601" spans="1:21" x14ac:dyDescent="0.35">
      <c r="A601">
        <v>2024</v>
      </c>
      <c r="B601">
        <v>8</v>
      </c>
      <c r="C601">
        <v>3</v>
      </c>
      <c r="D601" s="1">
        <v>45505</v>
      </c>
      <c r="E601" s="4" t="s">
        <v>31</v>
      </c>
      <c r="F601" s="4" t="s">
        <v>24</v>
      </c>
      <c r="G601" s="4" t="s">
        <v>107</v>
      </c>
      <c r="H601">
        <v>8</v>
      </c>
      <c r="I601">
        <v>9</v>
      </c>
      <c r="J601">
        <v>0</v>
      </c>
      <c r="K601">
        <v>9</v>
      </c>
      <c r="L601">
        <v>16127.1</v>
      </c>
      <c r="M601">
        <v>0</v>
      </c>
      <c r="N601">
        <v>16127.1</v>
      </c>
      <c r="O601">
        <v>8959.5</v>
      </c>
      <c r="P601">
        <v>7167.6</v>
      </c>
      <c r="Q601">
        <v>0.44440000000000002</v>
      </c>
      <c r="R601">
        <v>1</v>
      </c>
      <c r="S601">
        <v>1647.1</v>
      </c>
      <c r="T601">
        <v>0</v>
      </c>
      <c r="U601">
        <v>2015.89</v>
      </c>
    </row>
    <row r="602" spans="1:21" x14ac:dyDescent="0.35">
      <c r="A602">
        <v>2024</v>
      </c>
      <c r="B602">
        <v>8</v>
      </c>
      <c r="C602">
        <v>3</v>
      </c>
      <c r="D602" s="1">
        <v>45505</v>
      </c>
      <c r="E602" s="4" t="s">
        <v>31</v>
      </c>
      <c r="F602" s="4" t="s">
        <v>24</v>
      </c>
      <c r="G602" s="4" t="s">
        <v>109</v>
      </c>
      <c r="H602">
        <v>234</v>
      </c>
      <c r="I602">
        <v>337</v>
      </c>
      <c r="J602">
        <v>9</v>
      </c>
      <c r="K602">
        <v>328</v>
      </c>
      <c r="L602">
        <v>479005.25</v>
      </c>
      <c r="M602">
        <v>14019.64</v>
      </c>
      <c r="N602">
        <v>464985.61</v>
      </c>
      <c r="O602">
        <v>263836.65000000002</v>
      </c>
      <c r="P602">
        <v>201148.96</v>
      </c>
      <c r="Q602">
        <v>0.43259999999999998</v>
      </c>
      <c r="R602">
        <v>27</v>
      </c>
      <c r="S602">
        <v>62087.61</v>
      </c>
      <c r="T602">
        <v>0</v>
      </c>
      <c r="U602">
        <v>1987.12</v>
      </c>
    </row>
    <row r="603" spans="1:21" x14ac:dyDescent="0.35">
      <c r="A603">
        <v>2024</v>
      </c>
      <c r="B603">
        <v>8</v>
      </c>
      <c r="C603">
        <v>3</v>
      </c>
      <c r="D603" s="1">
        <v>45505</v>
      </c>
      <c r="E603" s="4" t="s">
        <v>31</v>
      </c>
      <c r="F603" s="4" t="s">
        <v>26</v>
      </c>
      <c r="G603" s="4" t="s">
        <v>107</v>
      </c>
      <c r="H603">
        <v>6</v>
      </c>
      <c r="I603">
        <v>8</v>
      </c>
      <c r="J603">
        <v>0</v>
      </c>
      <c r="K603">
        <v>8</v>
      </c>
      <c r="L603">
        <v>4112</v>
      </c>
      <c r="M603">
        <v>0</v>
      </c>
      <c r="N603">
        <v>4112</v>
      </c>
      <c r="O603">
        <v>2467.1999999999998</v>
      </c>
      <c r="P603">
        <v>1644.8</v>
      </c>
      <c r="Q603">
        <v>0.4</v>
      </c>
      <c r="R603">
        <v>0</v>
      </c>
      <c r="S603">
        <v>0</v>
      </c>
      <c r="T603">
        <v>0</v>
      </c>
      <c r="U603">
        <v>685.33</v>
      </c>
    </row>
    <row r="604" spans="1:21" x14ac:dyDescent="0.35">
      <c r="A604">
        <v>2024</v>
      </c>
      <c r="B604">
        <v>8</v>
      </c>
      <c r="C604">
        <v>3</v>
      </c>
      <c r="D604" s="1">
        <v>45505</v>
      </c>
      <c r="E604" s="4" t="s">
        <v>31</v>
      </c>
      <c r="F604" s="4" t="s">
        <v>26</v>
      </c>
      <c r="G604" s="4" t="s">
        <v>108</v>
      </c>
      <c r="H604">
        <v>1</v>
      </c>
      <c r="I604">
        <v>2</v>
      </c>
      <c r="J604">
        <v>0</v>
      </c>
      <c r="K604">
        <v>2</v>
      </c>
      <c r="L604">
        <v>1452</v>
      </c>
      <c r="M604">
        <v>0</v>
      </c>
      <c r="N604">
        <v>1452</v>
      </c>
      <c r="O604">
        <v>871.2</v>
      </c>
      <c r="P604">
        <v>580.79999999999995</v>
      </c>
      <c r="Q604">
        <v>0.4</v>
      </c>
      <c r="R604">
        <v>0</v>
      </c>
      <c r="S604">
        <v>0</v>
      </c>
      <c r="T604">
        <v>0</v>
      </c>
      <c r="U604">
        <v>1452</v>
      </c>
    </row>
    <row r="605" spans="1:21" x14ac:dyDescent="0.35">
      <c r="A605">
        <v>2024</v>
      </c>
      <c r="B605">
        <v>8</v>
      </c>
      <c r="C605">
        <v>3</v>
      </c>
      <c r="D605" s="1">
        <v>45505</v>
      </c>
      <c r="E605" s="4" t="s">
        <v>31</v>
      </c>
      <c r="F605" s="4" t="s">
        <v>26</v>
      </c>
      <c r="G605" s="4" t="s">
        <v>109</v>
      </c>
      <c r="H605">
        <v>36</v>
      </c>
      <c r="I605">
        <v>53</v>
      </c>
      <c r="J605">
        <v>2</v>
      </c>
      <c r="K605">
        <v>51</v>
      </c>
      <c r="L605">
        <v>42909.58</v>
      </c>
      <c r="M605">
        <v>2132</v>
      </c>
      <c r="N605">
        <v>40777.58</v>
      </c>
      <c r="O605">
        <v>25289.4</v>
      </c>
      <c r="P605">
        <v>15488.18</v>
      </c>
      <c r="Q605">
        <v>0.37980000000000003</v>
      </c>
      <c r="R605">
        <v>7</v>
      </c>
      <c r="S605">
        <v>5109.03</v>
      </c>
      <c r="T605">
        <v>0</v>
      </c>
      <c r="U605">
        <v>1132.71</v>
      </c>
    </row>
    <row r="606" spans="1:21" x14ac:dyDescent="0.35">
      <c r="A606">
        <v>2024</v>
      </c>
      <c r="B606">
        <v>8</v>
      </c>
      <c r="C606">
        <v>3</v>
      </c>
      <c r="D606" s="1">
        <v>45505</v>
      </c>
      <c r="E606" s="4" t="s">
        <v>30</v>
      </c>
      <c r="F606" s="4" t="s">
        <v>28</v>
      </c>
      <c r="G606" s="4" t="s">
        <v>107</v>
      </c>
      <c r="H606">
        <v>94</v>
      </c>
      <c r="I606">
        <v>148</v>
      </c>
      <c r="J606">
        <v>0</v>
      </c>
      <c r="K606">
        <v>148</v>
      </c>
      <c r="L606">
        <v>64727.519999999997</v>
      </c>
      <c r="M606">
        <v>0</v>
      </c>
      <c r="N606">
        <v>64727.519999999997</v>
      </c>
      <c r="O606">
        <v>23361.8</v>
      </c>
      <c r="P606">
        <v>41365.72</v>
      </c>
      <c r="Q606">
        <v>0.6391</v>
      </c>
      <c r="R606">
        <v>13</v>
      </c>
      <c r="S606">
        <v>7450.52</v>
      </c>
      <c r="T606">
        <v>0</v>
      </c>
      <c r="U606">
        <v>688.59</v>
      </c>
    </row>
    <row r="607" spans="1:21" x14ac:dyDescent="0.35">
      <c r="A607">
        <v>2024</v>
      </c>
      <c r="B607">
        <v>8</v>
      </c>
      <c r="C607">
        <v>3</v>
      </c>
      <c r="D607" s="1">
        <v>45505</v>
      </c>
      <c r="E607" s="4" t="s">
        <v>30</v>
      </c>
      <c r="F607" s="4" t="s">
        <v>28</v>
      </c>
      <c r="G607" s="4" t="s">
        <v>108</v>
      </c>
      <c r="H607">
        <v>44</v>
      </c>
      <c r="I607">
        <v>69</v>
      </c>
      <c r="J607">
        <v>0</v>
      </c>
      <c r="K607">
        <v>69</v>
      </c>
      <c r="L607">
        <v>40995.9</v>
      </c>
      <c r="M607">
        <v>0</v>
      </c>
      <c r="N607">
        <v>40995.9</v>
      </c>
      <c r="O607">
        <v>14852.25</v>
      </c>
      <c r="P607">
        <v>26143.65</v>
      </c>
      <c r="Q607">
        <v>0.63770000000000004</v>
      </c>
      <c r="R607">
        <v>7</v>
      </c>
      <c r="S607">
        <v>7170.9</v>
      </c>
      <c r="T607">
        <v>0</v>
      </c>
      <c r="U607">
        <v>931.73</v>
      </c>
    </row>
    <row r="608" spans="1:21" x14ac:dyDescent="0.35">
      <c r="A608">
        <v>2024</v>
      </c>
      <c r="B608">
        <v>8</v>
      </c>
      <c r="C608">
        <v>3</v>
      </c>
      <c r="D608" s="1">
        <v>45505</v>
      </c>
      <c r="E608" s="4" t="s">
        <v>30</v>
      </c>
      <c r="F608" s="4" t="s">
        <v>28</v>
      </c>
      <c r="G608" s="4" t="s">
        <v>109</v>
      </c>
      <c r="H608">
        <v>618</v>
      </c>
      <c r="I608">
        <v>902</v>
      </c>
      <c r="J608">
        <v>0</v>
      </c>
      <c r="K608">
        <v>902</v>
      </c>
      <c r="L608">
        <v>372059.62</v>
      </c>
      <c r="M608">
        <v>0</v>
      </c>
      <c r="N608">
        <v>372059.62</v>
      </c>
      <c r="O608">
        <v>135914.45000000001</v>
      </c>
      <c r="P608">
        <v>236145.17</v>
      </c>
      <c r="Q608">
        <v>0.63470000000000004</v>
      </c>
      <c r="R608">
        <v>78</v>
      </c>
      <c r="S608">
        <v>61194.68</v>
      </c>
      <c r="T608">
        <v>0</v>
      </c>
      <c r="U608">
        <v>602.04</v>
      </c>
    </row>
    <row r="609" spans="1:21" x14ac:dyDescent="0.35">
      <c r="A609">
        <v>2024</v>
      </c>
      <c r="B609">
        <v>8</v>
      </c>
      <c r="C609">
        <v>3</v>
      </c>
      <c r="D609" s="1">
        <v>45505</v>
      </c>
      <c r="E609" s="4" t="s">
        <v>30</v>
      </c>
      <c r="F609" s="4" t="s">
        <v>24</v>
      </c>
      <c r="G609" s="4" t="s">
        <v>107</v>
      </c>
      <c r="H609">
        <v>59</v>
      </c>
      <c r="I609">
        <v>89</v>
      </c>
      <c r="J609">
        <v>6</v>
      </c>
      <c r="K609">
        <v>83</v>
      </c>
      <c r="L609">
        <v>166430.5</v>
      </c>
      <c r="M609">
        <v>10509.82</v>
      </c>
      <c r="N609">
        <v>155920.68</v>
      </c>
      <c r="O609">
        <v>88917.4</v>
      </c>
      <c r="P609">
        <v>67003.28</v>
      </c>
      <c r="Q609">
        <v>0.42970000000000003</v>
      </c>
      <c r="R609">
        <v>7</v>
      </c>
      <c r="S609">
        <v>25012.68</v>
      </c>
      <c r="T609">
        <v>0</v>
      </c>
      <c r="U609">
        <v>2642.72</v>
      </c>
    </row>
    <row r="610" spans="1:21" x14ac:dyDescent="0.35">
      <c r="A610">
        <v>2024</v>
      </c>
      <c r="B610">
        <v>8</v>
      </c>
      <c r="C610">
        <v>3</v>
      </c>
      <c r="D610" s="1">
        <v>45505</v>
      </c>
      <c r="E610" s="4" t="s">
        <v>30</v>
      </c>
      <c r="F610" s="4" t="s">
        <v>24</v>
      </c>
      <c r="G610" s="4" t="s">
        <v>108</v>
      </c>
      <c r="H610">
        <v>6</v>
      </c>
      <c r="I610">
        <v>9</v>
      </c>
      <c r="J610">
        <v>1</v>
      </c>
      <c r="K610">
        <v>8</v>
      </c>
      <c r="L610">
        <v>21247.38</v>
      </c>
      <c r="M610">
        <v>2409</v>
      </c>
      <c r="N610">
        <v>18838.38</v>
      </c>
      <c r="O610">
        <v>10599.6</v>
      </c>
      <c r="P610">
        <v>8238.7800000000007</v>
      </c>
      <c r="Q610">
        <v>0.43730000000000002</v>
      </c>
      <c r="R610">
        <v>1</v>
      </c>
      <c r="S610">
        <v>4384.38</v>
      </c>
      <c r="T610">
        <v>0</v>
      </c>
      <c r="U610">
        <v>3139.73</v>
      </c>
    </row>
    <row r="611" spans="1:21" x14ac:dyDescent="0.35">
      <c r="A611">
        <v>2024</v>
      </c>
      <c r="B611">
        <v>8</v>
      </c>
      <c r="C611">
        <v>3</v>
      </c>
      <c r="D611" s="1">
        <v>45505</v>
      </c>
      <c r="E611" s="4" t="s">
        <v>30</v>
      </c>
      <c r="F611" s="4" t="s">
        <v>24</v>
      </c>
      <c r="G611" s="4" t="s">
        <v>109</v>
      </c>
      <c r="H611">
        <v>215</v>
      </c>
      <c r="I611">
        <v>332</v>
      </c>
      <c r="J611">
        <v>12</v>
      </c>
      <c r="K611">
        <v>320</v>
      </c>
      <c r="L611">
        <v>594342.65</v>
      </c>
      <c r="M611">
        <v>19917</v>
      </c>
      <c r="N611">
        <v>574425.65</v>
      </c>
      <c r="O611">
        <v>323941.2</v>
      </c>
      <c r="P611">
        <v>250484.45</v>
      </c>
      <c r="Q611">
        <v>0.43609999999999999</v>
      </c>
      <c r="R611">
        <v>22</v>
      </c>
      <c r="S611">
        <v>78234.350000000006</v>
      </c>
      <c r="T611">
        <v>0</v>
      </c>
      <c r="U611">
        <v>2671.75</v>
      </c>
    </row>
    <row r="612" spans="1:21" x14ac:dyDescent="0.35">
      <c r="A612">
        <v>2024</v>
      </c>
      <c r="B612">
        <v>8</v>
      </c>
      <c r="C612">
        <v>3</v>
      </c>
      <c r="D612" s="1">
        <v>45505</v>
      </c>
      <c r="E612" s="4" t="s">
        <v>30</v>
      </c>
      <c r="F612" s="4" t="s">
        <v>26</v>
      </c>
      <c r="G612" s="4" t="s">
        <v>107</v>
      </c>
      <c r="H612">
        <v>1</v>
      </c>
      <c r="I612">
        <v>2</v>
      </c>
      <c r="J612">
        <v>0</v>
      </c>
      <c r="K612">
        <v>2</v>
      </c>
      <c r="L612">
        <v>1882</v>
      </c>
      <c r="M612">
        <v>0</v>
      </c>
      <c r="N612">
        <v>1882</v>
      </c>
      <c r="O612">
        <v>1129.2</v>
      </c>
      <c r="P612">
        <v>752.8</v>
      </c>
      <c r="Q612">
        <v>0.4</v>
      </c>
      <c r="R612">
        <v>0</v>
      </c>
      <c r="S612">
        <v>0</v>
      </c>
      <c r="T612">
        <v>0</v>
      </c>
      <c r="U612">
        <v>1882</v>
      </c>
    </row>
    <row r="613" spans="1:21" x14ac:dyDescent="0.35">
      <c r="A613">
        <v>2024</v>
      </c>
      <c r="B613">
        <v>8</v>
      </c>
      <c r="C613">
        <v>3</v>
      </c>
      <c r="D613" s="1">
        <v>45505</v>
      </c>
      <c r="E613" s="4" t="s">
        <v>30</v>
      </c>
      <c r="F613" s="4" t="s">
        <v>26</v>
      </c>
      <c r="G613" s="4" t="s">
        <v>109</v>
      </c>
      <c r="H613">
        <v>49</v>
      </c>
      <c r="I613">
        <v>72</v>
      </c>
      <c r="J613">
        <v>4</v>
      </c>
      <c r="K613">
        <v>68</v>
      </c>
      <c r="L613">
        <v>58963.82</v>
      </c>
      <c r="M613">
        <v>3677</v>
      </c>
      <c r="N613">
        <v>55286.82</v>
      </c>
      <c r="O613">
        <v>34351.199999999997</v>
      </c>
      <c r="P613">
        <v>20935.62</v>
      </c>
      <c r="Q613">
        <v>0.37869999999999998</v>
      </c>
      <c r="R613">
        <v>6</v>
      </c>
      <c r="S613">
        <v>7905.82</v>
      </c>
      <c r="T613">
        <v>0</v>
      </c>
      <c r="U613">
        <v>1128.3</v>
      </c>
    </row>
    <row r="614" spans="1:21" x14ac:dyDescent="0.35">
      <c r="A614">
        <v>2024</v>
      </c>
      <c r="B614">
        <v>8</v>
      </c>
      <c r="C614">
        <v>3</v>
      </c>
      <c r="D614" s="1">
        <v>45505</v>
      </c>
      <c r="E614" s="4" t="s">
        <v>78</v>
      </c>
      <c r="F614" s="4" t="s">
        <v>78</v>
      </c>
      <c r="G614" s="4" t="s">
        <v>110</v>
      </c>
      <c r="H614">
        <v>234</v>
      </c>
      <c r="I614">
        <v>353</v>
      </c>
      <c r="J614">
        <v>0</v>
      </c>
      <c r="K614">
        <v>353</v>
      </c>
      <c r="L614">
        <v>815955</v>
      </c>
      <c r="M614">
        <v>0</v>
      </c>
      <c r="N614">
        <v>815955</v>
      </c>
      <c r="O614">
        <v>122393.25</v>
      </c>
      <c r="P614">
        <v>693561.75</v>
      </c>
      <c r="Q614">
        <v>0.85</v>
      </c>
      <c r="R614">
        <v>1</v>
      </c>
      <c r="S614">
        <v>1197</v>
      </c>
      <c r="T614">
        <v>0</v>
      </c>
      <c r="U614">
        <v>3486.99</v>
      </c>
    </row>
    <row r="615" spans="1:21" x14ac:dyDescent="0.35">
      <c r="A615">
        <v>2024</v>
      </c>
      <c r="B615">
        <v>9</v>
      </c>
      <c r="C615">
        <v>3</v>
      </c>
      <c r="D615" s="1">
        <v>45536</v>
      </c>
      <c r="E615" s="4" t="s">
        <v>33</v>
      </c>
      <c r="F615" s="4" t="s">
        <v>28</v>
      </c>
      <c r="G615" s="4" t="s">
        <v>107</v>
      </c>
      <c r="H615">
        <v>186</v>
      </c>
      <c r="I615">
        <v>283</v>
      </c>
      <c r="J615">
        <v>0</v>
      </c>
      <c r="K615">
        <v>283</v>
      </c>
      <c r="L615">
        <v>89798.94</v>
      </c>
      <c r="M615">
        <v>0</v>
      </c>
      <c r="N615">
        <v>89798.94</v>
      </c>
      <c r="O615">
        <v>32817.75</v>
      </c>
      <c r="P615">
        <v>56981.19</v>
      </c>
      <c r="Q615">
        <v>0.63449999999999995</v>
      </c>
      <c r="R615">
        <v>29</v>
      </c>
      <c r="S615">
        <v>15857.94</v>
      </c>
      <c r="T615">
        <v>0</v>
      </c>
      <c r="U615">
        <v>482.79</v>
      </c>
    </row>
    <row r="616" spans="1:21" x14ac:dyDescent="0.35">
      <c r="A616">
        <v>2024</v>
      </c>
      <c r="B616">
        <v>9</v>
      </c>
      <c r="C616">
        <v>3</v>
      </c>
      <c r="D616" s="1">
        <v>45536</v>
      </c>
      <c r="E616" s="4" t="s">
        <v>33</v>
      </c>
      <c r="F616" s="4" t="s">
        <v>28</v>
      </c>
      <c r="G616" s="4" t="s">
        <v>108</v>
      </c>
      <c r="H616">
        <v>87</v>
      </c>
      <c r="I616">
        <v>126</v>
      </c>
      <c r="J616">
        <v>0</v>
      </c>
      <c r="K616">
        <v>126</v>
      </c>
      <c r="L616">
        <v>85112.48</v>
      </c>
      <c r="M616">
        <v>0</v>
      </c>
      <c r="N616">
        <v>85112.48</v>
      </c>
      <c r="O616">
        <v>31399.200000000001</v>
      </c>
      <c r="P616">
        <v>53713.279999999999</v>
      </c>
      <c r="Q616">
        <v>0.63109999999999999</v>
      </c>
      <c r="R616">
        <v>13</v>
      </c>
      <c r="S616">
        <v>17472.48</v>
      </c>
      <c r="T616">
        <v>0</v>
      </c>
      <c r="U616">
        <v>978.3</v>
      </c>
    </row>
    <row r="617" spans="1:21" x14ac:dyDescent="0.35">
      <c r="A617">
        <v>2024</v>
      </c>
      <c r="B617">
        <v>9</v>
      </c>
      <c r="C617">
        <v>3</v>
      </c>
      <c r="D617" s="1">
        <v>45536</v>
      </c>
      <c r="E617" s="4" t="s">
        <v>33</v>
      </c>
      <c r="F617" s="4" t="s">
        <v>28</v>
      </c>
      <c r="G617" s="4" t="s">
        <v>109</v>
      </c>
      <c r="H617">
        <v>1083</v>
      </c>
      <c r="I617">
        <v>1671</v>
      </c>
      <c r="J617">
        <v>0</v>
      </c>
      <c r="K617">
        <v>1671</v>
      </c>
      <c r="L617">
        <v>837602.95</v>
      </c>
      <c r="M617">
        <v>0</v>
      </c>
      <c r="N617">
        <v>837602.95</v>
      </c>
      <c r="O617">
        <v>308217</v>
      </c>
      <c r="P617">
        <v>529385.94999999995</v>
      </c>
      <c r="Q617">
        <v>0.63200000000000001</v>
      </c>
      <c r="R617">
        <v>149</v>
      </c>
      <c r="S617">
        <v>144295.51</v>
      </c>
      <c r="T617">
        <v>0</v>
      </c>
      <c r="U617">
        <v>773.41</v>
      </c>
    </row>
    <row r="618" spans="1:21" x14ac:dyDescent="0.35">
      <c r="A618">
        <v>2024</v>
      </c>
      <c r="B618">
        <v>9</v>
      </c>
      <c r="C618">
        <v>3</v>
      </c>
      <c r="D618" s="1">
        <v>45536</v>
      </c>
      <c r="E618" s="4" t="s">
        <v>33</v>
      </c>
      <c r="F618" s="4" t="s">
        <v>24</v>
      </c>
      <c r="G618" s="4" t="s">
        <v>107</v>
      </c>
      <c r="H618">
        <v>19</v>
      </c>
      <c r="I618">
        <v>26</v>
      </c>
      <c r="J618">
        <v>3</v>
      </c>
      <c r="K618">
        <v>23</v>
      </c>
      <c r="L618">
        <v>38688.199999999997</v>
      </c>
      <c r="M618">
        <v>4239.5</v>
      </c>
      <c r="N618">
        <v>34448.699999999997</v>
      </c>
      <c r="O618">
        <v>19207.650000000001</v>
      </c>
      <c r="P618">
        <v>15241.05</v>
      </c>
      <c r="Q618">
        <v>0.44240000000000002</v>
      </c>
      <c r="R618">
        <v>2</v>
      </c>
      <c r="S618">
        <v>920.7</v>
      </c>
      <c r="T618">
        <v>0</v>
      </c>
      <c r="U618">
        <v>1813.09</v>
      </c>
    </row>
    <row r="619" spans="1:21" x14ac:dyDescent="0.35">
      <c r="A619">
        <v>2024</v>
      </c>
      <c r="B619">
        <v>9</v>
      </c>
      <c r="C619">
        <v>3</v>
      </c>
      <c r="D619" s="1">
        <v>45536</v>
      </c>
      <c r="E619" s="4" t="s">
        <v>33</v>
      </c>
      <c r="F619" s="4" t="s">
        <v>24</v>
      </c>
      <c r="G619" s="4" t="s">
        <v>109</v>
      </c>
      <c r="H619">
        <v>245</v>
      </c>
      <c r="I619">
        <v>360</v>
      </c>
      <c r="J619">
        <v>17</v>
      </c>
      <c r="K619">
        <v>343</v>
      </c>
      <c r="L619">
        <v>560785.43999999994</v>
      </c>
      <c r="M619">
        <v>22150</v>
      </c>
      <c r="N619">
        <v>538635.43999999994</v>
      </c>
      <c r="O619">
        <v>301889.5</v>
      </c>
      <c r="P619">
        <v>236745.94</v>
      </c>
      <c r="Q619">
        <v>0.4395</v>
      </c>
      <c r="R619">
        <v>21</v>
      </c>
      <c r="S619">
        <v>54289.440000000002</v>
      </c>
      <c r="T619">
        <v>0</v>
      </c>
      <c r="U619">
        <v>2198.5100000000002</v>
      </c>
    </row>
    <row r="620" spans="1:21" x14ac:dyDescent="0.35">
      <c r="A620">
        <v>2024</v>
      </c>
      <c r="B620">
        <v>9</v>
      </c>
      <c r="C620">
        <v>3</v>
      </c>
      <c r="D620" s="1">
        <v>45536</v>
      </c>
      <c r="E620" s="4" t="s">
        <v>33</v>
      </c>
      <c r="F620" s="4" t="s">
        <v>26</v>
      </c>
      <c r="G620" s="4" t="s">
        <v>107</v>
      </c>
      <c r="H620">
        <v>8</v>
      </c>
      <c r="I620">
        <v>10</v>
      </c>
      <c r="J620">
        <v>0</v>
      </c>
      <c r="K620">
        <v>10</v>
      </c>
      <c r="L620">
        <v>7793</v>
      </c>
      <c r="M620">
        <v>0</v>
      </c>
      <c r="N620">
        <v>7793</v>
      </c>
      <c r="O620">
        <v>4675.8</v>
      </c>
      <c r="P620">
        <v>3117.2</v>
      </c>
      <c r="Q620">
        <v>0.4</v>
      </c>
      <c r="R620">
        <v>0</v>
      </c>
      <c r="S620">
        <v>0</v>
      </c>
      <c r="T620">
        <v>0</v>
      </c>
      <c r="U620">
        <v>974.13</v>
      </c>
    </row>
    <row r="621" spans="1:21" x14ac:dyDescent="0.35">
      <c r="A621">
        <v>2024</v>
      </c>
      <c r="B621">
        <v>9</v>
      </c>
      <c r="C621">
        <v>3</v>
      </c>
      <c r="D621" s="1">
        <v>45536</v>
      </c>
      <c r="E621" s="4" t="s">
        <v>33</v>
      </c>
      <c r="F621" s="4" t="s">
        <v>26</v>
      </c>
      <c r="G621" s="4" t="s">
        <v>108</v>
      </c>
      <c r="H621">
        <v>10</v>
      </c>
      <c r="I621">
        <v>19</v>
      </c>
      <c r="J621">
        <v>1</v>
      </c>
      <c r="K621">
        <v>18</v>
      </c>
      <c r="L621">
        <v>16170</v>
      </c>
      <c r="M621">
        <v>875</v>
      </c>
      <c r="N621">
        <v>15295</v>
      </c>
      <c r="O621">
        <v>9450</v>
      </c>
      <c r="P621">
        <v>5845</v>
      </c>
      <c r="Q621">
        <v>0.38219999999999998</v>
      </c>
      <c r="R621">
        <v>1</v>
      </c>
      <c r="S621">
        <v>3045</v>
      </c>
      <c r="T621">
        <v>0</v>
      </c>
      <c r="U621">
        <v>1529.5</v>
      </c>
    </row>
    <row r="622" spans="1:21" x14ac:dyDescent="0.35">
      <c r="A622">
        <v>2024</v>
      </c>
      <c r="B622">
        <v>9</v>
      </c>
      <c r="C622">
        <v>3</v>
      </c>
      <c r="D622" s="1">
        <v>45536</v>
      </c>
      <c r="E622" s="4" t="s">
        <v>33</v>
      </c>
      <c r="F622" s="4" t="s">
        <v>26</v>
      </c>
      <c r="G622" s="4" t="s">
        <v>109</v>
      </c>
      <c r="H622">
        <v>72</v>
      </c>
      <c r="I622">
        <v>111</v>
      </c>
      <c r="J622">
        <v>0</v>
      </c>
      <c r="K622">
        <v>111</v>
      </c>
      <c r="L622">
        <v>84132.86</v>
      </c>
      <c r="M622">
        <v>0</v>
      </c>
      <c r="N622">
        <v>84132.86</v>
      </c>
      <c r="O622">
        <v>51639.6</v>
      </c>
      <c r="P622">
        <v>32493.26</v>
      </c>
      <c r="Q622">
        <v>0.38619999999999999</v>
      </c>
      <c r="R622">
        <v>7</v>
      </c>
      <c r="S622">
        <v>10765.86</v>
      </c>
      <c r="T622">
        <v>0</v>
      </c>
      <c r="U622">
        <v>1168.51</v>
      </c>
    </row>
    <row r="623" spans="1:21" x14ac:dyDescent="0.35">
      <c r="A623">
        <v>2024</v>
      </c>
      <c r="B623">
        <v>9</v>
      </c>
      <c r="C623">
        <v>3</v>
      </c>
      <c r="D623" s="1">
        <v>45536</v>
      </c>
      <c r="E623" s="4" t="s">
        <v>32</v>
      </c>
      <c r="F623" s="4" t="s">
        <v>28</v>
      </c>
      <c r="G623" s="4" t="s">
        <v>107</v>
      </c>
      <c r="H623">
        <v>25</v>
      </c>
      <c r="I623">
        <v>38</v>
      </c>
      <c r="J623">
        <v>0</v>
      </c>
      <c r="K623">
        <v>38</v>
      </c>
      <c r="L623">
        <v>16539.97</v>
      </c>
      <c r="M623">
        <v>0</v>
      </c>
      <c r="N623">
        <v>16539.97</v>
      </c>
      <c r="O623">
        <v>6038.2</v>
      </c>
      <c r="P623">
        <v>10501.77</v>
      </c>
      <c r="Q623">
        <v>0.63490000000000002</v>
      </c>
      <c r="R623">
        <v>3</v>
      </c>
      <c r="S623">
        <v>1657.1</v>
      </c>
      <c r="T623">
        <v>0</v>
      </c>
      <c r="U623">
        <v>661.6</v>
      </c>
    </row>
    <row r="624" spans="1:21" x14ac:dyDescent="0.35">
      <c r="A624">
        <v>2024</v>
      </c>
      <c r="B624">
        <v>9</v>
      </c>
      <c r="C624">
        <v>3</v>
      </c>
      <c r="D624" s="1">
        <v>45536</v>
      </c>
      <c r="E624" s="4" t="s">
        <v>32</v>
      </c>
      <c r="F624" s="4" t="s">
        <v>28</v>
      </c>
      <c r="G624" s="4" t="s">
        <v>109</v>
      </c>
      <c r="H624">
        <v>536</v>
      </c>
      <c r="I624">
        <v>799</v>
      </c>
      <c r="J624">
        <v>0</v>
      </c>
      <c r="K624">
        <v>799</v>
      </c>
      <c r="L624">
        <v>274353.28999999998</v>
      </c>
      <c r="M624">
        <v>0</v>
      </c>
      <c r="N624">
        <v>274353.28999999998</v>
      </c>
      <c r="O624">
        <v>99890</v>
      </c>
      <c r="P624">
        <v>174463.29</v>
      </c>
      <c r="Q624">
        <v>0.63590000000000002</v>
      </c>
      <c r="R624">
        <v>74</v>
      </c>
      <c r="S624">
        <v>42635.29</v>
      </c>
      <c r="T624">
        <v>0</v>
      </c>
      <c r="U624">
        <v>511.85</v>
      </c>
    </row>
    <row r="625" spans="1:21" x14ac:dyDescent="0.35">
      <c r="A625">
        <v>2024</v>
      </c>
      <c r="B625">
        <v>9</v>
      </c>
      <c r="C625">
        <v>3</v>
      </c>
      <c r="D625" s="1">
        <v>45536</v>
      </c>
      <c r="E625" s="4" t="s">
        <v>32</v>
      </c>
      <c r="F625" s="4" t="s">
        <v>35</v>
      </c>
      <c r="G625" s="4" t="s">
        <v>109</v>
      </c>
      <c r="H625">
        <v>1</v>
      </c>
      <c r="I625">
        <v>1</v>
      </c>
      <c r="J625">
        <v>0</v>
      </c>
      <c r="K625">
        <v>1</v>
      </c>
      <c r="L625">
        <v>444</v>
      </c>
      <c r="M625">
        <v>0</v>
      </c>
      <c r="N625">
        <v>444</v>
      </c>
      <c r="O625">
        <v>88.8</v>
      </c>
      <c r="P625">
        <v>355.2</v>
      </c>
      <c r="Q625">
        <v>0.8</v>
      </c>
      <c r="R625">
        <v>0</v>
      </c>
      <c r="S625">
        <v>0</v>
      </c>
      <c r="T625">
        <v>0</v>
      </c>
      <c r="U625">
        <v>444</v>
      </c>
    </row>
    <row r="626" spans="1:21" x14ac:dyDescent="0.35">
      <c r="A626">
        <v>2024</v>
      </c>
      <c r="B626">
        <v>9</v>
      </c>
      <c r="C626">
        <v>3</v>
      </c>
      <c r="D626" s="1">
        <v>45536</v>
      </c>
      <c r="E626" s="4" t="s">
        <v>32</v>
      </c>
      <c r="F626" s="4" t="s">
        <v>24</v>
      </c>
      <c r="G626" s="4" t="s">
        <v>107</v>
      </c>
      <c r="H626">
        <v>58</v>
      </c>
      <c r="I626">
        <v>89</v>
      </c>
      <c r="J626">
        <v>3</v>
      </c>
      <c r="K626">
        <v>86</v>
      </c>
      <c r="L626">
        <v>142488.06</v>
      </c>
      <c r="M626">
        <v>3393</v>
      </c>
      <c r="N626">
        <v>139095.06</v>
      </c>
      <c r="O626">
        <v>78295.8</v>
      </c>
      <c r="P626">
        <v>60799.26</v>
      </c>
      <c r="Q626">
        <v>0.43709999999999999</v>
      </c>
      <c r="R626">
        <v>3</v>
      </c>
      <c r="S626">
        <v>8469.06</v>
      </c>
      <c r="T626">
        <v>0</v>
      </c>
      <c r="U626">
        <v>2398.19</v>
      </c>
    </row>
    <row r="627" spans="1:21" x14ac:dyDescent="0.35">
      <c r="A627">
        <v>2024</v>
      </c>
      <c r="B627">
        <v>9</v>
      </c>
      <c r="C627">
        <v>3</v>
      </c>
      <c r="D627" s="1">
        <v>45536</v>
      </c>
      <c r="E627" s="4" t="s">
        <v>32</v>
      </c>
      <c r="F627" s="4" t="s">
        <v>24</v>
      </c>
      <c r="G627" s="4" t="s">
        <v>109</v>
      </c>
      <c r="H627">
        <v>174</v>
      </c>
      <c r="I627">
        <v>274</v>
      </c>
      <c r="J627">
        <v>10</v>
      </c>
      <c r="K627">
        <v>264</v>
      </c>
      <c r="L627">
        <v>351123.3</v>
      </c>
      <c r="M627">
        <v>8943.2000000000007</v>
      </c>
      <c r="N627">
        <v>342180.1</v>
      </c>
      <c r="O627">
        <v>198300.85</v>
      </c>
      <c r="P627">
        <v>143879.25</v>
      </c>
      <c r="Q627">
        <v>0.42049999999999998</v>
      </c>
      <c r="R627">
        <v>24</v>
      </c>
      <c r="S627">
        <v>70792.100000000006</v>
      </c>
      <c r="T627">
        <v>0</v>
      </c>
      <c r="U627">
        <v>1966.55</v>
      </c>
    </row>
    <row r="628" spans="1:21" x14ac:dyDescent="0.35">
      <c r="A628">
        <v>2024</v>
      </c>
      <c r="B628">
        <v>9</v>
      </c>
      <c r="C628">
        <v>3</v>
      </c>
      <c r="D628" s="1">
        <v>45536</v>
      </c>
      <c r="E628" s="4" t="s">
        <v>32</v>
      </c>
      <c r="F628" s="4" t="s">
        <v>26</v>
      </c>
      <c r="G628" s="4" t="s">
        <v>108</v>
      </c>
      <c r="H628">
        <v>13</v>
      </c>
      <c r="I628">
        <v>20</v>
      </c>
      <c r="J628">
        <v>3</v>
      </c>
      <c r="K628">
        <v>17</v>
      </c>
      <c r="L628">
        <v>6164.15</v>
      </c>
      <c r="M628">
        <v>945</v>
      </c>
      <c r="N628">
        <v>5219.1499999999996</v>
      </c>
      <c r="O628">
        <v>3280.8</v>
      </c>
      <c r="P628">
        <v>1938.35</v>
      </c>
      <c r="Q628">
        <v>0.37140000000000001</v>
      </c>
      <c r="R628">
        <v>3</v>
      </c>
      <c r="S628">
        <v>1011.15</v>
      </c>
      <c r="T628">
        <v>0</v>
      </c>
      <c r="U628">
        <v>401.47</v>
      </c>
    </row>
    <row r="629" spans="1:21" x14ac:dyDescent="0.35">
      <c r="A629">
        <v>2024</v>
      </c>
      <c r="B629">
        <v>9</v>
      </c>
      <c r="C629">
        <v>3</v>
      </c>
      <c r="D629" s="1">
        <v>45536</v>
      </c>
      <c r="E629" s="4" t="s">
        <v>32</v>
      </c>
      <c r="F629" s="4" t="s">
        <v>26</v>
      </c>
      <c r="G629" s="4" t="s">
        <v>109</v>
      </c>
      <c r="H629">
        <v>38</v>
      </c>
      <c r="I629">
        <v>56</v>
      </c>
      <c r="J629">
        <v>1</v>
      </c>
      <c r="K629">
        <v>55</v>
      </c>
      <c r="L629">
        <v>34432.519999999997</v>
      </c>
      <c r="M629">
        <v>457</v>
      </c>
      <c r="N629">
        <v>33975.519999999997</v>
      </c>
      <c r="O629">
        <v>21464.400000000001</v>
      </c>
      <c r="P629">
        <v>12511.12</v>
      </c>
      <c r="Q629">
        <v>0.36820000000000003</v>
      </c>
      <c r="R629">
        <v>6</v>
      </c>
      <c r="S629">
        <v>6454.52</v>
      </c>
      <c r="T629">
        <v>0</v>
      </c>
      <c r="U629">
        <v>894.09</v>
      </c>
    </row>
    <row r="630" spans="1:21" x14ac:dyDescent="0.35">
      <c r="A630">
        <v>2024</v>
      </c>
      <c r="B630">
        <v>9</v>
      </c>
      <c r="C630">
        <v>3</v>
      </c>
      <c r="D630" s="1">
        <v>45536</v>
      </c>
      <c r="E630" s="4" t="s">
        <v>27</v>
      </c>
      <c r="F630" s="4" t="s">
        <v>28</v>
      </c>
      <c r="G630" s="4" t="s">
        <v>107</v>
      </c>
      <c r="H630">
        <v>381</v>
      </c>
      <c r="I630">
        <v>544</v>
      </c>
      <c r="J630">
        <v>0</v>
      </c>
      <c r="K630">
        <v>544</v>
      </c>
      <c r="L630">
        <v>243803.62</v>
      </c>
      <c r="M630">
        <v>0</v>
      </c>
      <c r="N630">
        <v>243803.62</v>
      </c>
      <c r="O630">
        <v>87633.35</v>
      </c>
      <c r="P630">
        <v>156170.26999999999</v>
      </c>
      <c r="Q630">
        <v>0.64059999999999995</v>
      </c>
      <c r="R630">
        <v>36</v>
      </c>
      <c r="S630">
        <v>30348.62</v>
      </c>
      <c r="T630">
        <v>0</v>
      </c>
      <c r="U630">
        <v>639.9</v>
      </c>
    </row>
    <row r="631" spans="1:21" x14ac:dyDescent="0.35">
      <c r="A631">
        <v>2024</v>
      </c>
      <c r="B631">
        <v>9</v>
      </c>
      <c r="C631">
        <v>3</v>
      </c>
      <c r="D631" s="1">
        <v>45536</v>
      </c>
      <c r="E631" s="4" t="s">
        <v>27</v>
      </c>
      <c r="F631" s="4" t="s">
        <v>28</v>
      </c>
      <c r="G631" s="4" t="s">
        <v>109</v>
      </c>
      <c r="H631">
        <v>1292</v>
      </c>
      <c r="I631">
        <v>2010</v>
      </c>
      <c r="J631">
        <v>0</v>
      </c>
      <c r="K631">
        <v>2010</v>
      </c>
      <c r="L631">
        <v>1066302.3500000001</v>
      </c>
      <c r="M631">
        <v>0</v>
      </c>
      <c r="N631">
        <v>1066302.3500000001</v>
      </c>
      <c r="O631">
        <v>387976.05</v>
      </c>
      <c r="P631">
        <v>678326.3</v>
      </c>
      <c r="Q631">
        <v>0.6361</v>
      </c>
      <c r="R631">
        <v>168</v>
      </c>
      <c r="S631">
        <v>155727.26</v>
      </c>
      <c r="T631">
        <v>0</v>
      </c>
      <c r="U631">
        <v>825.31</v>
      </c>
    </row>
    <row r="632" spans="1:21" x14ac:dyDescent="0.35">
      <c r="A632">
        <v>2024</v>
      </c>
      <c r="B632">
        <v>9</v>
      </c>
      <c r="C632">
        <v>3</v>
      </c>
      <c r="D632" s="1">
        <v>45536</v>
      </c>
      <c r="E632" s="4" t="s">
        <v>27</v>
      </c>
      <c r="F632" s="4" t="s">
        <v>24</v>
      </c>
      <c r="G632" s="4" t="s">
        <v>107</v>
      </c>
      <c r="H632">
        <v>84</v>
      </c>
      <c r="I632">
        <v>138</v>
      </c>
      <c r="J632">
        <v>2</v>
      </c>
      <c r="K632">
        <v>136</v>
      </c>
      <c r="L632">
        <v>243519.44</v>
      </c>
      <c r="M632">
        <v>3997</v>
      </c>
      <c r="N632">
        <v>239522.44</v>
      </c>
      <c r="O632">
        <v>136949.45000000001</v>
      </c>
      <c r="P632">
        <v>102572.99</v>
      </c>
      <c r="Q632">
        <v>0.42820000000000003</v>
      </c>
      <c r="R632">
        <v>9</v>
      </c>
      <c r="S632">
        <v>34532.44</v>
      </c>
      <c r="T632">
        <v>0</v>
      </c>
      <c r="U632">
        <v>2851.46</v>
      </c>
    </row>
    <row r="633" spans="1:21" x14ac:dyDescent="0.35">
      <c r="A633">
        <v>2024</v>
      </c>
      <c r="B633">
        <v>9</v>
      </c>
      <c r="C633">
        <v>3</v>
      </c>
      <c r="D633" s="1">
        <v>45536</v>
      </c>
      <c r="E633" s="4" t="s">
        <v>27</v>
      </c>
      <c r="F633" s="4" t="s">
        <v>24</v>
      </c>
      <c r="G633" s="4" t="s">
        <v>109</v>
      </c>
      <c r="H633">
        <v>405</v>
      </c>
      <c r="I633">
        <v>628</v>
      </c>
      <c r="J633">
        <v>11</v>
      </c>
      <c r="K633">
        <v>617</v>
      </c>
      <c r="L633">
        <v>1016759.5</v>
      </c>
      <c r="M633">
        <v>20669.12</v>
      </c>
      <c r="N633">
        <v>996090.38</v>
      </c>
      <c r="O633">
        <v>570959.4</v>
      </c>
      <c r="P633">
        <v>425130.98</v>
      </c>
      <c r="Q633">
        <v>0.42680000000000001</v>
      </c>
      <c r="R633">
        <v>58</v>
      </c>
      <c r="S633">
        <v>163647.20000000001</v>
      </c>
      <c r="T633">
        <v>0</v>
      </c>
      <c r="U633">
        <v>2459.48</v>
      </c>
    </row>
    <row r="634" spans="1:21" x14ac:dyDescent="0.35">
      <c r="A634">
        <v>2024</v>
      </c>
      <c r="B634">
        <v>9</v>
      </c>
      <c r="C634">
        <v>3</v>
      </c>
      <c r="D634" s="1">
        <v>45536</v>
      </c>
      <c r="E634" s="4" t="s">
        <v>27</v>
      </c>
      <c r="F634" s="4" t="s">
        <v>26</v>
      </c>
      <c r="G634" s="4" t="s">
        <v>107</v>
      </c>
      <c r="H634">
        <v>8</v>
      </c>
      <c r="I634">
        <v>11</v>
      </c>
      <c r="J634">
        <v>2</v>
      </c>
      <c r="K634">
        <v>9</v>
      </c>
      <c r="L634">
        <v>10305.4</v>
      </c>
      <c r="M634">
        <v>2370</v>
      </c>
      <c r="N634">
        <v>7935.4</v>
      </c>
      <c r="O634">
        <v>5443.8</v>
      </c>
      <c r="P634">
        <v>2491.6</v>
      </c>
      <c r="Q634">
        <v>0.314</v>
      </c>
      <c r="R634">
        <v>2</v>
      </c>
      <c r="S634">
        <v>4787.3999999999996</v>
      </c>
      <c r="T634">
        <v>0</v>
      </c>
      <c r="U634">
        <v>991.93</v>
      </c>
    </row>
    <row r="635" spans="1:21" x14ac:dyDescent="0.35">
      <c r="A635">
        <v>2024</v>
      </c>
      <c r="B635">
        <v>9</v>
      </c>
      <c r="C635">
        <v>3</v>
      </c>
      <c r="D635" s="1">
        <v>45536</v>
      </c>
      <c r="E635" s="4" t="s">
        <v>27</v>
      </c>
      <c r="F635" s="4" t="s">
        <v>26</v>
      </c>
      <c r="G635" s="4" t="s">
        <v>109</v>
      </c>
      <c r="H635">
        <v>78</v>
      </c>
      <c r="I635">
        <v>131</v>
      </c>
      <c r="J635">
        <v>0</v>
      </c>
      <c r="K635">
        <v>131</v>
      </c>
      <c r="L635">
        <v>80612.59</v>
      </c>
      <c r="M635">
        <v>0</v>
      </c>
      <c r="N635">
        <v>80612.59</v>
      </c>
      <c r="O635">
        <v>49936.800000000003</v>
      </c>
      <c r="P635">
        <v>30675.79</v>
      </c>
      <c r="Q635">
        <v>0.3805</v>
      </c>
      <c r="R635">
        <v>8</v>
      </c>
      <c r="S635">
        <v>11635.59</v>
      </c>
      <c r="T635">
        <v>0</v>
      </c>
      <c r="U635">
        <v>1033.49</v>
      </c>
    </row>
    <row r="636" spans="1:21" x14ac:dyDescent="0.35">
      <c r="A636">
        <v>2024</v>
      </c>
      <c r="B636">
        <v>9</v>
      </c>
      <c r="C636">
        <v>3</v>
      </c>
      <c r="D636" s="1">
        <v>45536</v>
      </c>
      <c r="E636" s="4" t="s">
        <v>34</v>
      </c>
      <c r="F636" s="4" t="s">
        <v>28</v>
      </c>
      <c r="G636" s="4" t="s">
        <v>107</v>
      </c>
      <c r="H636">
        <v>185</v>
      </c>
      <c r="I636">
        <v>267</v>
      </c>
      <c r="J636">
        <v>0</v>
      </c>
      <c r="K636">
        <v>267</v>
      </c>
      <c r="L636">
        <v>178483.12</v>
      </c>
      <c r="M636">
        <v>0</v>
      </c>
      <c r="N636">
        <v>178483.12</v>
      </c>
      <c r="O636">
        <v>64271.199999999997</v>
      </c>
      <c r="P636">
        <v>114211.92</v>
      </c>
      <c r="Q636">
        <v>0.63990000000000002</v>
      </c>
      <c r="R636">
        <v>20</v>
      </c>
      <c r="S636">
        <v>22583.98</v>
      </c>
      <c r="T636">
        <v>0</v>
      </c>
      <c r="U636">
        <v>964.77</v>
      </c>
    </row>
    <row r="637" spans="1:21" x14ac:dyDescent="0.35">
      <c r="A637">
        <v>2024</v>
      </c>
      <c r="B637">
        <v>9</v>
      </c>
      <c r="C637">
        <v>3</v>
      </c>
      <c r="D637" s="1">
        <v>45536</v>
      </c>
      <c r="E637" s="4" t="s">
        <v>34</v>
      </c>
      <c r="F637" s="4" t="s">
        <v>28</v>
      </c>
      <c r="G637" s="4" t="s">
        <v>108</v>
      </c>
      <c r="H637">
        <v>77</v>
      </c>
      <c r="I637">
        <v>117</v>
      </c>
      <c r="J637">
        <v>0</v>
      </c>
      <c r="K637">
        <v>117</v>
      </c>
      <c r="L637">
        <v>47656.62</v>
      </c>
      <c r="M637">
        <v>0</v>
      </c>
      <c r="N637">
        <v>47656.62</v>
      </c>
      <c r="O637">
        <v>17444.7</v>
      </c>
      <c r="P637">
        <v>30211.919999999998</v>
      </c>
      <c r="Q637">
        <v>0.63400000000000001</v>
      </c>
      <c r="R637">
        <v>11</v>
      </c>
      <c r="S637">
        <v>9316.6200000000008</v>
      </c>
      <c r="T637">
        <v>0</v>
      </c>
      <c r="U637">
        <v>618.91999999999996</v>
      </c>
    </row>
    <row r="638" spans="1:21" x14ac:dyDescent="0.35">
      <c r="A638">
        <v>2024</v>
      </c>
      <c r="B638">
        <v>9</v>
      </c>
      <c r="C638">
        <v>3</v>
      </c>
      <c r="D638" s="1">
        <v>45536</v>
      </c>
      <c r="E638" s="4" t="s">
        <v>34</v>
      </c>
      <c r="F638" s="4" t="s">
        <v>28</v>
      </c>
      <c r="G638" s="4" t="s">
        <v>109</v>
      </c>
      <c r="H638">
        <v>713</v>
      </c>
      <c r="I638">
        <v>1081</v>
      </c>
      <c r="J638">
        <v>0</v>
      </c>
      <c r="K638">
        <v>1081</v>
      </c>
      <c r="L638">
        <v>523888.83</v>
      </c>
      <c r="M638">
        <v>0</v>
      </c>
      <c r="N638">
        <v>523888.83</v>
      </c>
      <c r="O638">
        <v>189681.1</v>
      </c>
      <c r="P638">
        <v>334207.73</v>
      </c>
      <c r="Q638">
        <v>0.63790000000000002</v>
      </c>
      <c r="R638">
        <v>82</v>
      </c>
      <c r="S638">
        <v>70748.83</v>
      </c>
      <c r="T638">
        <v>0</v>
      </c>
      <c r="U638">
        <v>734.77</v>
      </c>
    </row>
    <row r="639" spans="1:21" x14ac:dyDescent="0.35">
      <c r="A639">
        <v>2024</v>
      </c>
      <c r="B639">
        <v>9</v>
      </c>
      <c r="C639">
        <v>3</v>
      </c>
      <c r="D639" s="1">
        <v>45536</v>
      </c>
      <c r="E639" s="4" t="s">
        <v>34</v>
      </c>
      <c r="F639" s="4" t="s">
        <v>24</v>
      </c>
      <c r="G639" s="4" t="s">
        <v>107</v>
      </c>
      <c r="H639">
        <v>81</v>
      </c>
      <c r="I639">
        <v>124</v>
      </c>
      <c r="J639">
        <v>3</v>
      </c>
      <c r="K639">
        <v>121</v>
      </c>
      <c r="L639">
        <v>215644.35</v>
      </c>
      <c r="M639">
        <v>3840.5</v>
      </c>
      <c r="N639">
        <v>211803.85</v>
      </c>
      <c r="O639">
        <v>120513.25</v>
      </c>
      <c r="P639">
        <v>91290.6</v>
      </c>
      <c r="Q639">
        <v>0.43099999999999999</v>
      </c>
      <c r="R639">
        <v>9</v>
      </c>
      <c r="S639">
        <v>26475.85</v>
      </c>
      <c r="T639">
        <v>0</v>
      </c>
      <c r="U639">
        <v>2614.86</v>
      </c>
    </row>
    <row r="640" spans="1:21" x14ac:dyDescent="0.35">
      <c r="A640">
        <v>2024</v>
      </c>
      <c r="B640">
        <v>9</v>
      </c>
      <c r="C640">
        <v>3</v>
      </c>
      <c r="D640" s="1">
        <v>45536</v>
      </c>
      <c r="E640" s="4" t="s">
        <v>34</v>
      </c>
      <c r="F640" s="4" t="s">
        <v>24</v>
      </c>
      <c r="G640" s="4" t="s">
        <v>108</v>
      </c>
      <c r="H640">
        <v>19</v>
      </c>
      <c r="I640">
        <v>29</v>
      </c>
      <c r="J640">
        <v>0</v>
      </c>
      <c r="K640">
        <v>29</v>
      </c>
      <c r="L640">
        <v>39715.199999999997</v>
      </c>
      <c r="M640">
        <v>0</v>
      </c>
      <c r="N640">
        <v>39715.199999999997</v>
      </c>
      <c r="O640">
        <v>21995.05</v>
      </c>
      <c r="P640">
        <v>17720.150000000001</v>
      </c>
      <c r="Q640">
        <v>0.44619999999999999</v>
      </c>
      <c r="R640">
        <v>1</v>
      </c>
      <c r="S640">
        <v>2482.1999999999998</v>
      </c>
      <c r="T640">
        <v>0</v>
      </c>
      <c r="U640">
        <v>2090.27</v>
      </c>
    </row>
    <row r="641" spans="1:21" x14ac:dyDescent="0.35">
      <c r="A641">
        <v>2024</v>
      </c>
      <c r="B641">
        <v>9</v>
      </c>
      <c r="C641">
        <v>3</v>
      </c>
      <c r="D641" s="1">
        <v>45536</v>
      </c>
      <c r="E641" s="4" t="s">
        <v>34</v>
      </c>
      <c r="F641" s="4" t="s">
        <v>24</v>
      </c>
      <c r="G641" s="4" t="s">
        <v>109</v>
      </c>
      <c r="H641">
        <v>222</v>
      </c>
      <c r="I641">
        <v>333</v>
      </c>
      <c r="J641">
        <v>5</v>
      </c>
      <c r="K641">
        <v>328</v>
      </c>
      <c r="L641">
        <v>538839.34</v>
      </c>
      <c r="M641">
        <v>10288</v>
      </c>
      <c r="N641">
        <v>528551.34</v>
      </c>
      <c r="O641">
        <v>305952.34999999998</v>
      </c>
      <c r="P641">
        <v>222598.99</v>
      </c>
      <c r="Q641">
        <v>0.42109999999999997</v>
      </c>
      <c r="R641">
        <v>31</v>
      </c>
      <c r="S641">
        <v>93230.34</v>
      </c>
      <c r="T641">
        <v>0</v>
      </c>
      <c r="U641">
        <v>2380.86</v>
      </c>
    </row>
    <row r="642" spans="1:21" x14ac:dyDescent="0.35">
      <c r="A642">
        <v>2024</v>
      </c>
      <c r="B642">
        <v>9</v>
      </c>
      <c r="C642">
        <v>3</v>
      </c>
      <c r="D642" s="1">
        <v>45536</v>
      </c>
      <c r="E642" s="4" t="s">
        <v>34</v>
      </c>
      <c r="F642" s="4" t="s">
        <v>26</v>
      </c>
      <c r="G642" s="4" t="s">
        <v>107</v>
      </c>
      <c r="H642">
        <v>4</v>
      </c>
      <c r="I642">
        <v>9</v>
      </c>
      <c r="J642">
        <v>0</v>
      </c>
      <c r="K642">
        <v>9</v>
      </c>
      <c r="L642">
        <v>4924.92</v>
      </c>
      <c r="M642">
        <v>0</v>
      </c>
      <c r="N642">
        <v>4924.92</v>
      </c>
      <c r="O642">
        <v>3088.8</v>
      </c>
      <c r="P642">
        <v>1836.12</v>
      </c>
      <c r="Q642">
        <v>0.37280000000000002</v>
      </c>
      <c r="R642">
        <v>1</v>
      </c>
      <c r="S642">
        <v>1492.92</v>
      </c>
      <c r="T642">
        <v>0</v>
      </c>
      <c r="U642">
        <v>1231.23</v>
      </c>
    </row>
    <row r="643" spans="1:21" x14ac:dyDescent="0.35">
      <c r="A643">
        <v>2024</v>
      </c>
      <c r="B643">
        <v>9</v>
      </c>
      <c r="C643">
        <v>3</v>
      </c>
      <c r="D643" s="1">
        <v>45536</v>
      </c>
      <c r="E643" s="4" t="s">
        <v>34</v>
      </c>
      <c r="F643" s="4" t="s">
        <v>26</v>
      </c>
      <c r="G643" s="4" t="s">
        <v>108</v>
      </c>
      <c r="H643">
        <v>5</v>
      </c>
      <c r="I643">
        <v>8</v>
      </c>
      <c r="J643">
        <v>0</v>
      </c>
      <c r="K643">
        <v>8</v>
      </c>
      <c r="L643">
        <v>5606.4</v>
      </c>
      <c r="M643">
        <v>0</v>
      </c>
      <c r="N643">
        <v>5606.4</v>
      </c>
      <c r="O643">
        <v>3385.8</v>
      </c>
      <c r="P643">
        <v>2220.6</v>
      </c>
      <c r="Q643">
        <v>0.39610000000000001</v>
      </c>
      <c r="R643">
        <v>1</v>
      </c>
      <c r="S643">
        <v>695.4</v>
      </c>
      <c r="T643">
        <v>0</v>
      </c>
      <c r="U643">
        <v>1121.28</v>
      </c>
    </row>
    <row r="644" spans="1:21" x14ac:dyDescent="0.35">
      <c r="A644">
        <v>2024</v>
      </c>
      <c r="B644">
        <v>9</v>
      </c>
      <c r="C644">
        <v>3</v>
      </c>
      <c r="D644" s="1">
        <v>45536</v>
      </c>
      <c r="E644" s="4" t="s">
        <v>34</v>
      </c>
      <c r="F644" s="4" t="s">
        <v>26</v>
      </c>
      <c r="G644" s="4" t="s">
        <v>109</v>
      </c>
      <c r="H644">
        <v>49</v>
      </c>
      <c r="I644">
        <v>71</v>
      </c>
      <c r="J644">
        <v>1</v>
      </c>
      <c r="K644">
        <v>70</v>
      </c>
      <c r="L644">
        <v>48670.53</v>
      </c>
      <c r="M644">
        <v>457</v>
      </c>
      <c r="N644">
        <v>48213.53</v>
      </c>
      <c r="O644">
        <v>29524.799999999999</v>
      </c>
      <c r="P644">
        <v>18688.73</v>
      </c>
      <c r="Q644">
        <v>0.3876</v>
      </c>
      <c r="R644">
        <v>5</v>
      </c>
      <c r="S644">
        <v>7466.53</v>
      </c>
      <c r="T644">
        <v>0</v>
      </c>
      <c r="U644">
        <v>983.95</v>
      </c>
    </row>
    <row r="645" spans="1:21" x14ac:dyDescent="0.35">
      <c r="A645">
        <v>2024</v>
      </c>
      <c r="B645">
        <v>9</v>
      </c>
      <c r="C645">
        <v>3</v>
      </c>
      <c r="D645" s="1">
        <v>45536</v>
      </c>
      <c r="E645" s="4" t="s">
        <v>36</v>
      </c>
      <c r="F645" s="4" t="s">
        <v>28</v>
      </c>
      <c r="G645" s="4" t="s">
        <v>107</v>
      </c>
      <c r="H645">
        <v>84</v>
      </c>
      <c r="I645">
        <v>128</v>
      </c>
      <c r="J645">
        <v>0</v>
      </c>
      <c r="K645">
        <v>128</v>
      </c>
      <c r="L645">
        <v>77872.11</v>
      </c>
      <c r="M645">
        <v>0</v>
      </c>
      <c r="N645">
        <v>77872.11</v>
      </c>
      <c r="O645">
        <v>28687.75</v>
      </c>
      <c r="P645">
        <v>49184.36</v>
      </c>
      <c r="Q645">
        <v>0.63160000000000005</v>
      </c>
      <c r="R645">
        <v>12</v>
      </c>
      <c r="S645">
        <v>13076.11</v>
      </c>
      <c r="T645">
        <v>0</v>
      </c>
      <c r="U645">
        <v>927.05</v>
      </c>
    </row>
    <row r="646" spans="1:21" x14ac:dyDescent="0.35">
      <c r="A646">
        <v>2024</v>
      </c>
      <c r="B646">
        <v>9</v>
      </c>
      <c r="C646">
        <v>3</v>
      </c>
      <c r="D646" s="1">
        <v>45536</v>
      </c>
      <c r="E646" s="4" t="s">
        <v>36</v>
      </c>
      <c r="F646" s="4" t="s">
        <v>28</v>
      </c>
      <c r="G646" s="4" t="s">
        <v>108</v>
      </c>
      <c r="H646">
        <v>148</v>
      </c>
      <c r="I646">
        <v>221</v>
      </c>
      <c r="J646">
        <v>0</v>
      </c>
      <c r="K646">
        <v>221</v>
      </c>
      <c r="L646">
        <v>72266.350000000006</v>
      </c>
      <c r="M646">
        <v>0</v>
      </c>
      <c r="N646">
        <v>72266.350000000006</v>
      </c>
      <c r="O646">
        <v>25970.35</v>
      </c>
      <c r="P646">
        <v>46296</v>
      </c>
      <c r="Q646">
        <v>0.64059999999999995</v>
      </c>
      <c r="R646">
        <v>13</v>
      </c>
      <c r="S646">
        <v>8801.35</v>
      </c>
      <c r="T646">
        <v>0</v>
      </c>
      <c r="U646">
        <v>488.29</v>
      </c>
    </row>
    <row r="647" spans="1:21" x14ac:dyDescent="0.35">
      <c r="A647">
        <v>2024</v>
      </c>
      <c r="B647">
        <v>9</v>
      </c>
      <c r="C647">
        <v>3</v>
      </c>
      <c r="D647" s="1">
        <v>45536</v>
      </c>
      <c r="E647" s="4" t="s">
        <v>36</v>
      </c>
      <c r="F647" s="4" t="s">
        <v>28</v>
      </c>
      <c r="G647" s="4" t="s">
        <v>109</v>
      </c>
      <c r="H647">
        <v>745</v>
      </c>
      <c r="I647">
        <v>1111</v>
      </c>
      <c r="J647">
        <v>0</v>
      </c>
      <c r="K647">
        <v>1111</v>
      </c>
      <c r="L647">
        <v>535979.89</v>
      </c>
      <c r="M647">
        <v>0</v>
      </c>
      <c r="N647">
        <v>535979.89</v>
      </c>
      <c r="O647">
        <v>193945.15</v>
      </c>
      <c r="P647">
        <v>342034.74</v>
      </c>
      <c r="Q647">
        <v>0.6381</v>
      </c>
      <c r="R647">
        <v>83</v>
      </c>
      <c r="S647">
        <v>69756.81</v>
      </c>
      <c r="T647">
        <v>0</v>
      </c>
      <c r="U647">
        <v>719.44</v>
      </c>
    </row>
    <row r="648" spans="1:21" x14ac:dyDescent="0.35">
      <c r="A648">
        <v>2024</v>
      </c>
      <c r="B648">
        <v>9</v>
      </c>
      <c r="C648">
        <v>3</v>
      </c>
      <c r="D648" s="1">
        <v>45536</v>
      </c>
      <c r="E648" s="4" t="s">
        <v>36</v>
      </c>
      <c r="F648" s="4" t="s">
        <v>24</v>
      </c>
      <c r="G648" s="4" t="s">
        <v>107</v>
      </c>
      <c r="H648">
        <v>49</v>
      </c>
      <c r="I648">
        <v>77</v>
      </c>
      <c r="J648">
        <v>3</v>
      </c>
      <c r="K648">
        <v>74</v>
      </c>
      <c r="L648">
        <v>83775.8</v>
      </c>
      <c r="M648">
        <v>2082.5100000000002</v>
      </c>
      <c r="N648">
        <v>81693.289999999994</v>
      </c>
      <c r="O648">
        <v>45416.800000000003</v>
      </c>
      <c r="P648">
        <v>36276.49</v>
      </c>
      <c r="Q648">
        <v>0.44409999999999999</v>
      </c>
      <c r="R648">
        <v>5</v>
      </c>
      <c r="S648">
        <v>8544.2900000000009</v>
      </c>
      <c r="T648">
        <v>0</v>
      </c>
      <c r="U648">
        <v>1667.21</v>
      </c>
    </row>
    <row r="649" spans="1:21" x14ac:dyDescent="0.35">
      <c r="A649">
        <v>2024</v>
      </c>
      <c r="B649">
        <v>9</v>
      </c>
      <c r="C649">
        <v>3</v>
      </c>
      <c r="D649" s="1">
        <v>45536</v>
      </c>
      <c r="E649" s="4" t="s">
        <v>36</v>
      </c>
      <c r="F649" s="4" t="s">
        <v>24</v>
      </c>
      <c r="G649" s="4" t="s">
        <v>108</v>
      </c>
      <c r="H649">
        <v>31</v>
      </c>
      <c r="I649">
        <v>48</v>
      </c>
      <c r="J649">
        <v>0</v>
      </c>
      <c r="K649">
        <v>48</v>
      </c>
      <c r="L649">
        <v>80251.679999999993</v>
      </c>
      <c r="M649">
        <v>0</v>
      </c>
      <c r="N649">
        <v>80251.679999999993</v>
      </c>
      <c r="O649">
        <v>46156</v>
      </c>
      <c r="P649">
        <v>34095.68</v>
      </c>
      <c r="Q649">
        <v>0.4249</v>
      </c>
      <c r="R649">
        <v>4</v>
      </c>
      <c r="S649">
        <v>11623.68</v>
      </c>
      <c r="T649">
        <v>0</v>
      </c>
      <c r="U649">
        <v>2588.7600000000002</v>
      </c>
    </row>
    <row r="650" spans="1:21" x14ac:dyDescent="0.35">
      <c r="A650">
        <v>2024</v>
      </c>
      <c r="B650">
        <v>9</v>
      </c>
      <c r="C650">
        <v>3</v>
      </c>
      <c r="D650" s="1">
        <v>45536</v>
      </c>
      <c r="E650" s="4" t="s">
        <v>36</v>
      </c>
      <c r="F650" s="4" t="s">
        <v>24</v>
      </c>
      <c r="G650" s="4" t="s">
        <v>109</v>
      </c>
      <c r="H650">
        <v>142</v>
      </c>
      <c r="I650">
        <v>207</v>
      </c>
      <c r="J650">
        <v>13</v>
      </c>
      <c r="K650">
        <v>194</v>
      </c>
      <c r="L650">
        <v>325137.28999999998</v>
      </c>
      <c r="M650">
        <v>21812.5</v>
      </c>
      <c r="N650">
        <v>303324.78999999998</v>
      </c>
      <c r="O650">
        <v>174010.65</v>
      </c>
      <c r="P650">
        <v>129314.14</v>
      </c>
      <c r="Q650">
        <v>0.42630000000000001</v>
      </c>
      <c r="R650">
        <v>16</v>
      </c>
      <c r="S650">
        <v>38571.75</v>
      </c>
      <c r="T650">
        <v>0</v>
      </c>
      <c r="U650">
        <v>2136.09</v>
      </c>
    </row>
    <row r="651" spans="1:21" x14ac:dyDescent="0.35">
      <c r="A651">
        <v>2024</v>
      </c>
      <c r="B651">
        <v>9</v>
      </c>
      <c r="C651">
        <v>3</v>
      </c>
      <c r="D651" s="1">
        <v>45536</v>
      </c>
      <c r="E651" s="4" t="s">
        <v>36</v>
      </c>
      <c r="F651" s="4" t="s">
        <v>26</v>
      </c>
      <c r="G651" s="4" t="s">
        <v>107</v>
      </c>
      <c r="H651">
        <v>1</v>
      </c>
      <c r="I651">
        <v>1</v>
      </c>
      <c r="J651">
        <v>0</v>
      </c>
      <c r="K651">
        <v>1</v>
      </c>
      <c r="L651">
        <v>469</v>
      </c>
      <c r="M651">
        <v>0</v>
      </c>
      <c r="N651">
        <v>469</v>
      </c>
      <c r="O651">
        <v>281.39999999999998</v>
      </c>
      <c r="P651">
        <v>187.6</v>
      </c>
      <c r="Q651">
        <v>0.4</v>
      </c>
      <c r="R651">
        <v>0</v>
      </c>
      <c r="S651">
        <v>0</v>
      </c>
      <c r="T651">
        <v>0</v>
      </c>
      <c r="U651">
        <v>469</v>
      </c>
    </row>
    <row r="652" spans="1:21" x14ac:dyDescent="0.35">
      <c r="A652">
        <v>2024</v>
      </c>
      <c r="B652">
        <v>9</v>
      </c>
      <c r="C652">
        <v>3</v>
      </c>
      <c r="D652" s="1">
        <v>45536</v>
      </c>
      <c r="E652" s="4" t="s">
        <v>36</v>
      </c>
      <c r="F652" s="4" t="s">
        <v>26</v>
      </c>
      <c r="G652" s="4" t="s">
        <v>109</v>
      </c>
      <c r="H652">
        <v>63</v>
      </c>
      <c r="I652">
        <v>100</v>
      </c>
      <c r="J652">
        <v>1</v>
      </c>
      <c r="K652">
        <v>99</v>
      </c>
      <c r="L652">
        <v>80266.86</v>
      </c>
      <c r="M652">
        <v>527</v>
      </c>
      <c r="N652">
        <v>79739.86</v>
      </c>
      <c r="O652">
        <v>48895.199999999997</v>
      </c>
      <c r="P652">
        <v>30844.66</v>
      </c>
      <c r="Q652">
        <v>0.38679999999999998</v>
      </c>
      <c r="R652">
        <v>9</v>
      </c>
      <c r="S652">
        <v>7718.75</v>
      </c>
      <c r="T652">
        <v>0</v>
      </c>
      <c r="U652">
        <v>1265.71</v>
      </c>
    </row>
    <row r="653" spans="1:21" x14ac:dyDescent="0.35">
      <c r="A653">
        <v>2024</v>
      </c>
      <c r="B653">
        <v>9</v>
      </c>
      <c r="C653">
        <v>3</v>
      </c>
      <c r="D653" s="1">
        <v>45536</v>
      </c>
      <c r="E653" s="4" t="s">
        <v>23</v>
      </c>
      <c r="F653" s="4" t="s">
        <v>28</v>
      </c>
      <c r="G653" s="4" t="s">
        <v>107</v>
      </c>
      <c r="H653">
        <v>112</v>
      </c>
      <c r="I653">
        <v>168</v>
      </c>
      <c r="J653">
        <v>0</v>
      </c>
      <c r="K653">
        <v>168</v>
      </c>
      <c r="L653">
        <v>53880.58</v>
      </c>
      <c r="M653">
        <v>0</v>
      </c>
      <c r="N653">
        <v>53880.58</v>
      </c>
      <c r="O653">
        <v>19874.400000000001</v>
      </c>
      <c r="P653">
        <v>34006.18</v>
      </c>
      <c r="Q653">
        <v>0.63109999999999999</v>
      </c>
      <c r="R653">
        <v>15</v>
      </c>
      <c r="S653">
        <v>9940.58</v>
      </c>
      <c r="T653">
        <v>0</v>
      </c>
      <c r="U653">
        <v>481.08</v>
      </c>
    </row>
    <row r="654" spans="1:21" x14ac:dyDescent="0.35">
      <c r="A654">
        <v>2024</v>
      </c>
      <c r="B654">
        <v>9</v>
      </c>
      <c r="C654">
        <v>3</v>
      </c>
      <c r="D654" s="1">
        <v>45536</v>
      </c>
      <c r="E654" s="4" t="s">
        <v>23</v>
      </c>
      <c r="F654" s="4" t="s">
        <v>28</v>
      </c>
      <c r="G654" s="4" t="s">
        <v>108</v>
      </c>
      <c r="H654">
        <v>49</v>
      </c>
      <c r="I654">
        <v>73</v>
      </c>
      <c r="J654">
        <v>0</v>
      </c>
      <c r="K654">
        <v>73</v>
      </c>
      <c r="L654">
        <v>49013.16</v>
      </c>
      <c r="M654">
        <v>0</v>
      </c>
      <c r="N654">
        <v>49013.16</v>
      </c>
      <c r="O654">
        <v>17961.650000000001</v>
      </c>
      <c r="P654">
        <v>31051.51</v>
      </c>
      <c r="Q654">
        <v>0.63349999999999995</v>
      </c>
      <c r="R654">
        <v>6</v>
      </c>
      <c r="S654">
        <v>8942.16</v>
      </c>
      <c r="T654">
        <v>0</v>
      </c>
      <c r="U654">
        <v>1000.27</v>
      </c>
    </row>
    <row r="655" spans="1:21" x14ac:dyDescent="0.35">
      <c r="A655">
        <v>2024</v>
      </c>
      <c r="B655">
        <v>9</v>
      </c>
      <c r="C655">
        <v>3</v>
      </c>
      <c r="D655" s="1">
        <v>45536</v>
      </c>
      <c r="E655" s="4" t="s">
        <v>23</v>
      </c>
      <c r="F655" s="4" t="s">
        <v>28</v>
      </c>
      <c r="G655" s="4" t="s">
        <v>109</v>
      </c>
      <c r="H655">
        <v>608</v>
      </c>
      <c r="I655">
        <v>905</v>
      </c>
      <c r="J655">
        <v>0</v>
      </c>
      <c r="K655">
        <v>905</v>
      </c>
      <c r="L655">
        <v>422415.73</v>
      </c>
      <c r="M655">
        <v>0</v>
      </c>
      <c r="N655">
        <v>422415.73</v>
      </c>
      <c r="O655">
        <v>153051.5</v>
      </c>
      <c r="P655">
        <v>269364.23</v>
      </c>
      <c r="Q655">
        <v>0.63770000000000004</v>
      </c>
      <c r="R655">
        <v>75</v>
      </c>
      <c r="S655">
        <v>58950.46</v>
      </c>
      <c r="T655">
        <v>0</v>
      </c>
      <c r="U655">
        <v>694.76</v>
      </c>
    </row>
    <row r="656" spans="1:21" x14ac:dyDescent="0.35">
      <c r="A656">
        <v>2024</v>
      </c>
      <c r="B656">
        <v>9</v>
      </c>
      <c r="C656">
        <v>3</v>
      </c>
      <c r="D656" s="1">
        <v>45536</v>
      </c>
      <c r="E656" s="4" t="s">
        <v>23</v>
      </c>
      <c r="F656" s="4" t="s">
        <v>24</v>
      </c>
      <c r="G656" s="4" t="s">
        <v>107</v>
      </c>
      <c r="H656">
        <v>82</v>
      </c>
      <c r="I656">
        <v>116</v>
      </c>
      <c r="J656">
        <v>3</v>
      </c>
      <c r="K656">
        <v>113</v>
      </c>
      <c r="L656">
        <v>207240.93</v>
      </c>
      <c r="M656">
        <v>6759.24</v>
      </c>
      <c r="N656">
        <v>200481.69</v>
      </c>
      <c r="O656">
        <v>113300</v>
      </c>
      <c r="P656">
        <v>87181.69</v>
      </c>
      <c r="Q656">
        <v>0.43490000000000001</v>
      </c>
      <c r="R656">
        <v>8</v>
      </c>
      <c r="S656">
        <v>21699.69</v>
      </c>
      <c r="T656">
        <v>0</v>
      </c>
      <c r="U656">
        <v>2444.9</v>
      </c>
    </row>
    <row r="657" spans="1:21" x14ac:dyDescent="0.35">
      <c r="A657">
        <v>2024</v>
      </c>
      <c r="B657">
        <v>9</v>
      </c>
      <c r="C657">
        <v>3</v>
      </c>
      <c r="D657" s="1">
        <v>45536</v>
      </c>
      <c r="E657" s="4" t="s">
        <v>23</v>
      </c>
      <c r="F657" s="4" t="s">
        <v>24</v>
      </c>
      <c r="G657" s="4" t="s">
        <v>109</v>
      </c>
      <c r="H657">
        <v>165</v>
      </c>
      <c r="I657">
        <v>270</v>
      </c>
      <c r="J657">
        <v>4</v>
      </c>
      <c r="K657">
        <v>266</v>
      </c>
      <c r="L657">
        <v>294969.17</v>
      </c>
      <c r="M657">
        <v>3404</v>
      </c>
      <c r="N657">
        <v>291565.17</v>
      </c>
      <c r="O657">
        <v>166552.65</v>
      </c>
      <c r="P657">
        <v>125012.52</v>
      </c>
      <c r="Q657">
        <v>0.42880000000000001</v>
      </c>
      <c r="R657">
        <v>18</v>
      </c>
      <c r="S657">
        <v>47516.17</v>
      </c>
      <c r="T657">
        <v>0</v>
      </c>
      <c r="U657">
        <v>1767.06</v>
      </c>
    </row>
    <row r="658" spans="1:21" x14ac:dyDescent="0.35">
      <c r="A658">
        <v>2024</v>
      </c>
      <c r="B658">
        <v>9</v>
      </c>
      <c r="C658">
        <v>3</v>
      </c>
      <c r="D658" s="1">
        <v>45536</v>
      </c>
      <c r="E658" s="4" t="s">
        <v>23</v>
      </c>
      <c r="F658" s="4" t="s">
        <v>26</v>
      </c>
      <c r="G658" s="4" t="s">
        <v>107</v>
      </c>
      <c r="H658">
        <v>10</v>
      </c>
      <c r="I658">
        <v>18</v>
      </c>
      <c r="J658">
        <v>0</v>
      </c>
      <c r="K658">
        <v>18</v>
      </c>
      <c r="L658">
        <v>10031</v>
      </c>
      <c r="M658">
        <v>0</v>
      </c>
      <c r="N658">
        <v>10031</v>
      </c>
      <c r="O658">
        <v>6244.8</v>
      </c>
      <c r="P658">
        <v>3786.2</v>
      </c>
      <c r="Q658">
        <v>0.37740000000000001</v>
      </c>
      <c r="R658">
        <v>1</v>
      </c>
      <c r="S658">
        <v>923</v>
      </c>
      <c r="T658">
        <v>0</v>
      </c>
      <c r="U658">
        <v>1003.1</v>
      </c>
    </row>
    <row r="659" spans="1:21" x14ac:dyDescent="0.35">
      <c r="A659">
        <v>2024</v>
      </c>
      <c r="B659">
        <v>9</v>
      </c>
      <c r="C659">
        <v>3</v>
      </c>
      <c r="D659" s="1">
        <v>45536</v>
      </c>
      <c r="E659" s="4" t="s">
        <v>23</v>
      </c>
      <c r="F659" s="4" t="s">
        <v>26</v>
      </c>
      <c r="G659" s="4" t="s">
        <v>109</v>
      </c>
      <c r="H659">
        <v>35</v>
      </c>
      <c r="I659">
        <v>58</v>
      </c>
      <c r="J659">
        <v>4</v>
      </c>
      <c r="K659">
        <v>54</v>
      </c>
      <c r="L659">
        <v>36301.300000000003</v>
      </c>
      <c r="M659">
        <v>2798</v>
      </c>
      <c r="N659">
        <v>33503.300000000003</v>
      </c>
      <c r="O659">
        <v>21094.2</v>
      </c>
      <c r="P659">
        <v>12409.1</v>
      </c>
      <c r="Q659">
        <v>0.37040000000000001</v>
      </c>
      <c r="R659">
        <v>4</v>
      </c>
      <c r="S659">
        <v>5703.3</v>
      </c>
      <c r="T659">
        <v>0</v>
      </c>
      <c r="U659">
        <v>957.24</v>
      </c>
    </row>
    <row r="660" spans="1:21" x14ac:dyDescent="0.35">
      <c r="A660">
        <v>2024</v>
      </c>
      <c r="B660">
        <v>9</v>
      </c>
      <c r="C660">
        <v>3</v>
      </c>
      <c r="D660" s="1">
        <v>45536</v>
      </c>
      <c r="E660" s="4" t="s">
        <v>25</v>
      </c>
      <c r="F660" s="4" t="s">
        <v>28</v>
      </c>
      <c r="G660" s="4" t="s">
        <v>107</v>
      </c>
      <c r="H660">
        <v>41</v>
      </c>
      <c r="I660">
        <v>59</v>
      </c>
      <c r="J660">
        <v>0</v>
      </c>
      <c r="K660">
        <v>59</v>
      </c>
      <c r="L660">
        <v>28602.35</v>
      </c>
      <c r="M660">
        <v>0</v>
      </c>
      <c r="N660">
        <v>28602.35</v>
      </c>
      <c r="O660">
        <v>10263.049999999999</v>
      </c>
      <c r="P660">
        <v>18339.3</v>
      </c>
      <c r="Q660">
        <v>0.64119999999999999</v>
      </c>
      <c r="R660">
        <v>3</v>
      </c>
      <c r="S660">
        <v>2261.35</v>
      </c>
      <c r="T660">
        <v>0</v>
      </c>
      <c r="U660">
        <v>697.62</v>
      </c>
    </row>
    <row r="661" spans="1:21" x14ac:dyDescent="0.35">
      <c r="A661">
        <v>2024</v>
      </c>
      <c r="B661">
        <v>9</v>
      </c>
      <c r="C661">
        <v>3</v>
      </c>
      <c r="D661" s="1">
        <v>45536</v>
      </c>
      <c r="E661" s="4" t="s">
        <v>25</v>
      </c>
      <c r="F661" s="4" t="s">
        <v>28</v>
      </c>
      <c r="G661" s="4" t="s">
        <v>109</v>
      </c>
      <c r="H661">
        <v>702</v>
      </c>
      <c r="I661">
        <v>1115</v>
      </c>
      <c r="J661">
        <v>0</v>
      </c>
      <c r="K661">
        <v>1115</v>
      </c>
      <c r="L661">
        <v>584937.26</v>
      </c>
      <c r="M661">
        <v>0</v>
      </c>
      <c r="N661">
        <v>584937.26</v>
      </c>
      <c r="O661">
        <v>214071.55</v>
      </c>
      <c r="P661">
        <v>370865.71</v>
      </c>
      <c r="Q661">
        <v>0.63400000000000001</v>
      </c>
      <c r="R661">
        <v>108</v>
      </c>
      <c r="S661">
        <v>102494.26</v>
      </c>
      <c r="T661">
        <v>0</v>
      </c>
      <c r="U661">
        <v>833.24</v>
      </c>
    </row>
    <row r="662" spans="1:21" x14ac:dyDescent="0.35">
      <c r="A662">
        <v>2024</v>
      </c>
      <c r="B662">
        <v>9</v>
      </c>
      <c r="C662">
        <v>3</v>
      </c>
      <c r="D662" s="1">
        <v>45536</v>
      </c>
      <c r="E662" s="4" t="s">
        <v>25</v>
      </c>
      <c r="F662" s="4" t="s">
        <v>24</v>
      </c>
      <c r="G662" s="4" t="s">
        <v>107</v>
      </c>
      <c r="H662">
        <v>29</v>
      </c>
      <c r="I662">
        <v>39</v>
      </c>
      <c r="J662">
        <v>1</v>
      </c>
      <c r="K662">
        <v>38</v>
      </c>
      <c r="L662">
        <v>73597.460000000006</v>
      </c>
      <c r="M662">
        <v>1835</v>
      </c>
      <c r="N662">
        <v>71762.460000000006</v>
      </c>
      <c r="O662">
        <v>40196.199999999997</v>
      </c>
      <c r="P662">
        <v>31566.26</v>
      </c>
      <c r="Q662">
        <v>0.43990000000000001</v>
      </c>
      <c r="R662">
        <v>3</v>
      </c>
      <c r="S662">
        <v>10660.46</v>
      </c>
      <c r="T662">
        <v>0</v>
      </c>
      <c r="U662">
        <v>2474.5700000000002</v>
      </c>
    </row>
    <row r="663" spans="1:21" x14ac:dyDescent="0.35">
      <c r="A663">
        <v>2024</v>
      </c>
      <c r="B663">
        <v>9</v>
      </c>
      <c r="C663">
        <v>3</v>
      </c>
      <c r="D663" s="1">
        <v>45536</v>
      </c>
      <c r="E663" s="4" t="s">
        <v>25</v>
      </c>
      <c r="F663" s="4" t="s">
        <v>24</v>
      </c>
      <c r="G663" s="4" t="s">
        <v>109</v>
      </c>
      <c r="H663">
        <v>193</v>
      </c>
      <c r="I663">
        <v>276</v>
      </c>
      <c r="J663">
        <v>6</v>
      </c>
      <c r="K663">
        <v>270</v>
      </c>
      <c r="L663">
        <v>404003.32</v>
      </c>
      <c r="M663">
        <v>11310.36</v>
      </c>
      <c r="N663">
        <v>392692.96</v>
      </c>
      <c r="O663">
        <v>224133.8</v>
      </c>
      <c r="P663">
        <v>168559.16</v>
      </c>
      <c r="Q663">
        <v>0.42920000000000003</v>
      </c>
      <c r="R663">
        <v>26</v>
      </c>
      <c r="S663">
        <v>60525.96</v>
      </c>
      <c r="T663">
        <v>0</v>
      </c>
      <c r="U663">
        <v>2034.68</v>
      </c>
    </row>
    <row r="664" spans="1:21" x14ac:dyDescent="0.35">
      <c r="A664">
        <v>2024</v>
      </c>
      <c r="B664">
        <v>9</v>
      </c>
      <c r="C664">
        <v>3</v>
      </c>
      <c r="D664" s="1">
        <v>45536</v>
      </c>
      <c r="E664" s="4" t="s">
        <v>25</v>
      </c>
      <c r="F664" s="4" t="s">
        <v>26</v>
      </c>
      <c r="G664" s="4" t="s">
        <v>107</v>
      </c>
      <c r="H664">
        <v>15</v>
      </c>
      <c r="I664">
        <v>25</v>
      </c>
      <c r="J664">
        <v>0</v>
      </c>
      <c r="K664">
        <v>25</v>
      </c>
      <c r="L664">
        <v>22303.4</v>
      </c>
      <c r="M664">
        <v>0</v>
      </c>
      <c r="N664">
        <v>22303.4</v>
      </c>
      <c r="O664">
        <v>13881</v>
      </c>
      <c r="P664">
        <v>8422.4</v>
      </c>
      <c r="Q664">
        <v>0.37759999999999999</v>
      </c>
      <c r="R664">
        <v>3</v>
      </c>
      <c r="S664">
        <v>4901.3999999999996</v>
      </c>
      <c r="T664">
        <v>0</v>
      </c>
      <c r="U664">
        <v>1486.89</v>
      </c>
    </row>
    <row r="665" spans="1:21" x14ac:dyDescent="0.35">
      <c r="A665">
        <v>2024</v>
      </c>
      <c r="B665">
        <v>9</v>
      </c>
      <c r="C665">
        <v>3</v>
      </c>
      <c r="D665" s="1">
        <v>45536</v>
      </c>
      <c r="E665" s="4" t="s">
        <v>25</v>
      </c>
      <c r="F665" s="4" t="s">
        <v>26</v>
      </c>
      <c r="G665" s="4" t="s">
        <v>109</v>
      </c>
      <c r="H665">
        <v>68</v>
      </c>
      <c r="I665">
        <v>107</v>
      </c>
      <c r="J665">
        <v>4</v>
      </c>
      <c r="K665">
        <v>103</v>
      </c>
      <c r="L665">
        <v>71842.490000000005</v>
      </c>
      <c r="M665">
        <v>2592</v>
      </c>
      <c r="N665">
        <v>69250.490000000005</v>
      </c>
      <c r="O665">
        <v>43407</v>
      </c>
      <c r="P665">
        <v>25843.49</v>
      </c>
      <c r="Q665">
        <v>0.37319999999999998</v>
      </c>
      <c r="R665">
        <v>10</v>
      </c>
      <c r="S665">
        <v>12173.49</v>
      </c>
      <c r="T665">
        <v>0</v>
      </c>
      <c r="U665">
        <v>1018.39</v>
      </c>
    </row>
    <row r="666" spans="1:21" x14ac:dyDescent="0.35">
      <c r="A666">
        <v>2024</v>
      </c>
      <c r="B666">
        <v>9</v>
      </c>
      <c r="C666">
        <v>3</v>
      </c>
      <c r="D666" s="1">
        <v>45536</v>
      </c>
      <c r="E666" s="4" t="s">
        <v>29</v>
      </c>
      <c r="F666" s="4" t="s">
        <v>28</v>
      </c>
      <c r="G666" s="4" t="s">
        <v>107</v>
      </c>
      <c r="H666">
        <v>247</v>
      </c>
      <c r="I666">
        <v>347</v>
      </c>
      <c r="J666">
        <v>0</v>
      </c>
      <c r="K666">
        <v>347</v>
      </c>
      <c r="L666">
        <v>161400.35999999999</v>
      </c>
      <c r="M666">
        <v>0</v>
      </c>
      <c r="N666">
        <v>161400.35999999999</v>
      </c>
      <c r="O666">
        <v>57636.6</v>
      </c>
      <c r="P666">
        <v>103763.76</v>
      </c>
      <c r="Q666">
        <v>0.64290000000000003</v>
      </c>
      <c r="R666">
        <v>21</v>
      </c>
      <c r="S666">
        <v>14484.36</v>
      </c>
      <c r="T666">
        <v>0</v>
      </c>
      <c r="U666">
        <v>653.44000000000005</v>
      </c>
    </row>
    <row r="667" spans="1:21" x14ac:dyDescent="0.35">
      <c r="A667">
        <v>2024</v>
      </c>
      <c r="B667">
        <v>9</v>
      </c>
      <c r="C667">
        <v>3</v>
      </c>
      <c r="D667" s="1">
        <v>45536</v>
      </c>
      <c r="E667" s="4" t="s">
        <v>29</v>
      </c>
      <c r="F667" s="4" t="s">
        <v>28</v>
      </c>
      <c r="G667" s="4" t="s">
        <v>108</v>
      </c>
      <c r="H667">
        <v>40</v>
      </c>
      <c r="I667">
        <v>54</v>
      </c>
      <c r="J667">
        <v>0</v>
      </c>
      <c r="K667">
        <v>54</v>
      </c>
      <c r="L667">
        <v>31305.919999999998</v>
      </c>
      <c r="M667">
        <v>0</v>
      </c>
      <c r="N667">
        <v>31305.919999999998</v>
      </c>
      <c r="O667">
        <v>11491.2</v>
      </c>
      <c r="P667">
        <v>19814.72</v>
      </c>
      <c r="Q667">
        <v>0.63290000000000002</v>
      </c>
      <c r="R667">
        <v>5</v>
      </c>
      <c r="S667">
        <v>5161.92</v>
      </c>
      <c r="T667">
        <v>0</v>
      </c>
      <c r="U667">
        <v>782.65</v>
      </c>
    </row>
    <row r="668" spans="1:21" x14ac:dyDescent="0.35">
      <c r="A668">
        <v>2024</v>
      </c>
      <c r="B668">
        <v>9</v>
      </c>
      <c r="C668">
        <v>3</v>
      </c>
      <c r="D668" s="1">
        <v>45536</v>
      </c>
      <c r="E668" s="4" t="s">
        <v>29</v>
      </c>
      <c r="F668" s="4" t="s">
        <v>28</v>
      </c>
      <c r="G668" s="4" t="s">
        <v>109</v>
      </c>
      <c r="H668">
        <v>927</v>
      </c>
      <c r="I668">
        <v>1418</v>
      </c>
      <c r="J668">
        <v>0</v>
      </c>
      <c r="K668">
        <v>1418</v>
      </c>
      <c r="L668">
        <v>668981.67000000004</v>
      </c>
      <c r="M668">
        <v>0</v>
      </c>
      <c r="N668">
        <v>668981.67000000004</v>
      </c>
      <c r="O668">
        <v>242725.35</v>
      </c>
      <c r="P668">
        <v>426256.32</v>
      </c>
      <c r="Q668">
        <v>0.63719999999999999</v>
      </c>
      <c r="R668">
        <v>112</v>
      </c>
      <c r="S668">
        <v>90612.6</v>
      </c>
      <c r="T668">
        <v>0</v>
      </c>
      <c r="U668">
        <v>721.66</v>
      </c>
    </row>
    <row r="669" spans="1:21" x14ac:dyDescent="0.35">
      <c r="A669">
        <v>2024</v>
      </c>
      <c r="B669">
        <v>9</v>
      </c>
      <c r="C669">
        <v>3</v>
      </c>
      <c r="D669" s="1">
        <v>45536</v>
      </c>
      <c r="E669" s="4" t="s">
        <v>29</v>
      </c>
      <c r="F669" s="4" t="s">
        <v>35</v>
      </c>
      <c r="G669" s="4" t="s">
        <v>109</v>
      </c>
      <c r="H669">
        <v>1</v>
      </c>
      <c r="I669">
        <v>3</v>
      </c>
      <c r="J669">
        <v>0</v>
      </c>
      <c r="K669">
        <v>3</v>
      </c>
      <c r="L669">
        <v>1716</v>
      </c>
      <c r="M669">
        <v>0</v>
      </c>
      <c r="N669">
        <v>1716</v>
      </c>
      <c r="O669">
        <v>343.2</v>
      </c>
      <c r="P669">
        <v>1372.8</v>
      </c>
      <c r="Q669">
        <v>0.8</v>
      </c>
      <c r="R669">
        <v>0</v>
      </c>
      <c r="S669">
        <v>0</v>
      </c>
      <c r="T669">
        <v>0</v>
      </c>
      <c r="U669">
        <v>1716</v>
      </c>
    </row>
    <row r="670" spans="1:21" x14ac:dyDescent="0.35">
      <c r="A670">
        <v>2024</v>
      </c>
      <c r="B670">
        <v>9</v>
      </c>
      <c r="C670">
        <v>3</v>
      </c>
      <c r="D670" s="1">
        <v>45536</v>
      </c>
      <c r="E670" s="4" t="s">
        <v>29</v>
      </c>
      <c r="F670" s="4" t="s">
        <v>24</v>
      </c>
      <c r="G670" s="4" t="s">
        <v>107</v>
      </c>
      <c r="H670">
        <v>11</v>
      </c>
      <c r="I670">
        <v>13</v>
      </c>
      <c r="J670">
        <v>1</v>
      </c>
      <c r="K670">
        <v>12</v>
      </c>
      <c r="L670">
        <v>10661.76</v>
      </c>
      <c r="M670">
        <v>864</v>
      </c>
      <c r="N670">
        <v>9797.76</v>
      </c>
      <c r="O670">
        <v>5702.4</v>
      </c>
      <c r="P670">
        <v>4095.36</v>
      </c>
      <c r="Q670">
        <v>0.41799999999999998</v>
      </c>
      <c r="R670">
        <v>1</v>
      </c>
      <c r="S670">
        <v>1157.76</v>
      </c>
      <c r="T670">
        <v>0</v>
      </c>
      <c r="U670">
        <v>890.71</v>
      </c>
    </row>
    <row r="671" spans="1:21" x14ac:dyDescent="0.35">
      <c r="A671">
        <v>2024</v>
      </c>
      <c r="B671">
        <v>9</v>
      </c>
      <c r="C671">
        <v>3</v>
      </c>
      <c r="D671" s="1">
        <v>45536</v>
      </c>
      <c r="E671" s="4" t="s">
        <v>29</v>
      </c>
      <c r="F671" s="4" t="s">
        <v>24</v>
      </c>
      <c r="G671" s="4" t="s">
        <v>108</v>
      </c>
      <c r="H671">
        <v>18</v>
      </c>
      <c r="I671">
        <v>25</v>
      </c>
      <c r="J671">
        <v>0</v>
      </c>
      <c r="K671">
        <v>25</v>
      </c>
      <c r="L671">
        <v>18357.080000000002</v>
      </c>
      <c r="M671">
        <v>0</v>
      </c>
      <c r="N671">
        <v>18357.080000000002</v>
      </c>
      <c r="O671">
        <v>10202.5</v>
      </c>
      <c r="P671">
        <v>8154.58</v>
      </c>
      <c r="Q671">
        <v>0.44419999999999998</v>
      </c>
      <c r="R671">
        <v>1</v>
      </c>
      <c r="S671">
        <v>1291.08</v>
      </c>
      <c r="T671">
        <v>0</v>
      </c>
      <c r="U671">
        <v>1019.84</v>
      </c>
    </row>
    <row r="672" spans="1:21" x14ac:dyDescent="0.35">
      <c r="A672">
        <v>2024</v>
      </c>
      <c r="B672">
        <v>9</v>
      </c>
      <c r="C672">
        <v>3</v>
      </c>
      <c r="D672" s="1">
        <v>45536</v>
      </c>
      <c r="E672" s="4" t="s">
        <v>29</v>
      </c>
      <c r="F672" s="4" t="s">
        <v>24</v>
      </c>
      <c r="G672" s="4" t="s">
        <v>109</v>
      </c>
      <c r="H672">
        <v>163</v>
      </c>
      <c r="I672">
        <v>271</v>
      </c>
      <c r="J672">
        <v>1</v>
      </c>
      <c r="K672">
        <v>270</v>
      </c>
      <c r="L672">
        <v>525877.37</v>
      </c>
      <c r="M672">
        <v>2283</v>
      </c>
      <c r="N672">
        <v>523594.37</v>
      </c>
      <c r="O672">
        <v>305573.40000000002</v>
      </c>
      <c r="P672">
        <v>218020.97</v>
      </c>
      <c r="Q672">
        <v>0.41639999999999999</v>
      </c>
      <c r="R672">
        <v>31</v>
      </c>
      <c r="S672">
        <v>125771.37</v>
      </c>
      <c r="T672">
        <v>0</v>
      </c>
      <c r="U672">
        <v>3212.24</v>
      </c>
    </row>
    <row r="673" spans="1:21" x14ac:dyDescent="0.35">
      <c r="A673">
        <v>2024</v>
      </c>
      <c r="B673">
        <v>9</v>
      </c>
      <c r="C673">
        <v>3</v>
      </c>
      <c r="D673" s="1">
        <v>45536</v>
      </c>
      <c r="E673" s="4" t="s">
        <v>29</v>
      </c>
      <c r="F673" s="4" t="s">
        <v>26</v>
      </c>
      <c r="G673" s="4" t="s">
        <v>107</v>
      </c>
      <c r="H673">
        <v>24</v>
      </c>
      <c r="I673">
        <v>40</v>
      </c>
      <c r="J673">
        <v>0</v>
      </c>
      <c r="K673">
        <v>40</v>
      </c>
      <c r="L673">
        <v>27627.03</v>
      </c>
      <c r="M673">
        <v>0</v>
      </c>
      <c r="N673">
        <v>27627.03</v>
      </c>
      <c r="O673">
        <v>17089.2</v>
      </c>
      <c r="P673">
        <v>10537.83</v>
      </c>
      <c r="Q673">
        <v>0.38140000000000002</v>
      </c>
      <c r="R673">
        <v>3</v>
      </c>
      <c r="S673">
        <v>2326.0300000000002</v>
      </c>
      <c r="T673">
        <v>0</v>
      </c>
      <c r="U673">
        <v>1151.1300000000001</v>
      </c>
    </row>
    <row r="674" spans="1:21" x14ac:dyDescent="0.35">
      <c r="A674">
        <v>2024</v>
      </c>
      <c r="B674">
        <v>9</v>
      </c>
      <c r="C674">
        <v>3</v>
      </c>
      <c r="D674" s="1">
        <v>45536</v>
      </c>
      <c r="E674" s="4" t="s">
        <v>29</v>
      </c>
      <c r="F674" s="4" t="s">
        <v>26</v>
      </c>
      <c r="G674" s="4" t="s">
        <v>109</v>
      </c>
      <c r="H674">
        <v>23</v>
      </c>
      <c r="I674">
        <v>32</v>
      </c>
      <c r="J674">
        <v>0</v>
      </c>
      <c r="K674">
        <v>32</v>
      </c>
      <c r="L674">
        <v>23196.28</v>
      </c>
      <c r="M674">
        <v>0</v>
      </c>
      <c r="N674">
        <v>23196.28</v>
      </c>
      <c r="O674">
        <v>15065.4</v>
      </c>
      <c r="P674">
        <v>8130.88</v>
      </c>
      <c r="Q674">
        <v>0.35049999999999998</v>
      </c>
      <c r="R674">
        <v>5</v>
      </c>
      <c r="S674">
        <v>8881.2800000000007</v>
      </c>
      <c r="T674">
        <v>0</v>
      </c>
      <c r="U674">
        <v>1008.53</v>
      </c>
    </row>
    <row r="675" spans="1:21" x14ac:dyDescent="0.35">
      <c r="A675">
        <v>2024</v>
      </c>
      <c r="B675">
        <v>9</v>
      </c>
      <c r="C675">
        <v>3</v>
      </c>
      <c r="D675" s="1">
        <v>45536</v>
      </c>
      <c r="E675" s="4" t="s">
        <v>31</v>
      </c>
      <c r="F675" s="4" t="s">
        <v>28</v>
      </c>
      <c r="G675" s="4" t="s">
        <v>107</v>
      </c>
      <c r="H675">
        <v>95</v>
      </c>
      <c r="I675">
        <v>143</v>
      </c>
      <c r="J675">
        <v>0</v>
      </c>
      <c r="K675">
        <v>143</v>
      </c>
      <c r="L675">
        <v>54486.85</v>
      </c>
      <c r="M675">
        <v>0</v>
      </c>
      <c r="N675">
        <v>54486.85</v>
      </c>
      <c r="O675">
        <v>19534.2</v>
      </c>
      <c r="P675">
        <v>34952.65</v>
      </c>
      <c r="Q675">
        <v>0.64149999999999996</v>
      </c>
      <c r="R675">
        <v>8</v>
      </c>
      <c r="S675">
        <v>7539.85</v>
      </c>
      <c r="T675">
        <v>0</v>
      </c>
      <c r="U675">
        <v>573.54999999999995</v>
      </c>
    </row>
    <row r="676" spans="1:21" x14ac:dyDescent="0.35">
      <c r="A676">
        <v>2024</v>
      </c>
      <c r="B676">
        <v>9</v>
      </c>
      <c r="C676">
        <v>3</v>
      </c>
      <c r="D676" s="1">
        <v>45536</v>
      </c>
      <c r="E676" s="4" t="s">
        <v>31</v>
      </c>
      <c r="F676" s="4" t="s">
        <v>28</v>
      </c>
      <c r="G676" s="4" t="s">
        <v>108</v>
      </c>
      <c r="H676">
        <v>264</v>
      </c>
      <c r="I676">
        <v>393</v>
      </c>
      <c r="J676">
        <v>0</v>
      </c>
      <c r="K676">
        <v>393</v>
      </c>
      <c r="L676">
        <v>148442.23999999999</v>
      </c>
      <c r="M676">
        <v>0</v>
      </c>
      <c r="N676">
        <v>148442.23999999999</v>
      </c>
      <c r="O676">
        <v>54486.95</v>
      </c>
      <c r="P676">
        <v>93955.29</v>
      </c>
      <c r="Q676">
        <v>0.63290000000000002</v>
      </c>
      <c r="R676">
        <v>37</v>
      </c>
      <c r="S676">
        <v>25576.240000000002</v>
      </c>
      <c r="T676">
        <v>0</v>
      </c>
      <c r="U676">
        <v>562.28</v>
      </c>
    </row>
    <row r="677" spans="1:21" x14ac:dyDescent="0.35">
      <c r="A677">
        <v>2024</v>
      </c>
      <c r="B677">
        <v>9</v>
      </c>
      <c r="C677">
        <v>3</v>
      </c>
      <c r="D677" s="1">
        <v>45536</v>
      </c>
      <c r="E677" s="4" t="s">
        <v>31</v>
      </c>
      <c r="F677" s="4" t="s">
        <v>28</v>
      </c>
      <c r="G677" s="4" t="s">
        <v>109</v>
      </c>
      <c r="H677">
        <v>976</v>
      </c>
      <c r="I677">
        <v>1512</v>
      </c>
      <c r="J677">
        <v>0</v>
      </c>
      <c r="K677">
        <v>1512</v>
      </c>
      <c r="L677">
        <v>746021.14</v>
      </c>
      <c r="M677">
        <v>0</v>
      </c>
      <c r="N677">
        <v>746021.14</v>
      </c>
      <c r="O677">
        <v>270358.2</v>
      </c>
      <c r="P677">
        <v>475662.94</v>
      </c>
      <c r="Q677">
        <v>0.63759999999999994</v>
      </c>
      <c r="R677">
        <v>111</v>
      </c>
      <c r="S677">
        <v>108423.41</v>
      </c>
      <c r="T677">
        <v>0</v>
      </c>
      <c r="U677">
        <v>764.37</v>
      </c>
    </row>
    <row r="678" spans="1:21" x14ac:dyDescent="0.35">
      <c r="A678">
        <v>2024</v>
      </c>
      <c r="B678">
        <v>9</v>
      </c>
      <c r="C678">
        <v>3</v>
      </c>
      <c r="D678" s="1">
        <v>45536</v>
      </c>
      <c r="E678" s="4" t="s">
        <v>31</v>
      </c>
      <c r="F678" s="4" t="s">
        <v>35</v>
      </c>
      <c r="G678" s="4" t="s">
        <v>109</v>
      </c>
      <c r="H678">
        <v>2</v>
      </c>
      <c r="I678">
        <v>2</v>
      </c>
      <c r="J678">
        <v>0</v>
      </c>
      <c r="K678">
        <v>2</v>
      </c>
      <c r="L678">
        <v>838</v>
      </c>
      <c r="M678">
        <v>0</v>
      </c>
      <c r="N678">
        <v>838</v>
      </c>
      <c r="O678">
        <v>167.6</v>
      </c>
      <c r="P678">
        <v>670.4</v>
      </c>
      <c r="Q678">
        <v>0.8</v>
      </c>
      <c r="R678">
        <v>0</v>
      </c>
      <c r="S678">
        <v>0</v>
      </c>
      <c r="T678">
        <v>0</v>
      </c>
      <c r="U678">
        <v>419</v>
      </c>
    </row>
    <row r="679" spans="1:21" x14ac:dyDescent="0.35">
      <c r="A679">
        <v>2024</v>
      </c>
      <c r="B679">
        <v>9</v>
      </c>
      <c r="C679">
        <v>3</v>
      </c>
      <c r="D679" s="1">
        <v>45536</v>
      </c>
      <c r="E679" s="4" t="s">
        <v>31</v>
      </c>
      <c r="F679" s="4" t="s">
        <v>24</v>
      </c>
      <c r="G679" s="4" t="s">
        <v>107</v>
      </c>
      <c r="H679">
        <v>18</v>
      </c>
      <c r="I679">
        <v>27</v>
      </c>
      <c r="J679">
        <v>1</v>
      </c>
      <c r="K679">
        <v>26</v>
      </c>
      <c r="L679">
        <v>45955.9</v>
      </c>
      <c r="M679">
        <v>1810</v>
      </c>
      <c r="N679">
        <v>44145.9</v>
      </c>
      <c r="O679">
        <v>25883</v>
      </c>
      <c r="P679">
        <v>18262.900000000001</v>
      </c>
      <c r="Q679">
        <v>0.41370000000000001</v>
      </c>
      <c r="R679">
        <v>3</v>
      </c>
      <c r="S679">
        <v>9755.9</v>
      </c>
      <c r="T679">
        <v>0</v>
      </c>
      <c r="U679">
        <v>2452.5500000000002</v>
      </c>
    </row>
    <row r="680" spans="1:21" x14ac:dyDescent="0.35">
      <c r="A680">
        <v>2024</v>
      </c>
      <c r="B680">
        <v>9</v>
      </c>
      <c r="C680">
        <v>3</v>
      </c>
      <c r="D680" s="1">
        <v>45536</v>
      </c>
      <c r="E680" s="4" t="s">
        <v>31</v>
      </c>
      <c r="F680" s="4" t="s">
        <v>24</v>
      </c>
      <c r="G680" s="4" t="s">
        <v>109</v>
      </c>
      <c r="H680">
        <v>243</v>
      </c>
      <c r="I680">
        <v>376</v>
      </c>
      <c r="J680">
        <v>13</v>
      </c>
      <c r="K680">
        <v>363</v>
      </c>
      <c r="L680">
        <v>505559.16</v>
      </c>
      <c r="M680">
        <v>15712.34</v>
      </c>
      <c r="N680">
        <v>489846.82</v>
      </c>
      <c r="O680">
        <v>280374.05</v>
      </c>
      <c r="P680">
        <v>209472.77</v>
      </c>
      <c r="Q680">
        <v>0.42759999999999998</v>
      </c>
      <c r="R680">
        <v>29</v>
      </c>
      <c r="S680">
        <v>66432.820000000007</v>
      </c>
      <c r="T680">
        <v>0</v>
      </c>
      <c r="U680">
        <v>2015.83</v>
      </c>
    </row>
    <row r="681" spans="1:21" x14ac:dyDescent="0.35">
      <c r="A681">
        <v>2024</v>
      </c>
      <c r="B681">
        <v>9</v>
      </c>
      <c r="C681">
        <v>3</v>
      </c>
      <c r="D681" s="1">
        <v>45536</v>
      </c>
      <c r="E681" s="4" t="s">
        <v>31</v>
      </c>
      <c r="F681" s="4" t="s">
        <v>26</v>
      </c>
      <c r="G681" s="4" t="s">
        <v>107</v>
      </c>
      <c r="H681">
        <v>10</v>
      </c>
      <c r="I681">
        <v>15</v>
      </c>
      <c r="J681">
        <v>1</v>
      </c>
      <c r="K681">
        <v>14</v>
      </c>
      <c r="L681">
        <v>7067.42</v>
      </c>
      <c r="M681">
        <v>514</v>
      </c>
      <c r="N681">
        <v>6553.42</v>
      </c>
      <c r="O681">
        <v>4231.2</v>
      </c>
      <c r="P681">
        <v>2322.2199999999998</v>
      </c>
      <c r="Q681">
        <v>0.35439999999999999</v>
      </c>
      <c r="R681">
        <v>2</v>
      </c>
      <c r="S681">
        <v>2585.42</v>
      </c>
      <c r="T681">
        <v>0</v>
      </c>
      <c r="U681">
        <v>655.34</v>
      </c>
    </row>
    <row r="682" spans="1:21" x14ac:dyDescent="0.35">
      <c r="A682">
        <v>2024</v>
      </c>
      <c r="B682">
        <v>9</v>
      </c>
      <c r="C682">
        <v>3</v>
      </c>
      <c r="D682" s="1">
        <v>45536</v>
      </c>
      <c r="E682" s="4" t="s">
        <v>31</v>
      </c>
      <c r="F682" s="4" t="s">
        <v>26</v>
      </c>
      <c r="G682" s="4" t="s">
        <v>108</v>
      </c>
      <c r="H682">
        <v>2</v>
      </c>
      <c r="I682">
        <v>5</v>
      </c>
      <c r="J682">
        <v>0</v>
      </c>
      <c r="K682">
        <v>5</v>
      </c>
      <c r="L682">
        <v>3630</v>
      </c>
      <c r="M682">
        <v>0</v>
      </c>
      <c r="N682">
        <v>3630</v>
      </c>
      <c r="O682">
        <v>2178</v>
      </c>
      <c r="P682">
        <v>1452</v>
      </c>
      <c r="Q682">
        <v>0.4</v>
      </c>
      <c r="R682">
        <v>0</v>
      </c>
      <c r="S682">
        <v>0</v>
      </c>
      <c r="T682">
        <v>0</v>
      </c>
      <c r="U682">
        <v>1815</v>
      </c>
    </row>
    <row r="683" spans="1:21" x14ac:dyDescent="0.35">
      <c r="A683">
        <v>2024</v>
      </c>
      <c r="B683">
        <v>9</v>
      </c>
      <c r="C683">
        <v>3</v>
      </c>
      <c r="D683" s="1">
        <v>45536</v>
      </c>
      <c r="E683" s="4" t="s">
        <v>31</v>
      </c>
      <c r="F683" s="4" t="s">
        <v>26</v>
      </c>
      <c r="G683" s="4" t="s">
        <v>109</v>
      </c>
      <c r="H683">
        <v>43</v>
      </c>
      <c r="I683">
        <v>59</v>
      </c>
      <c r="J683">
        <v>0</v>
      </c>
      <c r="K683">
        <v>59</v>
      </c>
      <c r="L683">
        <v>51979.97</v>
      </c>
      <c r="M683">
        <v>0</v>
      </c>
      <c r="N683">
        <v>51979.97</v>
      </c>
      <c r="O683">
        <v>31981.200000000001</v>
      </c>
      <c r="P683">
        <v>19998.77</v>
      </c>
      <c r="Q683">
        <v>0.38469999999999999</v>
      </c>
      <c r="R683">
        <v>5</v>
      </c>
      <c r="S683">
        <v>6205.97</v>
      </c>
      <c r="T683">
        <v>0</v>
      </c>
      <c r="U683">
        <v>1208.8399999999999</v>
      </c>
    </row>
    <row r="684" spans="1:21" x14ac:dyDescent="0.35">
      <c r="A684">
        <v>2024</v>
      </c>
      <c r="B684">
        <v>9</v>
      </c>
      <c r="C684">
        <v>3</v>
      </c>
      <c r="D684" s="1">
        <v>45536</v>
      </c>
      <c r="E684" s="4" t="s">
        <v>30</v>
      </c>
      <c r="F684" s="4" t="s">
        <v>28</v>
      </c>
      <c r="G684" s="4" t="s">
        <v>107</v>
      </c>
      <c r="H684">
        <v>221</v>
      </c>
      <c r="I684">
        <v>329</v>
      </c>
      <c r="J684">
        <v>0</v>
      </c>
      <c r="K684">
        <v>329</v>
      </c>
      <c r="L684">
        <v>144262.74</v>
      </c>
      <c r="M684">
        <v>0</v>
      </c>
      <c r="N684">
        <v>144262.74</v>
      </c>
      <c r="O684">
        <v>51932.65</v>
      </c>
      <c r="P684">
        <v>92330.09</v>
      </c>
      <c r="Q684">
        <v>0.64</v>
      </c>
      <c r="R684">
        <v>22</v>
      </c>
      <c r="S684">
        <v>20903.849999999999</v>
      </c>
      <c r="T684">
        <v>0</v>
      </c>
      <c r="U684">
        <v>652.77</v>
      </c>
    </row>
    <row r="685" spans="1:21" x14ac:dyDescent="0.35">
      <c r="A685">
        <v>2024</v>
      </c>
      <c r="B685">
        <v>9</v>
      </c>
      <c r="C685">
        <v>3</v>
      </c>
      <c r="D685" s="1">
        <v>45536</v>
      </c>
      <c r="E685" s="4" t="s">
        <v>30</v>
      </c>
      <c r="F685" s="4" t="s">
        <v>28</v>
      </c>
      <c r="G685" s="4" t="s">
        <v>108</v>
      </c>
      <c r="H685">
        <v>79</v>
      </c>
      <c r="I685">
        <v>107</v>
      </c>
      <c r="J685">
        <v>0</v>
      </c>
      <c r="K685">
        <v>107</v>
      </c>
      <c r="L685">
        <v>63916.95</v>
      </c>
      <c r="M685">
        <v>0</v>
      </c>
      <c r="N685">
        <v>63916.95</v>
      </c>
      <c r="O685">
        <v>23031.75</v>
      </c>
      <c r="P685">
        <v>40885.199999999997</v>
      </c>
      <c r="Q685">
        <v>0.63970000000000005</v>
      </c>
      <c r="R685">
        <v>9</v>
      </c>
      <c r="S685">
        <v>8566.9500000000007</v>
      </c>
      <c r="T685">
        <v>0</v>
      </c>
      <c r="U685">
        <v>809.08</v>
      </c>
    </row>
    <row r="686" spans="1:21" x14ac:dyDescent="0.35">
      <c r="A686">
        <v>2024</v>
      </c>
      <c r="B686">
        <v>9</v>
      </c>
      <c r="C686">
        <v>3</v>
      </c>
      <c r="D686" s="1">
        <v>45536</v>
      </c>
      <c r="E686" s="4" t="s">
        <v>30</v>
      </c>
      <c r="F686" s="4" t="s">
        <v>28</v>
      </c>
      <c r="G686" s="4" t="s">
        <v>109</v>
      </c>
      <c r="H686">
        <v>1054</v>
      </c>
      <c r="I686">
        <v>1609</v>
      </c>
      <c r="J686">
        <v>0</v>
      </c>
      <c r="K686">
        <v>1609</v>
      </c>
      <c r="L686">
        <v>654849.49</v>
      </c>
      <c r="M686">
        <v>0</v>
      </c>
      <c r="N686">
        <v>654849.49</v>
      </c>
      <c r="O686">
        <v>237581.75</v>
      </c>
      <c r="P686">
        <v>417267.74</v>
      </c>
      <c r="Q686">
        <v>0.63719999999999999</v>
      </c>
      <c r="R686">
        <v>132</v>
      </c>
      <c r="S686">
        <v>93556.479999999996</v>
      </c>
      <c r="T686">
        <v>0</v>
      </c>
      <c r="U686">
        <v>621.29999999999995</v>
      </c>
    </row>
    <row r="687" spans="1:21" x14ac:dyDescent="0.35">
      <c r="A687">
        <v>2024</v>
      </c>
      <c r="B687">
        <v>9</v>
      </c>
      <c r="C687">
        <v>3</v>
      </c>
      <c r="D687" s="1">
        <v>45536</v>
      </c>
      <c r="E687" s="4" t="s">
        <v>30</v>
      </c>
      <c r="F687" s="4" t="s">
        <v>24</v>
      </c>
      <c r="G687" s="4" t="s">
        <v>107</v>
      </c>
      <c r="H687">
        <v>119</v>
      </c>
      <c r="I687">
        <v>165</v>
      </c>
      <c r="J687">
        <v>3</v>
      </c>
      <c r="K687">
        <v>162</v>
      </c>
      <c r="L687">
        <v>305436.74</v>
      </c>
      <c r="M687">
        <v>5709</v>
      </c>
      <c r="N687">
        <v>299727.74</v>
      </c>
      <c r="O687">
        <v>170303.65</v>
      </c>
      <c r="P687">
        <v>129424.09</v>
      </c>
      <c r="Q687">
        <v>0.43180000000000002</v>
      </c>
      <c r="R687">
        <v>17</v>
      </c>
      <c r="S687">
        <v>44627.74</v>
      </c>
      <c r="T687">
        <v>0</v>
      </c>
      <c r="U687">
        <v>2518.7199999999998</v>
      </c>
    </row>
    <row r="688" spans="1:21" x14ac:dyDescent="0.35">
      <c r="A688">
        <v>2024</v>
      </c>
      <c r="B688">
        <v>9</v>
      </c>
      <c r="C688">
        <v>3</v>
      </c>
      <c r="D688" s="1">
        <v>45536</v>
      </c>
      <c r="E688" s="4" t="s">
        <v>30</v>
      </c>
      <c r="F688" s="4" t="s">
        <v>24</v>
      </c>
      <c r="G688" s="4" t="s">
        <v>108</v>
      </c>
      <c r="H688">
        <v>7</v>
      </c>
      <c r="I688">
        <v>10</v>
      </c>
      <c r="J688">
        <v>2</v>
      </c>
      <c r="K688">
        <v>8</v>
      </c>
      <c r="L688">
        <v>24090</v>
      </c>
      <c r="M688">
        <v>4818</v>
      </c>
      <c r="N688">
        <v>19272</v>
      </c>
      <c r="O688">
        <v>10599.6</v>
      </c>
      <c r="P688">
        <v>8672.4</v>
      </c>
      <c r="Q688">
        <v>0.45</v>
      </c>
      <c r="R688">
        <v>0</v>
      </c>
      <c r="S688">
        <v>0</v>
      </c>
      <c r="T688">
        <v>0</v>
      </c>
      <c r="U688">
        <v>2753.14</v>
      </c>
    </row>
    <row r="689" spans="1:21" x14ac:dyDescent="0.35">
      <c r="A689">
        <v>2024</v>
      </c>
      <c r="B689">
        <v>9</v>
      </c>
      <c r="C689">
        <v>3</v>
      </c>
      <c r="D689" s="1">
        <v>45536</v>
      </c>
      <c r="E689" s="4" t="s">
        <v>30</v>
      </c>
      <c r="F689" s="4" t="s">
        <v>24</v>
      </c>
      <c r="G689" s="4" t="s">
        <v>109</v>
      </c>
      <c r="H689">
        <v>352</v>
      </c>
      <c r="I689">
        <v>556</v>
      </c>
      <c r="J689">
        <v>7</v>
      </c>
      <c r="K689">
        <v>549</v>
      </c>
      <c r="L689">
        <v>974922.87</v>
      </c>
      <c r="M689">
        <v>13251.4</v>
      </c>
      <c r="N689">
        <v>961671.47</v>
      </c>
      <c r="O689">
        <v>556249.1</v>
      </c>
      <c r="P689">
        <v>405422.37</v>
      </c>
      <c r="Q689">
        <v>0.42159999999999997</v>
      </c>
      <c r="R689">
        <v>51</v>
      </c>
      <c r="S689">
        <v>180607.97</v>
      </c>
      <c r="T689">
        <v>0</v>
      </c>
      <c r="U689">
        <v>2732.02</v>
      </c>
    </row>
    <row r="690" spans="1:21" x14ac:dyDescent="0.35">
      <c r="A690">
        <v>2024</v>
      </c>
      <c r="B690">
        <v>9</v>
      </c>
      <c r="C690">
        <v>3</v>
      </c>
      <c r="D690" s="1">
        <v>45536</v>
      </c>
      <c r="E690" s="4" t="s">
        <v>30</v>
      </c>
      <c r="F690" s="4" t="s">
        <v>26</v>
      </c>
      <c r="G690" s="4" t="s">
        <v>107</v>
      </c>
      <c r="H690">
        <v>4</v>
      </c>
      <c r="I690">
        <v>6</v>
      </c>
      <c r="J690">
        <v>0</v>
      </c>
      <c r="K690">
        <v>6</v>
      </c>
      <c r="L690">
        <v>5226.76</v>
      </c>
      <c r="M690">
        <v>0</v>
      </c>
      <c r="N690">
        <v>5226.76</v>
      </c>
      <c r="O690">
        <v>3288.6</v>
      </c>
      <c r="P690">
        <v>1938.16</v>
      </c>
      <c r="Q690">
        <v>0.37080000000000002</v>
      </c>
      <c r="R690">
        <v>1</v>
      </c>
      <c r="S690">
        <v>1561.76</v>
      </c>
      <c r="T690">
        <v>0</v>
      </c>
      <c r="U690">
        <v>1306.69</v>
      </c>
    </row>
    <row r="691" spans="1:21" x14ac:dyDescent="0.35">
      <c r="A691">
        <v>2024</v>
      </c>
      <c r="B691">
        <v>9</v>
      </c>
      <c r="C691">
        <v>3</v>
      </c>
      <c r="D691" s="1">
        <v>45536</v>
      </c>
      <c r="E691" s="4" t="s">
        <v>30</v>
      </c>
      <c r="F691" s="4" t="s">
        <v>26</v>
      </c>
      <c r="G691" s="4" t="s">
        <v>109</v>
      </c>
      <c r="H691">
        <v>93</v>
      </c>
      <c r="I691">
        <v>125</v>
      </c>
      <c r="J691">
        <v>4</v>
      </c>
      <c r="K691">
        <v>121</v>
      </c>
      <c r="L691">
        <v>101118.66</v>
      </c>
      <c r="M691">
        <v>3363.04</v>
      </c>
      <c r="N691">
        <v>97755.62</v>
      </c>
      <c r="O691">
        <v>60550.2</v>
      </c>
      <c r="P691">
        <v>37205.42</v>
      </c>
      <c r="Q691">
        <v>0.38059999999999999</v>
      </c>
      <c r="R691">
        <v>10</v>
      </c>
      <c r="S691">
        <v>13105.62</v>
      </c>
      <c r="T691">
        <v>0</v>
      </c>
      <c r="U691">
        <v>1051.1400000000001</v>
      </c>
    </row>
    <row r="692" spans="1:21" x14ac:dyDescent="0.35">
      <c r="A692">
        <v>2024</v>
      </c>
      <c r="B692">
        <v>9</v>
      </c>
      <c r="C692">
        <v>3</v>
      </c>
      <c r="D692" s="1">
        <v>45536</v>
      </c>
      <c r="E692" s="4" t="s">
        <v>78</v>
      </c>
      <c r="F692" s="4" t="s">
        <v>78</v>
      </c>
      <c r="G692" s="4" t="s">
        <v>110</v>
      </c>
      <c r="H692">
        <v>242</v>
      </c>
      <c r="I692">
        <v>353</v>
      </c>
      <c r="J692">
        <v>0</v>
      </c>
      <c r="K692">
        <v>353</v>
      </c>
      <c r="L692">
        <v>747726</v>
      </c>
      <c r="M692">
        <v>0</v>
      </c>
      <c r="N692">
        <v>747726</v>
      </c>
      <c r="O692">
        <v>112158.9</v>
      </c>
      <c r="P692">
        <v>635567.1</v>
      </c>
      <c r="Q692">
        <v>0.85</v>
      </c>
      <c r="R692">
        <v>1</v>
      </c>
      <c r="S692">
        <v>798</v>
      </c>
      <c r="T692">
        <v>0</v>
      </c>
      <c r="U692">
        <v>3089.78</v>
      </c>
    </row>
    <row r="693" spans="1:21" x14ac:dyDescent="0.35">
      <c r="A693">
        <v>2024</v>
      </c>
      <c r="B693">
        <v>10</v>
      </c>
      <c r="C693">
        <v>4</v>
      </c>
      <c r="D693" s="1">
        <v>45566</v>
      </c>
      <c r="E693" s="4" t="s">
        <v>33</v>
      </c>
      <c r="F693" s="4" t="s">
        <v>28</v>
      </c>
      <c r="G693" s="4" t="s">
        <v>107</v>
      </c>
      <c r="H693">
        <v>122</v>
      </c>
      <c r="I693">
        <v>184</v>
      </c>
      <c r="J693">
        <v>0</v>
      </c>
      <c r="K693">
        <v>184</v>
      </c>
      <c r="L693">
        <v>58581.93</v>
      </c>
      <c r="M693">
        <v>0</v>
      </c>
      <c r="N693">
        <v>58581.93</v>
      </c>
      <c r="O693">
        <v>21073.5</v>
      </c>
      <c r="P693">
        <v>37508.43</v>
      </c>
      <c r="Q693">
        <v>0.64029999999999998</v>
      </c>
      <c r="R693">
        <v>18</v>
      </c>
      <c r="S693">
        <v>10155.93</v>
      </c>
      <c r="T693">
        <v>0</v>
      </c>
      <c r="U693">
        <v>480.18</v>
      </c>
    </row>
    <row r="694" spans="1:21" x14ac:dyDescent="0.35">
      <c r="A694">
        <v>2024</v>
      </c>
      <c r="B694">
        <v>10</v>
      </c>
      <c r="C694">
        <v>4</v>
      </c>
      <c r="D694" s="1">
        <v>45566</v>
      </c>
      <c r="E694" s="4" t="s">
        <v>33</v>
      </c>
      <c r="F694" s="4" t="s">
        <v>28</v>
      </c>
      <c r="G694" s="4" t="s">
        <v>108</v>
      </c>
      <c r="H694">
        <v>52</v>
      </c>
      <c r="I694">
        <v>75</v>
      </c>
      <c r="J694">
        <v>0</v>
      </c>
      <c r="K694">
        <v>75</v>
      </c>
      <c r="L694">
        <v>51335.199999999997</v>
      </c>
      <c r="M694">
        <v>0</v>
      </c>
      <c r="N694">
        <v>51335.199999999997</v>
      </c>
      <c r="O694">
        <v>18690</v>
      </c>
      <c r="P694">
        <v>32645.200000000001</v>
      </c>
      <c r="Q694">
        <v>0.63590000000000002</v>
      </c>
      <c r="R694">
        <v>5</v>
      </c>
      <c r="S694">
        <v>7903.2</v>
      </c>
      <c r="T694">
        <v>0</v>
      </c>
      <c r="U694">
        <v>987.22</v>
      </c>
    </row>
    <row r="695" spans="1:21" x14ac:dyDescent="0.35">
      <c r="A695">
        <v>2024</v>
      </c>
      <c r="B695">
        <v>10</v>
      </c>
      <c r="C695">
        <v>4</v>
      </c>
      <c r="D695" s="1">
        <v>45566</v>
      </c>
      <c r="E695" s="4" t="s">
        <v>33</v>
      </c>
      <c r="F695" s="4" t="s">
        <v>28</v>
      </c>
      <c r="G695" s="4" t="s">
        <v>109</v>
      </c>
      <c r="H695">
        <v>677</v>
      </c>
      <c r="I695">
        <v>1030</v>
      </c>
      <c r="J695">
        <v>0</v>
      </c>
      <c r="K695">
        <v>1030</v>
      </c>
      <c r="L695">
        <v>530139.16</v>
      </c>
      <c r="M695">
        <v>0</v>
      </c>
      <c r="N695">
        <v>530139.16</v>
      </c>
      <c r="O695">
        <v>191319.8</v>
      </c>
      <c r="P695">
        <v>338819.36</v>
      </c>
      <c r="Q695">
        <v>0.6391</v>
      </c>
      <c r="R695">
        <v>91</v>
      </c>
      <c r="S695">
        <v>76267.740000000005</v>
      </c>
      <c r="T695">
        <v>0</v>
      </c>
      <c r="U695">
        <v>783.07</v>
      </c>
    </row>
    <row r="696" spans="1:21" x14ac:dyDescent="0.35">
      <c r="A696">
        <v>2024</v>
      </c>
      <c r="B696">
        <v>10</v>
      </c>
      <c r="C696">
        <v>4</v>
      </c>
      <c r="D696" s="1">
        <v>45566</v>
      </c>
      <c r="E696" s="4" t="s">
        <v>33</v>
      </c>
      <c r="F696" s="4" t="s">
        <v>35</v>
      </c>
      <c r="G696" s="4" t="s">
        <v>109</v>
      </c>
      <c r="H696">
        <v>1</v>
      </c>
      <c r="I696">
        <v>1</v>
      </c>
      <c r="J696">
        <v>0</v>
      </c>
      <c r="K696">
        <v>1</v>
      </c>
      <c r="L696">
        <v>181</v>
      </c>
      <c r="M696">
        <v>0</v>
      </c>
      <c r="N696">
        <v>181</v>
      </c>
      <c r="O696">
        <v>36.200000000000003</v>
      </c>
      <c r="P696">
        <v>144.80000000000001</v>
      </c>
      <c r="Q696">
        <v>0.8</v>
      </c>
      <c r="R696">
        <v>0</v>
      </c>
      <c r="S696">
        <v>0</v>
      </c>
      <c r="T696">
        <v>0</v>
      </c>
      <c r="U696">
        <v>181</v>
      </c>
    </row>
    <row r="697" spans="1:21" x14ac:dyDescent="0.35">
      <c r="A697">
        <v>2024</v>
      </c>
      <c r="B697">
        <v>10</v>
      </c>
      <c r="C697">
        <v>4</v>
      </c>
      <c r="D697" s="1">
        <v>45566</v>
      </c>
      <c r="E697" s="4" t="s">
        <v>33</v>
      </c>
      <c r="F697" s="4" t="s">
        <v>24</v>
      </c>
      <c r="G697" s="4" t="s">
        <v>107</v>
      </c>
      <c r="H697">
        <v>17</v>
      </c>
      <c r="I697">
        <v>22</v>
      </c>
      <c r="J697">
        <v>0</v>
      </c>
      <c r="K697">
        <v>22</v>
      </c>
      <c r="L697">
        <v>34724.22</v>
      </c>
      <c r="M697">
        <v>0</v>
      </c>
      <c r="N697">
        <v>34724.22</v>
      </c>
      <c r="O697">
        <v>20261.45</v>
      </c>
      <c r="P697">
        <v>14462.77</v>
      </c>
      <c r="Q697">
        <v>0.41649999999999998</v>
      </c>
      <c r="R697">
        <v>2</v>
      </c>
      <c r="S697">
        <v>5806.22</v>
      </c>
      <c r="T697">
        <v>0</v>
      </c>
      <c r="U697">
        <v>2042.6</v>
      </c>
    </row>
    <row r="698" spans="1:21" x14ac:dyDescent="0.35">
      <c r="A698">
        <v>2024</v>
      </c>
      <c r="B698">
        <v>10</v>
      </c>
      <c r="C698">
        <v>4</v>
      </c>
      <c r="D698" s="1">
        <v>45566</v>
      </c>
      <c r="E698" s="4" t="s">
        <v>33</v>
      </c>
      <c r="F698" s="4" t="s">
        <v>24</v>
      </c>
      <c r="G698" s="4" t="s">
        <v>109</v>
      </c>
      <c r="H698">
        <v>144</v>
      </c>
      <c r="I698">
        <v>215</v>
      </c>
      <c r="J698">
        <v>1</v>
      </c>
      <c r="K698">
        <v>214</v>
      </c>
      <c r="L698">
        <v>304883.37</v>
      </c>
      <c r="M698">
        <v>1840</v>
      </c>
      <c r="N698">
        <v>303043.37</v>
      </c>
      <c r="O698">
        <v>173338</v>
      </c>
      <c r="P698">
        <v>129705.37</v>
      </c>
      <c r="Q698">
        <v>0.42799999999999999</v>
      </c>
      <c r="R698">
        <v>21</v>
      </c>
      <c r="S698">
        <v>40991.370000000003</v>
      </c>
      <c r="T698">
        <v>0</v>
      </c>
      <c r="U698">
        <v>2104.4699999999998</v>
      </c>
    </row>
    <row r="699" spans="1:21" x14ac:dyDescent="0.35">
      <c r="A699">
        <v>2024</v>
      </c>
      <c r="B699">
        <v>10</v>
      </c>
      <c r="C699">
        <v>4</v>
      </c>
      <c r="D699" s="1">
        <v>45566</v>
      </c>
      <c r="E699" s="4" t="s">
        <v>33</v>
      </c>
      <c r="F699" s="4" t="s">
        <v>26</v>
      </c>
      <c r="G699" s="4" t="s">
        <v>107</v>
      </c>
      <c r="H699">
        <v>5</v>
      </c>
      <c r="I699">
        <v>8</v>
      </c>
      <c r="J699">
        <v>0</v>
      </c>
      <c r="K699">
        <v>8</v>
      </c>
      <c r="L699">
        <v>4683</v>
      </c>
      <c r="M699">
        <v>0</v>
      </c>
      <c r="N699">
        <v>4683</v>
      </c>
      <c r="O699">
        <v>2809.8</v>
      </c>
      <c r="P699">
        <v>1873.2</v>
      </c>
      <c r="Q699">
        <v>0.4</v>
      </c>
      <c r="R699">
        <v>0</v>
      </c>
      <c r="S699">
        <v>0</v>
      </c>
      <c r="T699">
        <v>0</v>
      </c>
      <c r="U699">
        <v>936.6</v>
      </c>
    </row>
    <row r="700" spans="1:21" x14ac:dyDescent="0.35">
      <c r="A700">
        <v>2024</v>
      </c>
      <c r="B700">
        <v>10</v>
      </c>
      <c r="C700">
        <v>4</v>
      </c>
      <c r="D700" s="1">
        <v>45566</v>
      </c>
      <c r="E700" s="4" t="s">
        <v>33</v>
      </c>
      <c r="F700" s="4" t="s">
        <v>26</v>
      </c>
      <c r="G700" s="4" t="s">
        <v>108</v>
      </c>
      <c r="H700">
        <v>8</v>
      </c>
      <c r="I700">
        <v>10</v>
      </c>
      <c r="J700">
        <v>0</v>
      </c>
      <c r="K700">
        <v>10</v>
      </c>
      <c r="L700">
        <v>7706</v>
      </c>
      <c r="M700">
        <v>0</v>
      </c>
      <c r="N700">
        <v>7706</v>
      </c>
      <c r="O700">
        <v>4623.6000000000004</v>
      </c>
      <c r="P700">
        <v>3082.4</v>
      </c>
      <c r="Q700">
        <v>0.4</v>
      </c>
      <c r="R700">
        <v>0</v>
      </c>
      <c r="S700">
        <v>0</v>
      </c>
      <c r="T700">
        <v>0</v>
      </c>
      <c r="U700">
        <v>963.25</v>
      </c>
    </row>
    <row r="701" spans="1:21" x14ac:dyDescent="0.35">
      <c r="A701">
        <v>2024</v>
      </c>
      <c r="B701">
        <v>10</v>
      </c>
      <c r="C701">
        <v>4</v>
      </c>
      <c r="D701" s="1">
        <v>45566</v>
      </c>
      <c r="E701" s="4" t="s">
        <v>33</v>
      </c>
      <c r="F701" s="4" t="s">
        <v>26</v>
      </c>
      <c r="G701" s="4" t="s">
        <v>109</v>
      </c>
      <c r="H701">
        <v>38</v>
      </c>
      <c r="I701">
        <v>49</v>
      </c>
      <c r="J701">
        <v>0</v>
      </c>
      <c r="K701">
        <v>49</v>
      </c>
      <c r="L701">
        <v>35308.36</v>
      </c>
      <c r="M701">
        <v>0</v>
      </c>
      <c r="N701">
        <v>35308.36</v>
      </c>
      <c r="O701">
        <v>21682.799999999999</v>
      </c>
      <c r="P701">
        <v>13625.56</v>
      </c>
      <c r="Q701">
        <v>0.38590000000000002</v>
      </c>
      <c r="R701">
        <v>2</v>
      </c>
      <c r="S701">
        <v>2554.36</v>
      </c>
      <c r="T701">
        <v>0</v>
      </c>
      <c r="U701">
        <v>929.17</v>
      </c>
    </row>
    <row r="702" spans="1:21" x14ac:dyDescent="0.35">
      <c r="A702">
        <v>2024</v>
      </c>
      <c r="B702">
        <v>10</v>
      </c>
      <c r="C702">
        <v>4</v>
      </c>
      <c r="D702" s="1">
        <v>45566</v>
      </c>
      <c r="E702" s="4" t="s">
        <v>32</v>
      </c>
      <c r="F702" s="4" t="s">
        <v>28</v>
      </c>
      <c r="G702" s="4" t="s">
        <v>107</v>
      </c>
      <c r="H702">
        <v>28</v>
      </c>
      <c r="I702">
        <v>42</v>
      </c>
      <c r="J702">
        <v>0</v>
      </c>
      <c r="K702">
        <v>42</v>
      </c>
      <c r="L702">
        <v>18119.14</v>
      </c>
      <c r="M702">
        <v>0</v>
      </c>
      <c r="N702">
        <v>18119.14</v>
      </c>
      <c r="O702">
        <v>6673.8</v>
      </c>
      <c r="P702">
        <v>11445.34</v>
      </c>
      <c r="Q702">
        <v>0.63170000000000004</v>
      </c>
      <c r="R702">
        <v>6</v>
      </c>
      <c r="S702">
        <v>3137.14</v>
      </c>
      <c r="T702">
        <v>0</v>
      </c>
      <c r="U702">
        <v>647.11</v>
      </c>
    </row>
    <row r="703" spans="1:21" x14ac:dyDescent="0.35">
      <c r="A703">
        <v>2024</v>
      </c>
      <c r="B703">
        <v>10</v>
      </c>
      <c r="C703">
        <v>4</v>
      </c>
      <c r="D703" s="1">
        <v>45566</v>
      </c>
      <c r="E703" s="4" t="s">
        <v>32</v>
      </c>
      <c r="F703" s="4" t="s">
        <v>28</v>
      </c>
      <c r="G703" s="4" t="s">
        <v>109</v>
      </c>
      <c r="H703">
        <v>498</v>
      </c>
      <c r="I703">
        <v>788</v>
      </c>
      <c r="J703">
        <v>0</v>
      </c>
      <c r="K703">
        <v>788</v>
      </c>
      <c r="L703">
        <v>281266.69</v>
      </c>
      <c r="M703">
        <v>0</v>
      </c>
      <c r="N703">
        <v>281266.69</v>
      </c>
      <c r="O703">
        <v>102637.85</v>
      </c>
      <c r="P703">
        <v>178628.84</v>
      </c>
      <c r="Q703">
        <v>0.6351</v>
      </c>
      <c r="R703">
        <v>63</v>
      </c>
      <c r="S703">
        <v>49905.440000000002</v>
      </c>
      <c r="T703">
        <v>0</v>
      </c>
      <c r="U703">
        <v>564.79</v>
      </c>
    </row>
    <row r="704" spans="1:21" x14ac:dyDescent="0.35">
      <c r="A704">
        <v>2024</v>
      </c>
      <c r="B704">
        <v>10</v>
      </c>
      <c r="C704">
        <v>4</v>
      </c>
      <c r="D704" s="1">
        <v>45566</v>
      </c>
      <c r="E704" s="4" t="s">
        <v>32</v>
      </c>
      <c r="F704" s="4" t="s">
        <v>24</v>
      </c>
      <c r="G704" s="4" t="s">
        <v>107</v>
      </c>
      <c r="H704">
        <v>57</v>
      </c>
      <c r="I704">
        <v>78</v>
      </c>
      <c r="J704">
        <v>4</v>
      </c>
      <c r="K704">
        <v>74</v>
      </c>
      <c r="L704">
        <v>120122.22</v>
      </c>
      <c r="M704">
        <v>7465.2</v>
      </c>
      <c r="N704">
        <v>112657.02</v>
      </c>
      <c r="O704">
        <v>64069.5</v>
      </c>
      <c r="P704">
        <v>48587.519999999997</v>
      </c>
      <c r="Q704">
        <v>0.43130000000000002</v>
      </c>
      <c r="R704">
        <v>6</v>
      </c>
      <c r="S704">
        <v>20449.02</v>
      </c>
      <c r="T704">
        <v>0</v>
      </c>
      <c r="U704">
        <v>1976.44</v>
      </c>
    </row>
    <row r="705" spans="1:21" x14ac:dyDescent="0.35">
      <c r="A705">
        <v>2024</v>
      </c>
      <c r="B705">
        <v>10</v>
      </c>
      <c r="C705">
        <v>4</v>
      </c>
      <c r="D705" s="1">
        <v>45566</v>
      </c>
      <c r="E705" s="4" t="s">
        <v>32</v>
      </c>
      <c r="F705" s="4" t="s">
        <v>24</v>
      </c>
      <c r="G705" s="4" t="s">
        <v>109</v>
      </c>
      <c r="H705">
        <v>157</v>
      </c>
      <c r="I705">
        <v>243</v>
      </c>
      <c r="J705">
        <v>5</v>
      </c>
      <c r="K705">
        <v>238</v>
      </c>
      <c r="L705">
        <v>301997.15999999997</v>
      </c>
      <c r="M705">
        <v>9181</v>
      </c>
      <c r="N705">
        <v>292816.15999999997</v>
      </c>
      <c r="O705">
        <v>167890.8</v>
      </c>
      <c r="P705">
        <v>124925.36</v>
      </c>
      <c r="Q705">
        <v>0.42659999999999998</v>
      </c>
      <c r="R705">
        <v>22</v>
      </c>
      <c r="S705">
        <v>61768.160000000003</v>
      </c>
      <c r="T705">
        <v>0</v>
      </c>
      <c r="U705">
        <v>1865.07</v>
      </c>
    </row>
    <row r="706" spans="1:21" x14ac:dyDescent="0.35">
      <c r="A706">
        <v>2024</v>
      </c>
      <c r="B706">
        <v>10</v>
      </c>
      <c r="C706">
        <v>4</v>
      </c>
      <c r="D706" s="1">
        <v>45566</v>
      </c>
      <c r="E706" s="4" t="s">
        <v>32</v>
      </c>
      <c r="F706" s="4" t="s">
        <v>26</v>
      </c>
      <c r="G706" s="4" t="s">
        <v>108</v>
      </c>
      <c r="H706">
        <v>6</v>
      </c>
      <c r="I706">
        <v>10</v>
      </c>
      <c r="J706">
        <v>0</v>
      </c>
      <c r="K706">
        <v>10</v>
      </c>
      <c r="L706">
        <v>3150</v>
      </c>
      <c r="M706">
        <v>0</v>
      </c>
      <c r="N706">
        <v>3150</v>
      </c>
      <c r="O706">
        <v>1890</v>
      </c>
      <c r="P706">
        <v>1260</v>
      </c>
      <c r="Q706">
        <v>0.4</v>
      </c>
      <c r="R706">
        <v>0</v>
      </c>
      <c r="S706">
        <v>0</v>
      </c>
      <c r="T706">
        <v>0</v>
      </c>
      <c r="U706">
        <v>525</v>
      </c>
    </row>
    <row r="707" spans="1:21" x14ac:dyDescent="0.35">
      <c r="A707">
        <v>2024</v>
      </c>
      <c r="B707">
        <v>10</v>
      </c>
      <c r="C707">
        <v>4</v>
      </c>
      <c r="D707" s="1">
        <v>45566</v>
      </c>
      <c r="E707" s="4" t="s">
        <v>32</v>
      </c>
      <c r="F707" s="4" t="s">
        <v>26</v>
      </c>
      <c r="G707" s="4" t="s">
        <v>109</v>
      </c>
      <c r="H707">
        <v>41</v>
      </c>
      <c r="I707">
        <v>58</v>
      </c>
      <c r="J707">
        <v>1</v>
      </c>
      <c r="K707">
        <v>57</v>
      </c>
      <c r="L707">
        <v>42218.96</v>
      </c>
      <c r="M707">
        <v>566</v>
      </c>
      <c r="N707">
        <v>41652.959999999999</v>
      </c>
      <c r="O707">
        <v>25884.6</v>
      </c>
      <c r="P707">
        <v>15768.36</v>
      </c>
      <c r="Q707">
        <v>0.37859999999999999</v>
      </c>
      <c r="R707">
        <v>4</v>
      </c>
      <c r="S707">
        <v>6453.96</v>
      </c>
      <c r="T707">
        <v>0</v>
      </c>
      <c r="U707">
        <v>1015.93</v>
      </c>
    </row>
    <row r="708" spans="1:21" x14ac:dyDescent="0.35">
      <c r="A708">
        <v>2024</v>
      </c>
      <c r="B708">
        <v>10</v>
      </c>
      <c r="C708">
        <v>4</v>
      </c>
      <c r="D708" s="1">
        <v>45566</v>
      </c>
      <c r="E708" s="4" t="s">
        <v>27</v>
      </c>
      <c r="F708" s="4" t="s">
        <v>28</v>
      </c>
      <c r="G708" s="4" t="s">
        <v>107</v>
      </c>
      <c r="H708">
        <v>231</v>
      </c>
      <c r="I708">
        <v>348</v>
      </c>
      <c r="J708">
        <v>0</v>
      </c>
      <c r="K708">
        <v>348</v>
      </c>
      <c r="L708">
        <v>155767.4</v>
      </c>
      <c r="M708">
        <v>0</v>
      </c>
      <c r="N708">
        <v>155767.4</v>
      </c>
      <c r="O708">
        <v>56435.75</v>
      </c>
      <c r="P708">
        <v>99331.65</v>
      </c>
      <c r="Q708">
        <v>0.63770000000000004</v>
      </c>
      <c r="R708">
        <v>35</v>
      </c>
      <c r="S708">
        <v>24226.400000000001</v>
      </c>
      <c r="T708">
        <v>0</v>
      </c>
      <c r="U708">
        <v>674.32</v>
      </c>
    </row>
    <row r="709" spans="1:21" x14ac:dyDescent="0.35">
      <c r="A709">
        <v>2024</v>
      </c>
      <c r="B709">
        <v>10</v>
      </c>
      <c r="C709">
        <v>4</v>
      </c>
      <c r="D709" s="1">
        <v>45566</v>
      </c>
      <c r="E709" s="4" t="s">
        <v>27</v>
      </c>
      <c r="F709" s="4" t="s">
        <v>28</v>
      </c>
      <c r="G709" s="4" t="s">
        <v>109</v>
      </c>
      <c r="H709">
        <v>798</v>
      </c>
      <c r="I709">
        <v>1241</v>
      </c>
      <c r="J709">
        <v>0</v>
      </c>
      <c r="K709">
        <v>1241</v>
      </c>
      <c r="L709">
        <v>682001.44</v>
      </c>
      <c r="M709">
        <v>0</v>
      </c>
      <c r="N709">
        <v>682001.44</v>
      </c>
      <c r="O709">
        <v>246742.3</v>
      </c>
      <c r="P709">
        <v>435259.14</v>
      </c>
      <c r="Q709">
        <v>0.63819999999999999</v>
      </c>
      <c r="R709">
        <v>102</v>
      </c>
      <c r="S709">
        <v>98067.73</v>
      </c>
      <c r="T709">
        <v>0</v>
      </c>
      <c r="U709">
        <v>854.64</v>
      </c>
    </row>
    <row r="710" spans="1:21" x14ac:dyDescent="0.35">
      <c r="A710">
        <v>2024</v>
      </c>
      <c r="B710">
        <v>10</v>
      </c>
      <c r="C710">
        <v>4</v>
      </c>
      <c r="D710" s="1">
        <v>45566</v>
      </c>
      <c r="E710" s="4" t="s">
        <v>27</v>
      </c>
      <c r="F710" s="4" t="s">
        <v>35</v>
      </c>
      <c r="G710" s="4" t="s">
        <v>108</v>
      </c>
      <c r="H710">
        <v>1</v>
      </c>
      <c r="I710">
        <v>3</v>
      </c>
      <c r="J710">
        <v>0</v>
      </c>
      <c r="K710">
        <v>3</v>
      </c>
      <c r="L710">
        <v>939</v>
      </c>
      <c r="M710">
        <v>0</v>
      </c>
      <c r="N710">
        <v>939</v>
      </c>
      <c r="O710">
        <v>187.8</v>
      </c>
      <c r="P710">
        <v>751.2</v>
      </c>
      <c r="Q710">
        <v>0.8</v>
      </c>
      <c r="R710">
        <v>0</v>
      </c>
      <c r="S710">
        <v>0</v>
      </c>
      <c r="T710">
        <v>0</v>
      </c>
      <c r="U710">
        <v>939</v>
      </c>
    </row>
    <row r="711" spans="1:21" x14ac:dyDescent="0.35">
      <c r="A711">
        <v>2024</v>
      </c>
      <c r="B711">
        <v>10</v>
      </c>
      <c r="C711">
        <v>4</v>
      </c>
      <c r="D711" s="1">
        <v>45566</v>
      </c>
      <c r="E711" s="4" t="s">
        <v>27</v>
      </c>
      <c r="F711" s="4" t="s">
        <v>24</v>
      </c>
      <c r="G711" s="4" t="s">
        <v>107</v>
      </c>
      <c r="H711">
        <v>58</v>
      </c>
      <c r="I711">
        <v>82</v>
      </c>
      <c r="J711">
        <v>2</v>
      </c>
      <c r="K711">
        <v>80</v>
      </c>
      <c r="L711">
        <v>141588.34</v>
      </c>
      <c r="M711">
        <v>2969</v>
      </c>
      <c r="N711">
        <v>138619.34</v>
      </c>
      <c r="O711">
        <v>80579.399999999994</v>
      </c>
      <c r="P711">
        <v>58039.94</v>
      </c>
      <c r="Q711">
        <v>0.41870000000000002</v>
      </c>
      <c r="R711">
        <v>9</v>
      </c>
      <c r="S711">
        <v>23174.34</v>
      </c>
      <c r="T711">
        <v>0</v>
      </c>
      <c r="U711">
        <v>2389.9899999999998</v>
      </c>
    </row>
    <row r="712" spans="1:21" x14ac:dyDescent="0.35">
      <c r="A712">
        <v>2024</v>
      </c>
      <c r="B712">
        <v>10</v>
      </c>
      <c r="C712">
        <v>4</v>
      </c>
      <c r="D712" s="1">
        <v>45566</v>
      </c>
      <c r="E712" s="4" t="s">
        <v>27</v>
      </c>
      <c r="F712" s="4" t="s">
        <v>24</v>
      </c>
      <c r="G712" s="4" t="s">
        <v>109</v>
      </c>
      <c r="H712">
        <v>235</v>
      </c>
      <c r="I712">
        <v>335</v>
      </c>
      <c r="J712">
        <v>1</v>
      </c>
      <c r="K712">
        <v>334</v>
      </c>
      <c r="L712">
        <v>547563.98</v>
      </c>
      <c r="M712">
        <v>1595</v>
      </c>
      <c r="N712">
        <v>545968.98</v>
      </c>
      <c r="O712">
        <v>309175.90000000002</v>
      </c>
      <c r="P712">
        <v>236793.08</v>
      </c>
      <c r="Q712">
        <v>0.43369999999999997</v>
      </c>
      <c r="R712">
        <v>23</v>
      </c>
      <c r="S712">
        <v>68114.98</v>
      </c>
      <c r="T712">
        <v>0</v>
      </c>
      <c r="U712">
        <v>2323.27</v>
      </c>
    </row>
    <row r="713" spans="1:21" x14ac:dyDescent="0.35">
      <c r="A713">
        <v>2024</v>
      </c>
      <c r="B713">
        <v>10</v>
      </c>
      <c r="C713">
        <v>4</v>
      </c>
      <c r="D713" s="1">
        <v>45566</v>
      </c>
      <c r="E713" s="4" t="s">
        <v>27</v>
      </c>
      <c r="F713" s="4" t="s">
        <v>26</v>
      </c>
      <c r="G713" s="4" t="s">
        <v>107</v>
      </c>
      <c r="H713">
        <v>12</v>
      </c>
      <c r="I713">
        <v>19</v>
      </c>
      <c r="J713">
        <v>0</v>
      </c>
      <c r="K713">
        <v>19</v>
      </c>
      <c r="L713">
        <v>17603.29</v>
      </c>
      <c r="M713">
        <v>0</v>
      </c>
      <c r="N713">
        <v>17603.29</v>
      </c>
      <c r="O713">
        <v>10687.2</v>
      </c>
      <c r="P713">
        <v>6916.09</v>
      </c>
      <c r="Q713">
        <v>0.39290000000000003</v>
      </c>
      <c r="R713">
        <v>2</v>
      </c>
      <c r="S713">
        <v>3733.29</v>
      </c>
      <c r="T713">
        <v>0</v>
      </c>
      <c r="U713">
        <v>1466.94</v>
      </c>
    </row>
    <row r="714" spans="1:21" x14ac:dyDescent="0.35">
      <c r="A714">
        <v>2024</v>
      </c>
      <c r="B714">
        <v>10</v>
      </c>
      <c r="C714">
        <v>4</v>
      </c>
      <c r="D714" s="1">
        <v>45566</v>
      </c>
      <c r="E714" s="4" t="s">
        <v>27</v>
      </c>
      <c r="F714" s="4" t="s">
        <v>26</v>
      </c>
      <c r="G714" s="4" t="s">
        <v>109</v>
      </c>
      <c r="H714">
        <v>38</v>
      </c>
      <c r="I714">
        <v>57</v>
      </c>
      <c r="J714">
        <v>0</v>
      </c>
      <c r="K714">
        <v>57</v>
      </c>
      <c r="L714">
        <v>38418.199999999997</v>
      </c>
      <c r="M714">
        <v>0</v>
      </c>
      <c r="N714">
        <v>38418.199999999997</v>
      </c>
      <c r="O714">
        <v>23460.6</v>
      </c>
      <c r="P714">
        <v>14957.6</v>
      </c>
      <c r="Q714">
        <v>0.38929999999999998</v>
      </c>
      <c r="R714">
        <v>1</v>
      </c>
      <c r="S714">
        <v>1593.2</v>
      </c>
      <c r="T714">
        <v>0</v>
      </c>
      <c r="U714">
        <v>1011.01</v>
      </c>
    </row>
    <row r="715" spans="1:21" x14ac:dyDescent="0.35">
      <c r="A715">
        <v>2024</v>
      </c>
      <c r="B715">
        <v>10</v>
      </c>
      <c r="C715">
        <v>4</v>
      </c>
      <c r="D715" s="1">
        <v>45566</v>
      </c>
      <c r="E715" s="4" t="s">
        <v>34</v>
      </c>
      <c r="F715" s="4" t="s">
        <v>28</v>
      </c>
      <c r="G715" s="4" t="s">
        <v>107</v>
      </c>
      <c r="H715">
        <v>177</v>
      </c>
      <c r="I715">
        <v>270</v>
      </c>
      <c r="J715">
        <v>0</v>
      </c>
      <c r="K715">
        <v>270</v>
      </c>
      <c r="L715">
        <v>180611.53</v>
      </c>
      <c r="M715">
        <v>0</v>
      </c>
      <c r="N715">
        <v>180611.53</v>
      </c>
      <c r="O715">
        <v>64767.5</v>
      </c>
      <c r="P715">
        <v>115844.03</v>
      </c>
      <c r="Q715">
        <v>0.64139999999999997</v>
      </c>
      <c r="R715">
        <v>13</v>
      </c>
      <c r="S715">
        <v>17268.53</v>
      </c>
      <c r="T715">
        <v>0</v>
      </c>
      <c r="U715">
        <v>1020.4</v>
      </c>
    </row>
    <row r="716" spans="1:21" x14ac:dyDescent="0.35">
      <c r="A716">
        <v>2024</v>
      </c>
      <c r="B716">
        <v>10</v>
      </c>
      <c r="C716">
        <v>4</v>
      </c>
      <c r="D716" s="1">
        <v>45566</v>
      </c>
      <c r="E716" s="4" t="s">
        <v>34</v>
      </c>
      <c r="F716" s="4" t="s">
        <v>28</v>
      </c>
      <c r="G716" s="4" t="s">
        <v>108</v>
      </c>
      <c r="H716">
        <v>46</v>
      </c>
      <c r="I716">
        <v>64</v>
      </c>
      <c r="J716">
        <v>0</v>
      </c>
      <c r="K716">
        <v>64</v>
      </c>
      <c r="L716">
        <v>26918.94</v>
      </c>
      <c r="M716">
        <v>0</v>
      </c>
      <c r="N716">
        <v>26918.94</v>
      </c>
      <c r="O716">
        <v>9542.4</v>
      </c>
      <c r="P716">
        <v>17376.54</v>
      </c>
      <c r="Q716">
        <v>0.64549999999999996</v>
      </c>
      <c r="R716">
        <v>2</v>
      </c>
      <c r="S716">
        <v>1358.94</v>
      </c>
      <c r="T716">
        <v>0</v>
      </c>
      <c r="U716">
        <v>585.19000000000005</v>
      </c>
    </row>
    <row r="717" spans="1:21" x14ac:dyDescent="0.35">
      <c r="A717">
        <v>2024</v>
      </c>
      <c r="B717">
        <v>10</v>
      </c>
      <c r="C717">
        <v>4</v>
      </c>
      <c r="D717" s="1">
        <v>45566</v>
      </c>
      <c r="E717" s="4" t="s">
        <v>34</v>
      </c>
      <c r="F717" s="4" t="s">
        <v>28</v>
      </c>
      <c r="G717" s="4" t="s">
        <v>109</v>
      </c>
      <c r="H717">
        <v>619</v>
      </c>
      <c r="I717">
        <v>975</v>
      </c>
      <c r="J717">
        <v>0</v>
      </c>
      <c r="K717">
        <v>975</v>
      </c>
      <c r="L717">
        <v>459720.83</v>
      </c>
      <c r="M717">
        <v>0</v>
      </c>
      <c r="N717">
        <v>459720.83</v>
      </c>
      <c r="O717">
        <v>168063.7</v>
      </c>
      <c r="P717">
        <v>291657.13</v>
      </c>
      <c r="Q717">
        <v>0.63439999999999996</v>
      </c>
      <c r="R717">
        <v>81</v>
      </c>
      <c r="S717">
        <v>76695.83</v>
      </c>
      <c r="T717">
        <v>0</v>
      </c>
      <c r="U717">
        <v>742.68</v>
      </c>
    </row>
    <row r="718" spans="1:21" x14ac:dyDescent="0.35">
      <c r="A718">
        <v>2024</v>
      </c>
      <c r="B718">
        <v>10</v>
      </c>
      <c r="C718">
        <v>4</v>
      </c>
      <c r="D718" s="1">
        <v>45566</v>
      </c>
      <c r="E718" s="4" t="s">
        <v>34</v>
      </c>
      <c r="F718" s="4" t="s">
        <v>24</v>
      </c>
      <c r="G718" s="4" t="s">
        <v>107</v>
      </c>
      <c r="H718">
        <v>71</v>
      </c>
      <c r="I718">
        <v>114</v>
      </c>
      <c r="J718">
        <v>4</v>
      </c>
      <c r="K718">
        <v>110</v>
      </c>
      <c r="L718">
        <v>201353.62</v>
      </c>
      <c r="M718">
        <v>8136.56</v>
      </c>
      <c r="N718">
        <v>193217.06</v>
      </c>
      <c r="O718">
        <v>114240.5</v>
      </c>
      <c r="P718">
        <v>78976.56</v>
      </c>
      <c r="Q718">
        <v>0.40870000000000001</v>
      </c>
      <c r="R718">
        <v>12</v>
      </c>
      <c r="S718">
        <v>47571.06</v>
      </c>
      <c r="T718">
        <v>0</v>
      </c>
      <c r="U718">
        <v>2721.37</v>
      </c>
    </row>
    <row r="719" spans="1:21" x14ac:dyDescent="0.35">
      <c r="A719">
        <v>2024</v>
      </c>
      <c r="B719">
        <v>10</v>
      </c>
      <c r="C719">
        <v>4</v>
      </c>
      <c r="D719" s="1">
        <v>45566</v>
      </c>
      <c r="E719" s="4" t="s">
        <v>34</v>
      </c>
      <c r="F719" s="4" t="s">
        <v>24</v>
      </c>
      <c r="G719" s="4" t="s">
        <v>108</v>
      </c>
      <c r="H719">
        <v>18</v>
      </c>
      <c r="I719">
        <v>29</v>
      </c>
      <c r="J719">
        <v>0</v>
      </c>
      <c r="K719">
        <v>29</v>
      </c>
      <c r="L719">
        <v>38276.300000000003</v>
      </c>
      <c r="M719">
        <v>0</v>
      </c>
      <c r="N719">
        <v>38276.300000000003</v>
      </c>
      <c r="O719">
        <v>21995.05</v>
      </c>
      <c r="P719">
        <v>16281.25</v>
      </c>
      <c r="Q719">
        <v>0.4254</v>
      </c>
      <c r="R719">
        <v>3</v>
      </c>
      <c r="S719">
        <v>7088.06</v>
      </c>
      <c r="T719">
        <v>0</v>
      </c>
      <c r="U719">
        <v>2126.46</v>
      </c>
    </row>
    <row r="720" spans="1:21" x14ac:dyDescent="0.35">
      <c r="A720">
        <v>2024</v>
      </c>
      <c r="B720">
        <v>10</v>
      </c>
      <c r="C720">
        <v>4</v>
      </c>
      <c r="D720" s="1">
        <v>45566</v>
      </c>
      <c r="E720" s="4" t="s">
        <v>34</v>
      </c>
      <c r="F720" s="4" t="s">
        <v>24</v>
      </c>
      <c r="G720" s="4" t="s">
        <v>109</v>
      </c>
      <c r="H720">
        <v>183</v>
      </c>
      <c r="I720">
        <v>268</v>
      </c>
      <c r="J720">
        <v>3</v>
      </c>
      <c r="K720">
        <v>265</v>
      </c>
      <c r="L720">
        <v>446982.91</v>
      </c>
      <c r="M720">
        <v>7064</v>
      </c>
      <c r="N720">
        <v>439918.91</v>
      </c>
      <c r="O720">
        <v>251873.6</v>
      </c>
      <c r="P720">
        <v>188045.31</v>
      </c>
      <c r="Q720">
        <v>0.42749999999999999</v>
      </c>
      <c r="R720">
        <v>23</v>
      </c>
      <c r="S720">
        <v>68202.91</v>
      </c>
      <c r="T720">
        <v>0</v>
      </c>
      <c r="U720">
        <v>2403.9299999999998</v>
      </c>
    </row>
    <row r="721" spans="1:21" x14ac:dyDescent="0.35">
      <c r="A721">
        <v>2024</v>
      </c>
      <c r="B721">
        <v>10</v>
      </c>
      <c r="C721">
        <v>4</v>
      </c>
      <c r="D721" s="1">
        <v>45566</v>
      </c>
      <c r="E721" s="4" t="s">
        <v>34</v>
      </c>
      <c r="F721" s="4" t="s">
        <v>26</v>
      </c>
      <c r="G721" s="4" t="s">
        <v>107</v>
      </c>
      <c r="H721">
        <v>10</v>
      </c>
      <c r="I721">
        <v>17</v>
      </c>
      <c r="J721">
        <v>1</v>
      </c>
      <c r="K721">
        <v>16</v>
      </c>
      <c r="L721">
        <v>9588.84</v>
      </c>
      <c r="M721">
        <v>572</v>
      </c>
      <c r="N721">
        <v>9016.84</v>
      </c>
      <c r="O721">
        <v>5845.2</v>
      </c>
      <c r="P721">
        <v>3171.64</v>
      </c>
      <c r="Q721">
        <v>0.35170000000000001</v>
      </c>
      <c r="R721">
        <v>2</v>
      </c>
      <c r="S721">
        <v>3750.84</v>
      </c>
      <c r="T721">
        <v>0</v>
      </c>
      <c r="U721">
        <v>901.68</v>
      </c>
    </row>
    <row r="722" spans="1:21" x14ac:dyDescent="0.35">
      <c r="A722">
        <v>2024</v>
      </c>
      <c r="B722">
        <v>10</v>
      </c>
      <c r="C722">
        <v>4</v>
      </c>
      <c r="D722" s="1">
        <v>45566</v>
      </c>
      <c r="E722" s="4" t="s">
        <v>34</v>
      </c>
      <c r="F722" s="4" t="s">
        <v>26</v>
      </c>
      <c r="G722" s="4" t="s">
        <v>108</v>
      </c>
      <c r="H722">
        <v>4</v>
      </c>
      <c r="I722">
        <v>6</v>
      </c>
      <c r="J722">
        <v>0</v>
      </c>
      <c r="K722">
        <v>6</v>
      </c>
      <c r="L722">
        <v>2739</v>
      </c>
      <c r="M722">
        <v>0</v>
      </c>
      <c r="N722">
        <v>2739</v>
      </c>
      <c r="O722">
        <v>1643.4</v>
      </c>
      <c r="P722">
        <v>1095.5999999999999</v>
      </c>
      <c r="Q722">
        <v>0.4</v>
      </c>
      <c r="R722">
        <v>0</v>
      </c>
      <c r="S722">
        <v>0</v>
      </c>
      <c r="T722">
        <v>0</v>
      </c>
      <c r="U722">
        <v>684.75</v>
      </c>
    </row>
    <row r="723" spans="1:21" x14ac:dyDescent="0.35">
      <c r="A723">
        <v>2024</v>
      </c>
      <c r="B723">
        <v>10</v>
      </c>
      <c r="C723">
        <v>4</v>
      </c>
      <c r="D723" s="1">
        <v>45566</v>
      </c>
      <c r="E723" s="4" t="s">
        <v>34</v>
      </c>
      <c r="F723" s="4" t="s">
        <v>26</v>
      </c>
      <c r="G723" s="4" t="s">
        <v>109</v>
      </c>
      <c r="H723">
        <v>38</v>
      </c>
      <c r="I723">
        <v>57</v>
      </c>
      <c r="J723">
        <v>1</v>
      </c>
      <c r="K723">
        <v>56</v>
      </c>
      <c r="L723">
        <v>41284.839999999997</v>
      </c>
      <c r="M723">
        <v>639</v>
      </c>
      <c r="N723">
        <v>40645.839999999997</v>
      </c>
      <c r="O723">
        <v>25338.6</v>
      </c>
      <c r="P723">
        <v>15307.24</v>
      </c>
      <c r="Q723">
        <v>0.37659999999999999</v>
      </c>
      <c r="R723">
        <v>4</v>
      </c>
      <c r="S723">
        <v>5096.84</v>
      </c>
      <c r="T723">
        <v>0</v>
      </c>
      <c r="U723">
        <v>1069.6300000000001</v>
      </c>
    </row>
    <row r="724" spans="1:21" x14ac:dyDescent="0.35">
      <c r="A724">
        <v>2024</v>
      </c>
      <c r="B724">
        <v>10</v>
      </c>
      <c r="C724">
        <v>4</v>
      </c>
      <c r="D724" s="1">
        <v>45566</v>
      </c>
      <c r="E724" s="4" t="s">
        <v>36</v>
      </c>
      <c r="F724" s="4" t="s">
        <v>28</v>
      </c>
      <c r="G724" s="4" t="s">
        <v>107</v>
      </c>
      <c r="H724">
        <v>63</v>
      </c>
      <c r="I724">
        <v>100</v>
      </c>
      <c r="J724">
        <v>0</v>
      </c>
      <c r="K724">
        <v>100</v>
      </c>
      <c r="L724">
        <v>63883.05</v>
      </c>
      <c r="M724">
        <v>0</v>
      </c>
      <c r="N724">
        <v>63883.05</v>
      </c>
      <c r="O724">
        <v>22754.9</v>
      </c>
      <c r="P724">
        <v>41128.15</v>
      </c>
      <c r="Q724">
        <v>0.64380000000000004</v>
      </c>
      <c r="R724">
        <v>5</v>
      </c>
      <c r="S724">
        <v>6588.05</v>
      </c>
      <c r="T724">
        <v>0</v>
      </c>
      <c r="U724">
        <v>1014.02</v>
      </c>
    </row>
    <row r="725" spans="1:21" x14ac:dyDescent="0.35">
      <c r="A725">
        <v>2024</v>
      </c>
      <c r="B725">
        <v>10</v>
      </c>
      <c r="C725">
        <v>4</v>
      </c>
      <c r="D725" s="1">
        <v>45566</v>
      </c>
      <c r="E725" s="4" t="s">
        <v>36</v>
      </c>
      <c r="F725" s="4" t="s">
        <v>28</v>
      </c>
      <c r="G725" s="4" t="s">
        <v>108</v>
      </c>
      <c r="H725">
        <v>141</v>
      </c>
      <c r="I725">
        <v>189</v>
      </c>
      <c r="J725">
        <v>0</v>
      </c>
      <c r="K725">
        <v>189</v>
      </c>
      <c r="L725">
        <v>61619.88</v>
      </c>
      <c r="M725">
        <v>0</v>
      </c>
      <c r="N725">
        <v>61619.88</v>
      </c>
      <c r="O725">
        <v>22186.85</v>
      </c>
      <c r="P725">
        <v>39433.03</v>
      </c>
      <c r="Q725">
        <v>0.63990000000000002</v>
      </c>
      <c r="R725">
        <v>13</v>
      </c>
      <c r="S725">
        <v>7078.66</v>
      </c>
      <c r="T725">
        <v>0</v>
      </c>
      <c r="U725">
        <v>437.02</v>
      </c>
    </row>
    <row r="726" spans="1:21" x14ac:dyDescent="0.35">
      <c r="A726">
        <v>2024</v>
      </c>
      <c r="B726">
        <v>10</v>
      </c>
      <c r="C726">
        <v>4</v>
      </c>
      <c r="D726" s="1">
        <v>45566</v>
      </c>
      <c r="E726" s="4" t="s">
        <v>36</v>
      </c>
      <c r="F726" s="4" t="s">
        <v>28</v>
      </c>
      <c r="G726" s="4" t="s">
        <v>109</v>
      </c>
      <c r="H726">
        <v>645</v>
      </c>
      <c r="I726">
        <v>998</v>
      </c>
      <c r="J726">
        <v>0</v>
      </c>
      <c r="K726">
        <v>998</v>
      </c>
      <c r="L726">
        <v>472635.46</v>
      </c>
      <c r="M726">
        <v>0</v>
      </c>
      <c r="N726">
        <v>472635.46</v>
      </c>
      <c r="O726">
        <v>172043.2</v>
      </c>
      <c r="P726">
        <v>300592.26</v>
      </c>
      <c r="Q726">
        <v>0.63600000000000001</v>
      </c>
      <c r="R726">
        <v>74</v>
      </c>
      <c r="S726">
        <v>67672.39</v>
      </c>
      <c r="T726">
        <v>0</v>
      </c>
      <c r="U726">
        <v>732.77</v>
      </c>
    </row>
    <row r="727" spans="1:21" x14ac:dyDescent="0.35">
      <c r="A727">
        <v>2024</v>
      </c>
      <c r="B727">
        <v>10</v>
      </c>
      <c r="C727">
        <v>4</v>
      </c>
      <c r="D727" s="1">
        <v>45566</v>
      </c>
      <c r="E727" s="4" t="s">
        <v>36</v>
      </c>
      <c r="F727" s="4" t="s">
        <v>35</v>
      </c>
      <c r="G727" s="4" t="s">
        <v>109</v>
      </c>
      <c r="H727">
        <v>1</v>
      </c>
      <c r="I727">
        <v>1</v>
      </c>
      <c r="J727">
        <v>0</v>
      </c>
      <c r="K727">
        <v>1</v>
      </c>
      <c r="L727">
        <v>422</v>
      </c>
      <c r="M727">
        <v>0</v>
      </c>
      <c r="N727">
        <v>422</v>
      </c>
      <c r="O727">
        <v>84.4</v>
      </c>
      <c r="P727">
        <v>337.6</v>
      </c>
      <c r="Q727">
        <v>0.8</v>
      </c>
      <c r="R727">
        <v>0</v>
      </c>
      <c r="S727">
        <v>0</v>
      </c>
      <c r="T727">
        <v>0</v>
      </c>
      <c r="U727">
        <v>422</v>
      </c>
    </row>
    <row r="728" spans="1:21" x14ac:dyDescent="0.35">
      <c r="A728">
        <v>2024</v>
      </c>
      <c r="B728">
        <v>10</v>
      </c>
      <c r="C728">
        <v>4</v>
      </c>
      <c r="D728" s="1">
        <v>45566</v>
      </c>
      <c r="E728" s="4" t="s">
        <v>36</v>
      </c>
      <c r="F728" s="4" t="s">
        <v>24</v>
      </c>
      <c r="G728" s="4" t="s">
        <v>107</v>
      </c>
      <c r="H728">
        <v>54</v>
      </c>
      <c r="I728">
        <v>78</v>
      </c>
      <c r="J728">
        <v>1</v>
      </c>
      <c r="K728">
        <v>77</v>
      </c>
      <c r="L728">
        <v>110114.99</v>
      </c>
      <c r="M728">
        <v>1646</v>
      </c>
      <c r="N728">
        <v>108468.99</v>
      </c>
      <c r="O728">
        <v>62142.85</v>
      </c>
      <c r="P728">
        <v>46326.14</v>
      </c>
      <c r="Q728">
        <v>0.42709999999999998</v>
      </c>
      <c r="R728">
        <v>8</v>
      </c>
      <c r="S728">
        <v>18882.990000000002</v>
      </c>
      <c r="T728">
        <v>0</v>
      </c>
      <c r="U728">
        <v>2008.69</v>
      </c>
    </row>
    <row r="729" spans="1:21" x14ac:dyDescent="0.35">
      <c r="A729">
        <v>2024</v>
      </c>
      <c r="B729">
        <v>10</v>
      </c>
      <c r="C729">
        <v>4</v>
      </c>
      <c r="D729" s="1">
        <v>45566</v>
      </c>
      <c r="E729" s="4" t="s">
        <v>36</v>
      </c>
      <c r="F729" s="4" t="s">
        <v>24</v>
      </c>
      <c r="G729" s="4" t="s">
        <v>108</v>
      </c>
      <c r="H729">
        <v>33</v>
      </c>
      <c r="I729">
        <v>44</v>
      </c>
      <c r="J729">
        <v>2</v>
      </c>
      <c r="K729">
        <v>42</v>
      </c>
      <c r="L729">
        <v>74257.440000000002</v>
      </c>
      <c r="M729">
        <v>3556</v>
      </c>
      <c r="N729">
        <v>70701.440000000002</v>
      </c>
      <c r="O729">
        <v>40876</v>
      </c>
      <c r="P729">
        <v>29825.439999999999</v>
      </c>
      <c r="Q729">
        <v>0.4219</v>
      </c>
      <c r="R729">
        <v>4</v>
      </c>
      <c r="S729">
        <v>11673.44</v>
      </c>
      <c r="T729">
        <v>0</v>
      </c>
      <c r="U729">
        <v>2142.4699999999998</v>
      </c>
    </row>
    <row r="730" spans="1:21" x14ac:dyDescent="0.35">
      <c r="A730">
        <v>2024</v>
      </c>
      <c r="B730">
        <v>10</v>
      </c>
      <c r="C730">
        <v>4</v>
      </c>
      <c r="D730" s="1">
        <v>45566</v>
      </c>
      <c r="E730" s="4" t="s">
        <v>36</v>
      </c>
      <c r="F730" s="4" t="s">
        <v>24</v>
      </c>
      <c r="G730" s="4" t="s">
        <v>109</v>
      </c>
      <c r="H730">
        <v>118</v>
      </c>
      <c r="I730">
        <v>178</v>
      </c>
      <c r="J730">
        <v>8</v>
      </c>
      <c r="K730">
        <v>170</v>
      </c>
      <c r="L730">
        <v>274343.45</v>
      </c>
      <c r="M730">
        <v>11479</v>
      </c>
      <c r="N730">
        <v>262864.45</v>
      </c>
      <c r="O730">
        <v>149998.75</v>
      </c>
      <c r="P730">
        <v>112865.7</v>
      </c>
      <c r="Q730">
        <v>0.4294</v>
      </c>
      <c r="R730">
        <v>17</v>
      </c>
      <c r="S730">
        <v>37478.15</v>
      </c>
      <c r="T730">
        <v>0</v>
      </c>
      <c r="U730">
        <v>2227.66</v>
      </c>
    </row>
    <row r="731" spans="1:21" x14ac:dyDescent="0.35">
      <c r="A731">
        <v>2024</v>
      </c>
      <c r="B731">
        <v>10</v>
      </c>
      <c r="C731">
        <v>4</v>
      </c>
      <c r="D731" s="1">
        <v>45566</v>
      </c>
      <c r="E731" s="4" t="s">
        <v>36</v>
      </c>
      <c r="F731" s="4" t="s">
        <v>26</v>
      </c>
      <c r="G731" s="4" t="s">
        <v>109</v>
      </c>
      <c r="H731">
        <v>53</v>
      </c>
      <c r="I731">
        <v>75</v>
      </c>
      <c r="J731">
        <v>0</v>
      </c>
      <c r="K731">
        <v>75</v>
      </c>
      <c r="L731">
        <v>56924.47</v>
      </c>
      <c r="M731">
        <v>0</v>
      </c>
      <c r="N731">
        <v>56924.47</v>
      </c>
      <c r="O731">
        <v>35740.199999999997</v>
      </c>
      <c r="P731">
        <v>21184.27</v>
      </c>
      <c r="Q731">
        <v>0.37209999999999999</v>
      </c>
      <c r="R731">
        <v>7</v>
      </c>
      <c r="S731">
        <v>7045.47</v>
      </c>
      <c r="T731">
        <v>0</v>
      </c>
      <c r="U731">
        <v>1074.05</v>
      </c>
    </row>
    <row r="732" spans="1:21" x14ac:dyDescent="0.35">
      <c r="A732">
        <v>2024</v>
      </c>
      <c r="B732">
        <v>10</v>
      </c>
      <c r="C732">
        <v>4</v>
      </c>
      <c r="D732" s="1">
        <v>45566</v>
      </c>
      <c r="E732" s="4" t="s">
        <v>23</v>
      </c>
      <c r="F732" s="4" t="s">
        <v>28</v>
      </c>
      <c r="G732" s="4" t="s">
        <v>107</v>
      </c>
      <c r="H732">
        <v>94</v>
      </c>
      <c r="I732">
        <v>142</v>
      </c>
      <c r="J732">
        <v>0</v>
      </c>
      <c r="K732">
        <v>142</v>
      </c>
      <c r="L732">
        <v>46833.43</v>
      </c>
      <c r="M732">
        <v>0</v>
      </c>
      <c r="N732">
        <v>46833.43</v>
      </c>
      <c r="O732">
        <v>16798.599999999999</v>
      </c>
      <c r="P732">
        <v>30034.83</v>
      </c>
      <c r="Q732">
        <v>0.64129999999999998</v>
      </c>
      <c r="R732">
        <v>12</v>
      </c>
      <c r="S732">
        <v>7452.9</v>
      </c>
      <c r="T732">
        <v>0</v>
      </c>
      <c r="U732">
        <v>498.23</v>
      </c>
    </row>
    <row r="733" spans="1:21" x14ac:dyDescent="0.35">
      <c r="A733">
        <v>2024</v>
      </c>
      <c r="B733">
        <v>10</v>
      </c>
      <c r="C733">
        <v>4</v>
      </c>
      <c r="D733" s="1">
        <v>45566</v>
      </c>
      <c r="E733" s="4" t="s">
        <v>23</v>
      </c>
      <c r="F733" s="4" t="s">
        <v>28</v>
      </c>
      <c r="G733" s="4" t="s">
        <v>108</v>
      </c>
      <c r="H733">
        <v>37</v>
      </c>
      <c r="I733">
        <v>66</v>
      </c>
      <c r="J733">
        <v>0</v>
      </c>
      <c r="K733">
        <v>66</v>
      </c>
      <c r="L733">
        <v>43663.33</v>
      </c>
      <c r="M733">
        <v>0</v>
      </c>
      <c r="N733">
        <v>43663.33</v>
      </c>
      <c r="O733">
        <v>16239.3</v>
      </c>
      <c r="P733">
        <v>27424.03</v>
      </c>
      <c r="Q733">
        <v>0.62809999999999999</v>
      </c>
      <c r="R733">
        <v>5</v>
      </c>
      <c r="S733">
        <v>6404.33</v>
      </c>
      <c r="T733">
        <v>0</v>
      </c>
      <c r="U733">
        <v>1180.0899999999999</v>
      </c>
    </row>
    <row r="734" spans="1:21" x14ac:dyDescent="0.35">
      <c r="A734">
        <v>2024</v>
      </c>
      <c r="B734">
        <v>10</v>
      </c>
      <c r="C734">
        <v>4</v>
      </c>
      <c r="D734" s="1">
        <v>45566</v>
      </c>
      <c r="E734" s="4" t="s">
        <v>23</v>
      </c>
      <c r="F734" s="4" t="s">
        <v>28</v>
      </c>
      <c r="G734" s="4" t="s">
        <v>109</v>
      </c>
      <c r="H734">
        <v>607</v>
      </c>
      <c r="I734">
        <v>886</v>
      </c>
      <c r="J734">
        <v>0</v>
      </c>
      <c r="K734">
        <v>886</v>
      </c>
      <c r="L734">
        <v>421231.87</v>
      </c>
      <c r="M734">
        <v>0</v>
      </c>
      <c r="N734">
        <v>421231.87</v>
      </c>
      <c r="O734">
        <v>153100.85</v>
      </c>
      <c r="P734">
        <v>268131.02</v>
      </c>
      <c r="Q734">
        <v>0.63649999999999995</v>
      </c>
      <c r="R734">
        <v>77</v>
      </c>
      <c r="S734">
        <v>66691.87</v>
      </c>
      <c r="T734">
        <v>0</v>
      </c>
      <c r="U734">
        <v>693.96</v>
      </c>
    </row>
    <row r="735" spans="1:21" x14ac:dyDescent="0.35">
      <c r="A735">
        <v>2024</v>
      </c>
      <c r="B735">
        <v>10</v>
      </c>
      <c r="C735">
        <v>4</v>
      </c>
      <c r="D735" s="1">
        <v>45566</v>
      </c>
      <c r="E735" s="4" t="s">
        <v>23</v>
      </c>
      <c r="F735" s="4" t="s">
        <v>24</v>
      </c>
      <c r="G735" s="4" t="s">
        <v>107</v>
      </c>
      <c r="H735">
        <v>70</v>
      </c>
      <c r="I735">
        <v>104</v>
      </c>
      <c r="J735">
        <v>1</v>
      </c>
      <c r="K735">
        <v>103</v>
      </c>
      <c r="L735">
        <v>175988.51</v>
      </c>
      <c r="M735">
        <v>2449</v>
      </c>
      <c r="N735">
        <v>173539.51</v>
      </c>
      <c r="O735">
        <v>98252.55</v>
      </c>
      <c r="P735">
        <v>75286.960000000006</v>
      </c>
      <c r="Q735">
        <v>0.43380000000000002</v>
      </c>
      <c r="R735">
        <v>8</v>
      </c>
      <c r="S735">
        <v>20005.509999999998</v>
      </c>
      <c r="T735">
        <v>0</v>
      </c>
      <c r="U735">
        <v>2479.14</v>
      </c>
    </row>
    <row r="736" spans="1:21" x14ac:dyDescent="0.35">
      <c r="A736">
        <v>2024</v>
      </c>
      <c r="B736">
        <v>10</v>
      </c>
      <c r="C736">
        <v>4</v>
      </c>
      <c r="D736" s="1">
        <v>45566</v>
      </c>
      <c r="E736" s="4" t="s">
        <v>23</v>
      </c>
      <c r="F736" s="4" t="s">
        <v>24</v>
      </c>
      <c r="G736" s="4" t="s">
        <v>109</v>
      </c>
      <c r="H736">
        <v>140</v>
      </c>
      <c r="I736">
        <v>214</v>
      </c>
      <c r="J736">
        <v>7</v>
      </c>
      <c r="K736">
        <v>207</v>
      </c>
      <c r="L736">
        <v>234362.47</v>
      </c>
      <c r="M736">
        <v>7332.42</v>
      </c>
      <c r="N736">
        <v>227030.05</v>
      </c>
      <c r="O736">
        <v>129116.9</v>
      </c>
      <c r="P736">
        <v>97913.15</v>
      </c>
      <c r="Q736">
        <v>0.43130000000000002</v>
      </c>
      <c r="R736">
        <v>19</v>
      </c>
      <c r="S736">
        <v>39902.050000000003</v>
      </c>
      <c r="T736">
        <v>0</v>
      </c>
      <c r="U736">
        <v>1621.64</v>
      </c>
    </row>
    <row r="737" spans="1:21" x14ac:dyDescent="0.35">
      <c r="A737">
        <v>2024</v>
      </c>
      <c r="B737">
        <v>10</v>
      </c>
      <c r="C737">
        <v>4</v>
      </c>
      <c r="D737" s="1">
        <v>45566</v>
      </c>
      <c r="E737" s="4" t="s">
        <v>23</v>
      </c>
      <c r="F737" s="4" t="s">
        <v>26</v>
      </c>
      <c r="G737" s="4" t="s">
        <v>107</v>
      </c>
      <c r="H737">
        <v>13</v>
      </c>
      <c r="I737">
        <v>16</v>
      </c>
      <c r="J737">
        <v>0</v>
      </c>
      <c r="K737">
        <v>16</v>
      </c>
      <c r="L737">
        <v>9060.32</v>
      </c>
      <c r="M737">
        <v>0</v>
      </c>
      <c r="N737">
        <v>9060.32</v>
      </c>
      <c r="O737">
        <v>5525.4</v>
      </c>
      <c r="P737">
        <v>3534.92</v>
      </c>
      <c r="Q737">
        <v>0.39019999999999999</v>
      </c>
      <c r="R737">
        <v>1</v>
      </c>
      <c r="S737">
        <v>913.32</v>
      </c>
      <c r="T737">
        <v>0</v>
      </c>
      <c r="U737">
        <v>696.95</v>
      </c>
    </row>
    <row r="738" spans="1:21" x14ac:dyDescent="0.35">
      <c r="A738">
        <v>2024</v>
      </c>
      <c r="B738">
        <v>10</v>
      </c>
      <c r="C738">
        <v>4</v>
      </c>
      <c r="D738" s="1">
        <v>45566</v>
      </c>
      <c r="E738" s="4" t="s">
        <v>23</v>
      </c>
      <c r="F738" s="4" t="s">
        <v>26</v>
      </c>
      <c r="G738" s="4" t="s">
        <v>109</v>
      </c>
      <c r="H738">
        <v>45</v>
      </c>
      <c r="I738">
        <v>75</v>
      </c>
      <c r="J738">
        <v>0</v>
      </c>
      <c r="K738">
        <v>75</v>
      </c>
      <c r="L738">
        <v>40572.160000000003</v>
      </c>
      <c r="M738">
        <v>0</v>
      </c>
      <c r="N738">
        <v>40572.160000000003</v>
      </c>
      <c r="O738">
        <v>25275.599999999999</v>
      </c>
      <c r="P738">
        <v>15296.56</v>
      </c>
      <c r="Q738">
        <v>0.377</v>
      </c>
      <c r="R738">
        <v>6</v>
      </c>
      <c r="S738">
        <v>4762.16</v>
      </c>
      <c r="T738">
        <v>0</v>
      </c>
      <c r="U738">
        <v>901.6</v>
      </c>
    </row>
    <row r="739" spans="1:21" x14ac:dyDescent="0.35">
      <c r="A739">
        <v>2024</v>
      </c>
      <c r="B739">
        <v>10</v>
      </c>
      <c r="C739">
        <v>4</v>
      </c>
      <c r="D739" s="1">
        <v>45566</v>
      </c>
      <c r="E739" s="4" t="s">
        <v>25</v>
      </c>
      <c r="F739" s="4" t="s">
        <v>28</v>
      </c>
      <c r="G739" s="4" t="s">
        <v>107</v>
      </c>
      <c r="H739">
        <v>32</v>
      </c>
      <c r="I739">
        <v>47</v>
      </c>
      <c r="J739">
        <v>0</v>
      </c>
      <c r="K739">
        <v>47</v>
      </c>
      <c r="L739">
        <v>22712.9</v>
      </c>
      <c r="M739">
        <v>0</v>
      </c>
      <c r="N739">
        <v>22712.9</v>
      </c>
      <c r="O739">
        <v>8175.65</v>
      </c>
      <c r="P739">
        <v>14537.25</v>
      </c>
      <c r="Q739">
        <v>0.64</v>
      </c>
      <c r="R739">
        <v>5</v>
      </c>
      <c r="S739">
        <v>2832.9</v>
      </c>
      <c r="T739">
        <v>0</v>
      </c>
      <c r="U739">
        <v>709.78</v>
      </c>
    </row>
    <row r="740" spans="1:21" x14ac:dyDescent="0.35">
      <c r="A740">
        <v>2024</v>
      </c>
      <c r="B740">
        <v>10</v>
      </c>
      <c r="C740">
        <v>4</v>
      </c>
      <c r="D740" s="1">
        <v>45566</v>
      </c>
      <c r="E740" s="4" t="s">
        <v>25</v>
      </c>
      <c r="F740" s="4" t="s">
        <v>28</v>
      </c>
      <c r="G740" s="4" t="s">
        <v>109</v>
      </c>
      <c r="H740">
        <v>642</v>
      </c>
      <c r="I740">
        <v>990</v>
      </c>
      <c r="J740">
        <v>0</v>
      </c>
      <c r="K740">
        <v>990</v>
      </c>
      <c r="L740">
        <v>511754.69</v>
      </c>
      <c r="M740">
        <v>0</v>
      </c>
      <c r="N740">
        <v>511754.69</v>
      </c>
      <c r="O740">
        <v>185298.4</v>
      </c>
      <c r="P740">
        <v>326456.28999999998</v>
      </c>
      <c r="Q740">
        <v>0.63790000000000002</v>
      </c>
      <c r="R740">
        <v>68</v>
      </c>
      <c r="S740">
        <v>66256.820000000007</v>
      </c>
      <c r="T740">
        <v>0</v>
      </c>
      <c r="U740">
        <v>797.13</v>
      </c>
    </row>
    <row r="741" spans="1:21" x14ac:dyDescent="0.35">
      <c r="A741">
        <v>2024</v>
      </c>
      <c r="B741">
        <v>10</v>
      </c>
      <c r="C741">
        <v>4</v>
      </c>
      <c r="D741" s="1">
        <v>45566</v>
      </c>
      <c r="E741" s="4" t="s">
        <v>25</v>
      </c>
      <c r="F741" s="4" t="s">
        <v>24</v>
      </c>
      <c r="G741" s="4" t="s">
        <v>107</v>
      </c>
      <c r="H741">
        <v>26</v>
      </c>
      <c r="I741">
        <v>36</v>
      </c>
      <c r="J741">
        <v>0</v>
      </c>
      <c r="K741">
        <v>36</v>
      </c>
      <c r="L741">
        <v>63506.9</v>
      </c>
      <c r="M741">
        <v>0</v>
      </c>
      <c r="N741">
        <v>63506.9</v>
      </c>
      <c r="O741">
        <v>35331.449999999997</v>
      </c>
      <c r="P741">
        <v>28175.45</v>
      </c>
      <c r="Q741">
        <v>0.44369999999999998</v>
      </c>
      <c r="R741">
        <v>2</v>
      </c>
      <c r="S741">
        <v>7689.9</v>
      </c>
      <c r="T741">
        <v>0</v>
      </c>
      <c r="U741">
        <v>2442.5700000000002</v>
      </c>
    </row>
    <row r="742" spans="1:21" x14ac:dyDescent="0.35">
      <c r="A742">
        <v>2024</v>
      </c>
      <c r="B742">
        <v>10</v>
      </c>
      <c r="C742">
        <v>4</v>
      </c>
      <c r="D742" s="1">
        <v>45566</v>
      </c>
      <c r="E742" s="4" t="s">
        <v>25</v>
      </c>
      <c r="F742" s="4" t="s">
        <v>24</v>
      </c>
      <c r="G742" s="4" t="s">
        <v>109</v>
      </c>
      <c r="H742">
        <v>191</v>
      </c>
      <c r="I742">
        <v>279</v>
      </c>
      <c r="J742">
        <v>7</v>
      </c>
      <c r="K742">
        <v>272</v>
      </c>
      <c r="L742">
        <v>435001.04</v>
      </c>
      <c r="M742">
        <v>8149.3</v>
      </c>
      <c r="N742">
        <v>426851.74</v>
      </c>
      <c r="O742">
        <v>240462.2</v>
      </c>
      <c r="P742">
        <v>186389.54</v>
      </c>
      <c r="Q742">
        <v>0.43669999999999998</v>
      </c>
      <c r="R742">
        <v>17</v>
      </c>
      <c r="S742">
        <v>38368.67</v>
      </c>
      <c r="T742">
        <v>0</v>
      </c>
      <c r="U742">
        <v>2234.83</v>
      </c>
    </row>
    <row r="743" spans="1:21" x14ac:dyDescent="0.35">
      <c r="A743">
        <v>2024</v>
      </c>
      <c r="B743">
        <v>10</v>
      </c>
      <c r="C743">
        <v>4</v>
      </c>
      <c r="D743" s="1">
        <v>45566</v>
      </c>
      <c r="E743" s="4" t="s">
        <v>25</v>
      </c>
      <c r="F743" s="4" t="s">
        <v>26</v>
      </c>
      <c r="G743" s="4" t="s">
        <v>107</v>
      </c>
      <c r="H743">
        <v>22</v>
      </c>
      <c r="I743">
        <v>34</v>
      </c>
      <c r="J743">
        <v>3</v>
      </c>
      <c r="K743">
        <v>31</v>
      </c>
      <c r="L743">
        <v>30993.53</v>
      </c>
      <c r="M743">
        <v>1071</v>
      </c>
      <c r="N743">
        <v>29922.53</v>
      </c>
      <c r="O743">
        <v>18275.400000000001</v>
      </c>
      <c r="P743">
        <v>11647.13</v>
      </c>
      <c r="Q743">
        <v>0.38919999999999999</v>
      </c>
      <c r="R743">
        <v>3</v>
      </c>
      <c r="S743">
        <v>1510.53</v>
      </c>
      <c r="T743">
        <v>0</v>
      </c>
      <c r="U743">
        <v>1360.12</v>
      </c>
    </row>
    <row r="744" spans="1:21" x14ac:dyDescent="0.35">
      <c r="A744">
        <v>2024</v>
      </c>
      <c r="B744">
        <v>10</v>
      </c>
      <c r="C744">
        <v>4</v>
      </c>
      <c r="D744" s="1">
        <v>45566</v>
      </c>
      <c r="E744" s="4" t="s">
        <v>25</v>
      </c>
      <c r="F744" s="4" t="s">
        <v>26</v>
      </c>
      <c r="G744" s="4" t="s">
        <v>109</v>
      </c>
      <c r="H744">
        <v>37</v>
      </c>
      <c r="I744">
        <v>65</v>
      </c>
      <c r="J744">
        <v>10</v>
      </c>
      <c r="K744">
        <v>55</v>
      </c>
      <c r="L744">
        <v>48863.839999999997</v>
      </c>
      <c r="M744">
        <v>8659.76</v>
      </c>
      <c r="N744">
        <v>40204.080000000002</v>
      </c>
      <c r="O744">
        <v>24117.599999999999</v>
      </c>
      <c r="P744">
        <v>16086.48</v>
      </c>
      <c r="Q744">
        <v>0.40010000000000001</v>
      </c>
      <c r="R744">
        <v>2</v>
      </c>
      <c r="S744">
        <v>1020.08</v>
      </c>
      <c r="T744">
        <v>0</v>
      </c>
      <c r="U744">
        <v>1086.5999999999999</v>
      </c>
    </row>
    <row r="745" spans="1:21" x14ac:dyDescent="0.35">
      <c r="A745">
        <v>2024</v>
      </c>
      <c r="B745">
        <v>10</v>
      </c>
      <c r="C745">
        <v>4</v>
      </c>
      <c r="D745" s="1">
        <v>45566</v>
      </c>
      <c r="E745" s="4" t="s">
        <v>29</v>
      </c>
      <c r="F745" s="4" t="s">
        <v>28</v>
      </c>
      <c r="G745" s="4" t="s">
        <v>107</v>
      </c>
      <c r="H745">
        <v>186</v>
      </c>
      <c r="I745">
        <v>275</v>
      </c>
      <c r="J745">
        <v>0</v>
      </c>
      <c r="K745">
        <v>275</v>
      </c>
      <c r="L745">
        <v>120052.2</v>
      </c>
      <c r="M745">
        <v>0</v>
      </c>
      <c r="N745">
        <v>120052.2</v>
      </c>
      <c r="O745">
        <v>42810.6</v>
      </c>
      <c r="P745">
        <v>77241.600000000006</v>
      </c>
      <c r="Q745">
        <v>0.64339999999999997</v>
      </c>
      <c r="R745">
        <v>17</v>
      </c>
      <c r="S745">
        <v>9124.2000000000007</v>
      </c>
      <c r="T745">
        <v>0</v>
      </c>
      <c r="U745">
        <v>645.44000000000005</v>
      </c>
    </row>
    <row r="746" spans="1:21" x14ac:dyDescent="0.35">
      <c r="A746">
        <v>2024</v>
      </c>
      <c r="B746">
        <v>10</v>
      </c>
      <c r="C746">
        <v>4</v>
      </c>
      <c r="D746" s="1">
        <v>45566</v>
      </c>
      <c r="E746" s="4" t="s">
        <v>29</v>
      </c>
      <c r="F746" s="4" t="s">
        <v>28</v>
      </c>
      <c r="G746" s="4" t="s">
        <v>108</v>
      </c>
      <c r="H746">
        <v>26</v>
      </c>
      <c r="I746">
        <v>32</v>
      </c>
      <c r="J746">
        <v>0</v>
      </c>
      <c r="K746">
        <v>32</v>
      </c>
      <c r="L746">
        <v>19322.240000000002</v>
      </c>
      <c r="M746">
        <v>0</v>
      </c>
      <c r="N746">
        <v>19322.240000000002</v>
      </c>
      <c r="O746">
        <v>6809.6</v>
      </c>
      <c r="P746">
        <v>12512.64</v>
      </c>
      <c r="Q746">
        <v>0.64759999999999995</v>
      </c>
      <c r="R746">
        <v>1</v>
      </c>
      <c r="S746">
        <v>474.24</v>
      </c>
      <c r="T746">
        <v>0</v>
      </c>
      <c r="U746">
        <v>743.16</v>
      </c>
    </row>
    <row r="747" spans="1:21" x14ac:dyDescent="0.35">
      <c r="A747">
        <v>2024</v>
      </c>
      <c r="B747">
        <v>10</v>
      </c>
      <c r="C747">
        <v>4</v>
      </c>
      <c r="D747" s="1">
        <v>45566</v>
      </c>
      <c r="E747" s="4" t="s">
        <v>29</v>
      </c>
      <c r="F747" s="4" t="s">
        <v>28</v>
      </c>
      <c r="G747" s="4" t="s">
        <v>109</v>
      </c>
      <c r="H747">
        <v>849</v>
      </c>
      <c r="I747">
        <v>1294</v>
      </c>
      <c r="J747">
        <v>0</v>
      </c>
      <c r="K747">
        <v>1294</v>
      </c>
      <c r="L747">
        <v>611172.91</v>
      </c>
      <c r="M747">
        <v>0</v>
      </c>
      <c r="N747">
        <v>611172.91</v>
      </c>
      <c r="O747">
        <v>220644.9</v>
      </c>
      <c r="P747">
        <v>390528.01</v>
      </c>
      <c r="Q747">
        <v>0.63900000000000001</v>
      </c>
      <c r="R747">
        <v>108</v>
      </c>
      <c r="S747">
        <v>94761.65</v>
      </c>
      <c r="T747">
        <v>0</v>
      </c>
      <c r="U747">
        <v>719.87</v>
      </c>
    </row>
    <row r="748" spans="1:21" x14ac:dyDescent="0.35">
      <c r="A748">
        <v>2024</v>
      </c>
      <c r="B748">
        <v>10</v>
      </c>
      <c r="C748">
        <v>4</v>
      </c>
      <c r="D748" s="1">
        <v>45566</v>
      </c>
      <c r="E748" s="4" t="s">
        <v>29</v>
      </c>
      <c r="F748" s="4" t="s">
        <v>24</v>
      </c>
      <c r="G748" s="4" t="s">
        <v>107</v>
      </c>
      <c r="H748">
        <v>6</v>
      </c>
      <c r="I748">
        <v>10</v>
      </c>
      <c r="J748">
        <v>0</v>
      </c>
      <c r="K748">
        <v>10</v>
      </c>
      <c r="L748">
        <v>7499.52</v>
      </c>
      <c r="M748">
        <v>0</v>
      </c>
      <c r="N748">
        <v>7499.52</v>
      </c>
      <c r="O748">
        <v>4752</v>
      </c>
      <c r="P748">
        <v>2747.52</v>
      </c>
      <c r="Q748">
        <v>0.3664</v>
      </c>
      <c r="R748">
        <v>2</v>
      </c>
      <c r="S748">
        <v>2315.52</v>
      </c>
      <c r="T748">
        <v>0</v>
      </c>
      <c r="U748">
        <v>1249.92</v>
      </c>
    </row>
    <row r="749" spans="1:21" x14ac:dyDescent="0.35">
      <c r="A749">
        <v>2024</v>
      </c>
      <c r="B749">
        <v>10</v>
      </c>
      <c r="C749">
        <v>4</v>
      </c>
      <c r="D749" s="1">
        <v>45566</v>
      </c>
      <c r="E749" s="4" t="s">
        <v>29</v>
      </c>
      <c r="F749" s="4" t="s">
        <v>24</v>
      </c>
      <c r="G749" s="4" t="s">
        <v>108</v>
      </c>
      <c r="H749">
        <v>10</v>
      </c>
      <c r="I749">
        <v>12</v>
      </c>
      <c r="J749">
        <v>0</v>
      </c>
      <c r="K749">
        <v>12</v>
      </c>
      <c r="L749">
        <v>8540.42</v>
      </c>
      <c r="M749">
        <v>0</v>
      </c>
      <c r="N749">
        <v>8540.42</v>
      </c>
      <c r="O749">
        <v>4897.2</v>
      </c>
      <c r="P749">
        <v>3643.22</v>
      </c>
      <c r="Q749">
        <v>0.42659999999999998</v>
      </c>
      <c r="R749">
        <v>2</v>
      </c>
      <c r="S749">
        <v>1862.42</v>
      </c>
      <c r="T749">
        <v>0</v>
      </c>
      <c r="U749">
        <v>854.04</v>
      </c>
    </row>
    <row r="750" spans="1:21" x14ac:dyDescent="0.35">
      <c r="A750">
        <v>2024</v>
      </c>
      <c r="B750">
        <v>10</v>
      </c>
      <c r="C750">
        <v>4</v>
      </c>
      <c r="D750" s="1">
        <v>45566</v>
      </c>
      <c r="E750" s="4" t="s">
        <v>29</v>
      </c>
      <c r="F750" s="4" t="s">
        <v>24</v>
      </c>
      <c r="G750" s="4" t="s">
        <v>109</v>
      </c>
      <c r="H750">
        <v>158</v>
      </c>
      <c r="I750">
        <v>228</v>
      </c>
      <c r="J750">
        <v>3</v>
      </c>
      <c r="K750">
        <v>225</v>
      </c>
      <c r="L750">
        <v>451509.26</v>
      </c>
      <c r="M750">
        <v>6703.4</v>
      </c>
      <c r="N750">
        <v>444805.86</v>
      </c>
      <c r="O750">
        <v>257447.3</v>
      </c>
      <c r="P750">
        <v>187358.56</v>
      </c>
      <c r="Q750">
        <v>0.42120000000000002</v>
      </c>
      <c r="R750">
        <v>25</v>
      </c>
      <c r="S750">
        <v>67311.86</v>
      </c>
      <c r="T750">
        <v>0</v>
      </c>
      <c r="U750">
        <v>2815.23</v>
      </c>
    </row>
    <row r="751" spans="1:21" x14ac:dyDescent="0.35">
      <c r="A751">
        <v>2024</v>
      </c>
      <c r="B751">
        <v>10</v>
      </c>
      <c r="C751">
        <v>4</v>
      </c>
      <c r="D751" s="1">
        <v>45566</v>
      </c>
      <c r="E751" s="4" t="s">
        <v>29</v>
      </c>
      <c r="F751" s="4" t="s">
        <v>26</v>
      </c>
      <c r="G751" s="4" t="s">
        <v>107</v>
      </c>
      <c r="H751">
        <v>16</v>
      </c>
      <c r="I751">
        <v>18</v>
      </c>
      <c r="J751">
        <v>1</v>
      </c>
      <c r="K751">
        <v>17</v>
      </c>
      <c r="L751">
        <v>12430.65</v>
      </c>
      <c r="M751">
        <v>1139</v>
      </c>
      <c r="N751">
        <v>11291.65</v>
      </c>
      <c r="O751">
        <v>6838.2</v>
      </c>
      <c r="P751">
        <v>4453.45</v>
      </c>
      <c r="Q751">
        <v>0.39439999999999997</v>
      </c>
      <c r="R751">
        <v>1</v>
      </c>
      <c r="S751">
        <v>195.65</v>
      </c>
      <c r="T751">
        <v>0</v>
      </c>
      <c r="U751">
        <v>705.73</v>
      </c>
    </row>
    <row r="752" spans="1:21" x14ac:dyDescent="0.35">
      <c r="A752">
        <v>2024</v>
      </c>
      <c r="B752">
        <v>10</v>
      </c>
      <c r="C752">
        <v>4</v>
      </c>
      <c r="D752" s="1">
        <v>45566</v>
      </c>
      <c r="E752" s="4" t="s">
        <v>29</v>
      </c>
      <c r="F752" s="4" t="s">
        <v>26</v>
      </c>
      <c r="G752" s="4" t="s">
        <v>109</v>
      </c>
      <c r="H752">
        <v>25</v>
      </c>
      <c r="I752">
        <v>41</v>
      </c>
      <c r="J752">
        <v>2</v>
      </c>
      <c r="K752">
        <v>39</v>
      </c>
      <c r="L752">
        <v>34062</v>
      </c>
      <c r="M752">
        <v>1100</v>
      </c>
      <c r="N752">
        <v>32962</v>
      </c>
      <c r="O752">
        <v>20060.400000000001</v>
      </c>
      <c r="P752">
        <v>12901.6</v>
      </c>
      <c r="Q752">
        <v>0.39140000000000003</v>
      </c>
      <c r="R752">
        <v>2</v>
      </c>
      <c r="S752">
        <v>2360</v>
      </c>
      <c r="T752">
        <v>0</v>
      </c>
      <c r="U752">
        <v>1318.48</v>
      </c>
    </row>
    <row r="753" spans="1:21" x14ac:dyDescent="0.35">
      <c r="A753">
        <v>2024</v>
      </c>
      <c r="B753">
        <v>10</v>
      </c>
      <c r="C753">
        <v>4</v>
      </c>
      <c r="D753" s="1">
        <v>45566</v>
      </c>
      <c r="E753" s="4" t="s">
        <v>31</v>
      </c>
      <c r="F753" s="4" t="s">
        <v>28</v>
      </c>
      <c r="G753" s="4" t="s">
        <v>107</v>
      </c>
      <c r="H753">
        <v>60</v>
      </c>
      <c r="I753">
        <v>90</v>
      </c>
      <c r="J753">
        <v>0</v>
      </c>
      <c r="K753">
        <v>90</v>
      </c>
      <c r="L753">
        <v>34951.86</v>
      </c>
      <c r="M753">
        <v>0</v>
      </c>
      <c r="N753">
        <v>34951.86</v>
      </c>
      <c r="O753">
        <v>12332.25</v>
      </c>
      <c r="P753">
        <v>22619.61</v>
      </c>
      <c r="Q753">
        <v>0.6472</v>
      </c>
      <c r="R753">
        <v>3</v>
      </c>
      <c r="S753">
        <v>948.86</v>
      </c>
      <c r="T753">
        <v>0</v>
      </c>
      <c r="U753">
        <v>582.53</v>
      </c>
    </row>
    <row r="754" spans="1:21" x14ac:dyDescent="0.35">
      <c r="A754">
        <v>2024</v>
      </c>
      <c r="B754">
        <v>10</v>
      </c>
      <c r="C754">
        <v>4</v>
      </c>
      <c r="D754" s="1">
        <v>45566</v>
      </c>
      <c r="E754" s="4" t="s">
        <v>31</v>
      </c>
      <c r="F754" s="4" t="s">
        <v>28</v>
      </c>
      <c r="G754" s="4" t="s">
        <v>108</v>
      </c>
      <c r="H754">
        <v>279</v>
      </c>
      <c r="I754">
        <v>401</v>
      </c>
      <c r="J754">
        <v>0</v>
      </c>
      <c r="K754">
        <v>401</v>
      </c>
      <c r="L754">
        <v>153298.72</v>
      </c>
      <c r="M754">
        <v>0</v>
      </c>
      <c r="N754">
        <v>153298.72</v>
      </c>
      <c r="O754">
        <v>55932.1</v>
      </c>
      <c r="P754">
        <v>97366.62</v>
      </c>
      <c r="Q754">
        <v>0.6351</v>
      </c>
      <c r="R754">
        <v>41</v>
      </c>
      <c r="S754">
        <v>24331.72</v>
      </c>
      <c r="T754">
        <v>0</v>
      </c>
      <c r="U754">
        <v>549.46</v>
      </c>
    </row>
    <row r="755" spans="1:21" x14ac:dyDescent="0.35">
      <c r="A755">
        <v>2024</v>
      </c>
      <c r="B755">
        <v>10</v>
      </c>
      <c r="C755">
        <v>4</v>
      </c>
      <c r="D755" s="1">
        <v>45566</v>
      </c>
      <c r="E755" s="4" t="s">
        <v>31</v>
      </c>
      <c r="F755" s="4" t="s">
        <v>28</v>
      </c>
      <c r="G755" s="4" t="s">
        <v>109</v>
      </c>
      <c r="H755">
        <v>901</v>
      </c>
      <c r="I755">
        <v>1412</v>
      </c>
      <c r="J755">
        <v>0</v>
      </c>
      <c r="K755">
        <v>1412</v>
      </c>
      <c r="L755">
        <v>673233.75</v>
      </c>
      <c r="M755">
        <v>0</v>
      </c>
      <c r="N755">
        <v>673233.75</v>
      </c>
      <c r="O755">
        <v>242691.75</v>
      </c>
      <c r="P755">
        <v>430542</v>
      </c>
      <c r="Q755">
        <v>0.63949999999999996</v>
      </c>
      <c r="R755">
        <v>111</v>
      </c>
      <c r="S755">
        <v>86408.14</v>
      </c>
      <c r="T755">
        <v>0</v>
      </c>
      <c r="U755">
        <v>747.21</v>
      </c>
    </row>
    <row r="756" spans="1:21" x14ac:dyDescent="0.35">
      <c r="A756">
        <v>2024</v>
      </c>
      <c r="B756">
        <v>10</v>
      </c>
      <c r="C756">
        <v>4</v>
      </c>
      <c r="D756" s="1">
        <v>45566</v>
      </c>
      <c r="E756" s="4" t="s">
        <v>31</v>
      </c>
      <c r="F756" s="4" t="s">
        <v>24</v>
      </c>
      <c r="G756" s="4" t="s">
        <v>107</v>
      </c>
      <c r="H756">
        <v>9</v>
      </c>
      <c r="I756">
        <v>14</v>
      </c>
      <c r="J756">
        <v>0</v>
      </c>
      <c r="K756">
        <v>14</v>
      </c>
      <c r="L756">
        <v>25340</v>
      </c>
      <c r="M756">
        <v>0</v>
      </c>
      <c r="N756">
        <v>25340</v>
      </c>
      <c r="O756">
        <v>13937</v>
      </c>
      <c r="P756">
        <v>11403</v>
      </c>
      <c r="Q756">
        <v>0.45</v>
      </c>
      <c r="R756">
        <v>0</v>
      </c>
      <c r="S756">
        <v>0</v>
      </c>
      <c r="T756">
        <v>0</v>
      </c>
      <c r="U756">
        <v>2815.56</v>
      </c>
    </row>
    <row r="757" spans="1:21" x14ac:dyDescent="0.35">
      <c r="A757">
        <v>2024</v>
      </c>
      <c r="B757">
        <v>10</v>
      </c>
      <c r="C757">
        <v>4</v>
      </c>
      <c r="D757" s="1">
        <v>45566</v>
      </c>
      <c r="E757" s="4" t="s">
        <v>31</v>
      </c>
      <c r="F757" s="4" t="s">
        <v>24</v>
      </c>
      <c r="G757" s="4" t="s">
        <v>109</v>
      </c>
      <c r="H757">
        <v>220</v>
      </c>
      <c r="I757">
        <v>338</v>
      </c>
      <c r="J757">
        <v>19</v>
      </c>
      <c r="K757">
        <v>319</v>
      </c>
      <c r="L757">
        <v>476852.3</v>
      </c>
      <c r="M757">
        <v>24883</v>
      </c>
      <c r="N757">
        <v>451969.3</v>
      </c>
      <c r="O757">
        <v>256964.4</v>
      </c>
      <c r="P757">
        <v>195004.9</v>
      </c>
      <c r="Q757">
        <v>0.43149999999999999</v>
      </c>
      <c r="R757">
        <v>27</v>
      </c>
      <c r="S757">
        <v>71864.3</v>
      </c>
      <c r="T757">
        <v>0</v>
      </c>
      <c r="U757">
        <v>2054.41</v>
      </c>
    </row>
    <row r="758" spans="1:21" x14ac:dyDescent="0.35">
      <c r="A758">
        <v>2024</v>
      </c>
      <c r="B758">
        <v>10</v>
      </c>
      <c r="C758">
        <v>4</v>
      </c>
      <c r="D758" s="1">
        <v>45566</v>
      </c>
      <c r="E758" s="4" t="s">
        <v>31</v>
      </c>
      <c r="F758" s="4" t="s">
        <v>26</v>
      </c>
      <c r="G758" s="4" t="s">
        <v>107</v>
      </c>
      <c r="H758">
        <v>5</v>
      </c>
      <c r="I758">
        <v>6</v>
      </c>
      <c r="J758">
        <v>0</v>
      </c>
      <c r="K758">
        <v>6</v>
      </c>
      <c r="L758">
        <v>2929.8</v>
      </c>
      <c r="M758">
        <v>0</v>
      </c>
      <c r="N758">
        <v>2929.8</v>
      </c>
      <c r="O758">
        <v>1850.4</v>
      </c>
      <c r="P758">
        <v>1079.4000000000001</v>
      </c>
      <c r="Q758">
        <v>0.36840000000000001</v>
      </c>
      <c r="R758">
        <v>1</v>
      </c>
      <c r="S758">
        <v>873.8</v>
      </c>
      <c r="T758">
        <v>0</v>
      </c>
      <c r="U758">
        <v>585.96</v>
      </c>
    </row>
    <row r="759" spans="1:21" x14ac:dyDescent="0.35">
      <c r="A759">
        <v>2024</v>
      </c>
      <c r="B759">
        <v>10</v>
      </c>
      <c r="C759">
        <v>4</v>
      </c>
      <c r="D759" s="1">
        <v>45566</v>
      </c>
      <c r="E759" s="4" t="s">
        <v>31</v>
      </c>
      <c r="F759" s="4" t="s">
        <v>26</v>
      </c>
      <c r="G759" s="4" t="s">
        <v>108</v>
      </c>
      <c r="H759">
        <v>1</v>
      </c>
      <c r="I759">
        <v>1</v>
      </c>
      <c r="J759">
        <v>0</v>
      </c>
      <c r="K759">
        <v>1</v>
      </c>
      <c r="L759">
        <v>726</v>
      </c>
      <c r="M759">
        <v>0</v>
      </c>
      <c r="N759">
        <v>726</v>
      </c>
      <c r="O759">
        <v>435.6</v>
      </c>
      <c r="P759">
        <v>290.39999999999998</v>
      </c>
      <c r="Q759">
        <v>0.4</v>
      </c>
      <c r="R759">
        <v>0</v>
      </c>
      <c r="S759">
        <v>0</v>
      </c>
      <c r="T759">
        <v>0</v>
      </c>
      <c r="U759">
        <v>726</v>
      </c>
    </row>
    <row r="760" spans="1:21" x14ac:dyDescent="0.35">
      <c r="A760">
        <v>2024</v>
      </c>
      <c r="B760">
        <v>10</v>
      </c>
      <c r="C760">
        <v>4</v>
      </c>
      <c r="D760" s="1">
        <v>45566</v>
      </c>
      <c r="E760" s="4" t="s">
        <v>31</v>
      </c>
      <c r="F760" s="4" t="s">
        <v>26</v>
      </c>
      <c r="G760" s="4" t="s">
        <v>109</v>
      </c>
      <c r="H760">
        <v>28</v>
      </c>
      <c r="I760">
        <v>45</v>
      </c>
      <c r="J760">
        <v>1</v>
      </c>
      <c r="K760">
        <v>44</v>
      </c>
      <c r="L760">
        <v>34281</v>
      </c>
      <c r="M760">
        <v>789</v>
      </c>
      <c r="N760">
        <v>33492</v>
      </c>
      <c r="O760">
        <v>20095.2</v>
      </c>
      <c r="P760">
        <v>13396.8</v>
      </c>
      <c r="Q760">
        <v>0.4</v>
      </c>
      <c r="R760">
        <v>0</v>
      </c>
      <c r="S760">
        <v>0</v>
      </c>
      <c r="T760">
        <v>0</v>
      </c>
      <c r="U760">
        <v>1196.1400000000001</v>
      </c>
    </row>
    <row r="761" spans="1:21" x14ac:dyDescent="0.35">
      <c r="A761">
        <v>2024</v>
      </c>
      <c r="B761">
        <v>10</v>
      </c>
      <c r="C761">
        <v>4</v>
      </c>
      <c r="D761" s="1">
        <v>45566</v>
      </c>
      <c r="E761" s="4" t="s">
        <v>30</v>
      </c>
      <c r="F761" s="4" t="s">
        <v>28</v>
      </c>
      <c r="G761" s="4" t="s">
        <v>107</v>
      </c>
      <c r="H761">
        <v>129</v>
      </c>
      <c r="I761">
        <v>193</v>
      </c>
      <c r="J761">
        <v>0</v>
      </c>
      <c r="K761">
        <v>193</v>
      </c>
      <c r="L761">
        <v>83268.12</v>
      </c>
      <c r="M761">
        <v>0</v>
      </c>
      <c r="N761">
        <v>83268.12</v>
      </c>
      <c r="O761">
        <v>30465.05</v>
      </c>
      <c r="P761">
        <v>52803.07</v>
      </c>
      <c r="Q761">
        <v>0.6341</v>
      </c>
      <c r="R761">
        <v>17</v>
      </c>
      <c r="S761">
        <v>13115.08</v>
      </c>
      <c r="T761">
        <v>0</v>
      </c>
      <c r="U761">
        <v>645.49</v>
      </c>
    </row>
    <row r="762" spans="1:21" x14ac:dyDescent="0.35">
      <c r="A762">
        <v>2024</v>
      </c>
      <c r="B762">
        <v>10</v>
      </c>
      <c r="C762">
        <v>4</v>
      </c>
      <c r="D762" s="1">
        <v>45566</v>
      </c>
      <c r="E762" s="4" t="s">
        <v>30</v>
      </c>
      <c r="F762" s="4" t="s">
        <v>28</v>
      </c>
      <c r="G762" s="4" t="s">
        <v>108</v>
      </c>
      <c r="H762">
        <v>53</v>
      </c>
      <c r="I762">
        <v>78</v>
      </c>
      <c r="J762">
        <v>0</v>
      </c>
      <c r="K762">
        <v>78</v>
      </c>
      <c r="L762">
        <v>45805.2</v>
      </c>
      <c r="M762">
        <v>0</v>
      </c>
      <c r="N762">
        <v>45805.2</v>
      </c>
      <c r="O762">
        <v>16789.5</v>
      </c>
      <c r="P762">
        <v>29015.7</v>
      </c>
      <c r="Q762">
        <v>0.63349999999999995</v>
      </c>
      <c r="R762">
        <v>10</v>
      </c>
      <c r="S762">
        <v>8290.2000000000007</v>
      </c>
      <c r="T762">
        <v>0</v>
      </c>
      <c r="U762">
        <v>864.25</v>
      </c>
    </row>
    <row r="763" spans="1:21" x14ac:dyDescent="0.35">
      <c r="A763">
        <v>2024</v>
      </c>
      <c r="B763">
        <v>10</v>
      </c>
      <c r="C763">
        <v>4</v>
      </c>
      <c r="D763" s="1">
        <v>45566</v>
      </c>
      <c r="E763" s="4" t="s">
        <v>30</v>
      </c>
      <c r="F763" s="4" t="s">
        <v>28</v>
      </c>
      <c r="G763" s="4" t="s">
        <v>109</v>
      </c>
      <c r="H763">
        <v>707</v>
      </c>
      <c r="I763">
        <v>1077</v>
      </c>
      <c r="J763">
        <v>0</v>
      </c>
      <c r="K763">
        <v>1077</v>
      </c>
      <c r="L763">
        <v>420988.55</v>
      </c>
      <c r="M763">
        <v>0</v>
      </c>
      <c r="N763">
        <v>420988.55</v>
      </c>
      <c r="O763">
        <v>154061.6</v>
      </c>
      <c r="P763">
        <v>266926.95</v>
      </c>
      <c r="Q763">
        <v>0.63400000000000001</v>
      </c>
      <c r="R763">
        <v>95</v>
      </c>
      <c r="S763">
        <v>67252.08</v>
      </c>
      <c r="T763">
        <v>0</v>
      </c>
      <c r="U763">
        <v>595.46</v>
      </c>
    </row>
    <row r="764" spans="1:21" x14ac:dyDescent="0.35">
      <c r="A764">
        <v>2024</v>
      </c>
      <c r="B764">
        <v>10</v>
      </c>
      <c r="C764">
        <v>4</v>
      </c>
      <c r="D764" s="1">
        <v>45566</v>
      </c>
      <c r="E764" s="4" t="s">
        <v>30</v>
      </c>
      <c r="F764" s="4" t="s">
        <v>35</v>
      </c>
      <c r="G764" s="4" t="s">
        <v>109</v>
      </c>
      <c r="H764">
        <v>1</v>
      </c>
      <c r="I764">
        <v>1</v>
      </c>
      <c r="J764">
        <v>0</v>
      </c>
      <c r="K764">
        <v>1</v>
      </c>
      <c r="L764">
        <v>493</v>
      </c>
      <c r="M764">
        <v>0</v>
      </c>
      <c r="N764">
        <v>493</v>
      </c>
      <c r="O764">
        <v>98.6</v>
      </c>
      <c r="P764">
        <v>394.4</v>
      </c>
      <c r="Q764">
        <v>0.8</v>
      </c>
      <c r="R764">
        <v>0</v>
      </c>
      <c r="S764">
        <v>0</v>
      </c>
      <c r="T764">
        <v>0</v>
      </c>
      <c r="U764">
        <v>493</v>
      </c>
    </row>
    <row r="765" spans="1:21" x14ac:dyDescent="0.35">
      <c r="A765">
        <v>2024</v>
      </c>
      <c r="B765">
        <v>10</v>
      </c>
      <c r="C765">
        <v>4</v>
      </c>
      <c r="D765" s="1">
        <v>45566</v>
      </c>
      <c r="E765" s="4" t="s">
        <v>30</v>
      </c>
      <c r="F765" s="4" t="s">
        <v>24</v>
      </c>
      <c r="G765" s="4" t="s">
        <v>107</v>
      </c>
      <c r="H765">
        <v>82</v>
      </c>
      <c r="I765">
        <v>130</v>
      </c>
      <c r="J765">
        <v>3</v>
      </c>
      <c r="K765">
        <v>127</v>
      </c>
      <c r="L765">
        <v>240516.43</v>
      </c>
      <c r="M765">
        <v>5019</v>
      </c>
      <c r="N765">
        <v>235497.43</v>
      </c>
      <c r="O765">
        <v>133785.29999999999</v>
      </c>
      <c r="P765">
        <v>101712.13</v>
      </c>
      <c r="Q765">
        <v>0.43190000000000001</v>
      </c>
      <c r="R765">
        <v>8</v>
      </c>
      <c r="S765">
        <v>25152.43</v>
      </c>
      <c r="T765">
        <v>0</v>
      </c>
      <c r="U765">
        <v>2871.92</v>
      </c>
    </row>
    <row r="766" spans="1:21" x14ac:dyDescent="0.35">
      <c r="A766">
        <v>2024</v>
      </c>
      <c r="B766">
        <v>10</v>
      </c>
      <c r="C766">
        <v>4</v>
      </c>
      <c r="D766" s="1">
        <v>45566</v>
      </c>
      <c r="E766" s="4" t="s">
        <v>30</v>
      </c>
      <c r="F766" s="4" t="s">
        <v>24</v>
      </c>
      <c r="G766" s="4" t="s">
        <v>108</v>
      </c>
      <c r="H766">
        <v>10</v>
      </c>
      <c r="I766">
        <v>13</v>
      </c>
      <c r="J766">
        <v>0</v>
      </c>
      <c r="K766">
        <v>13</v>
      </c>
      <c r="L766">
        <v>30546.12</v>
      </c>
      <c r="M766">
        <v>0</v>
      </c>
      <c r="N766">
        <v>30546.12</v>
      </c>
      <c r="O766">
        <v>17224.349999999999</v>
      </c>
      <c r="P766">
        <v>13321.77</v>
      </c>
      <c r="Q766">
        <v>0.43609999999999999</v>
      </c>
      <c r="R766">
        <v>1</v>
      </c>
      <c r="S766">
        <v>4047.12</v>
      </c>
      <c r="T766">
        <v>0</v>
      </c>
      <c r="U766">
        <v>3054.61</v>
      </c>
    </row>
    <row r="767" spans="1:21" x14ac:dyDescent="0.35">
      <c r="A767">
        <v>2024</v>
      </c>
      <c r="B767">
        <v>10</v>
      </c>
      <c r="C767">
        <v>4</v>
      </c>
      <c r="D767" s="1">
        <v>45566</v>
      </c>
      <c r="E767" s="4" t="s">
        <v>30</v>
      </c>
      <c r="F767" s="4" t="s">
        <v>24</v>
      </c>
      <c r="G767" s="4" t="s">
        <v>109</v>
      </c>
      <c r="H767">
        <v>222</v>
      </c>
      <c r="I767">
        <v>349</v>
      </c>
      <c r="J767">
        <v>7</v>
      </c>
      <c r="K767">
        <v>342</v>
      </c>
      <c r="L767">
        <v>612353.56000000006</v>
      </c>
      <c r="M767">
        <v>11530.5</v>
      </c>
      <c r="N767">
        <v>600823.06000000006</v>
      </c>
      <c r="O767">
        <v>343097.7</v>
      </c>
      <c r="P767">
        <v>257725.36</v>
      </c>
      <c r="Q767">
        <v>0.42899999999999999</v>
      </c>
      <c r="R767">
        <v>25</v>
      </c>
      <c r="S767">
        <v>80084.929999999993</v>
      </c>
      <c r="T767">
        <v>0</v>
      </c>
      <c r="U767">
        <v>2706.41</v>
      </c>
    </row>
    <row r="768" spans="1:21" x14ac:dyDescent="0.35">
      <c r="A768">
        <v>2024</v>
      </c>
      <c r="B768">
        <v>10</v>
      </c>
      <c r="C768">
        <v>4</v>
      </c>
      <c r="D768" s="1">
        <v>45566</v>
      </c>
      <c r="E768" s="4" t="s">
        <v>30</v>
      </c>
      <c r="F768" s="4" t="s">
        <v>26</v>
      </c>
      <c r="G768" s="4" t="s">
        <v>107</v>
      </c>
      <c r="H768">
        <v>2</v>
      </c>
      <c r="I768">
        <v>3</v>
      </c>
      <c r="J768">
        <v>0</v>
      </c>
      <c r="K768">
        <v>3</v>
      </c>
      <c r="L768">
        <v>2823</v>
      </c>
      <c r="M768">
        <v>0</v>
      </c>
      <c r="N768">
        <v>2823</v>
      </c>
      <c r="O768">
        <v>1693.8</v>
      </c>
      <c r="P768">
        <v>1129.2</v>
      </c>
      <c r="Q768">
        <v>0.4</v>
      </c>
      <c r="R768">
        <v>0</v>
      </c>
      <c r="S768">
        <v>0</v>
      </c>
      <c r="T768">
        <v>0</v>
      </c>
      <c r="U768">
        <v>1411.5</v>
      </c>
    </row>
    <row r="769" spans="1:21" x14ac:dyDescent="0.35">
      <c r="A769">
        <v>2024</v>
      </c>
      <c r="B769">
        <v>10</v>
      </c>
      <c r="C769">
        <v>4</v>
      </c>
      <c r="D769" s="1">
        <v>45566</v>
      </c>
      <c r="E769" s="4" t="s">
        <v>30</v>
      </c>
      <c r="F769" s="4" t="s">
        <v>26</v>
      </c>
      <c r="G769" s="4" t="s">
        <v>109</v>
      </c>
      <c r="H769">
        <v>68</v>
      </c>
      <c r="I769">
        <v>104</v>
      </c>
      <c r="J769">
        <v>4</v>
      </c>
      <c r="K769">
        <v>100</v>
      </c>
      <c r="L769">
        <v>77747.289999999994</v>
      </c>
      <c r="M769">
        <v>3653</v>
      </c>
      <c r="N769">
        <v>74094.289999999994</v>
      </c>
      <c r="O769">
        <v>45455.4</v>
      </c>
      <c r="P769">
        <v>28638.89</v>
      </c>
      <c r="Q769">
        <v>0.38650000000000001</v>
      </c>
      <c r="R769">
        <v>6</v>
      </c>
      <c r="S769">
        <v>6889.29</v>
      </c>
      <c r="T769">
        <v>0</v>
      </c>
      <c r="U769">
        <v>1089.6199999999999</v>
      </c>
    </row>
    <row r="770" spans="1:21" x14ac:dyDescent="0.35">
      <c r="A770">
        <v>2024</v>
      </c>
      <c r="B770">
        <v>10</v>
      </c>
      <c r="C770">
        <v>4</v>
      </c>
      <c r="D770" s="1">
        <v>45566</v>
      </c>
      <c r="E770" s="4" t="s">
        <v>78</v>
      </c>
      <c r="F770" s="4" t="s">
        <v>78</v>
      </c>
      <c r="G770" s="4" t="s">
        <v>110</v>
      </c>
      <c r="H770">
        <v>252</v>
      </c>
      <c r="I770">
        <v>363</v>
      </c>
      <c r="J770">
        <v>0</v>
      </c>
      <c r="K770">
        <v>363</v>
      </c>
      <c r="L770">
        <v>805581</v>
      </c>
      <c r="M770">
        <v>0</v>
      </c>
      <c r="N770">
        <v>805581</v>
      </c>
      <c r="O770">
        <v>120837.15</v>
      </c>
      <c r="P770">
        <v>684743.85</v>
      </c>
      <c r="Q770">
        <v>0.85</v>
      </c>
      <c r="R770">
        <v>1</v>
      </c>
      <c r="S770">
        <v>798</v>
      </c>
      <c r="T770">
        <v>0</v>
      </c>
      <c r="U770">
        <v>3196.75</v>
      </c>
    </row>
    <row r="771" spans="1:21" x14ac:dyDescent="0.35">
      <c r="A771">
        <v>2024</v>
      </c>
      <c r="B771">
        <v>11</v>
      </c>
      <c r="C771">
        <v>4</v>
      </c>
      <c r="D771" s="1">
        <v>45597</v>
      </c>
      <c r="E771" s="4" t="s">
        <v>33</v>
      </c>
      <c r="F771" s="4" t="s">
        <v>28</v>
      </c>
      <c r="G771" s="4" t="s">
        <v>107</v>
      </c>
      <c r="H771">
        <v>118</v>
      </c>
      <c r="I771">
        <v>181</v>
      </c>
      <c r="J771">
        <v>0</v>
      </c>
      <c r="K771">
        <v>181</v>
      </c>
      <c r="L771">
        <v>56388.959999999999</v>
      </c>
      <c r="M771">
        <v>0</v>
      </c>
      <c r="N771">
        <v>56388.959999999999</v>
      </c>
      <c r="O771">
        <v>20503.349999999999</v>
      </c>
      <c r="P771">
        <v>35885.61</v>
      </c>
      <c r="Q771">
        <v>0.63639999999999997</v>
      </c>
      <c r="R771">
        <v>18</v>
      </c>
      <c r="S771">
        <v>9168.9599999999991</v>
      </c>
      <c r="T771">
        <v>0</v>
      </c>
      <c r="U771">
        <v>477.87</v>
      </c>
    </row>
    <row r="772" spans="1:21" x14ac:dyDescent="0.35">
      <c r="A772">
        <v>2024</v>
      </c>
      <c r="B772">
        <v>11</v>
      </c>
      <c r="C772">
        <v>4</v>
      </c>
      <c r="D772" s="1">
        <v>45597</v>
      </c>
      <c r="E772" s="4" t="s">
        <v>33</v>
      </c>
      <c r="F772" s="4" t="s">
        <v>28</v>
      </c>
      <c r="G772" s="4" t="s">
        <v>108</v>
      </c>
      <c r="H772">
        <v>38</v>
      </c>
      <c r="I772">
        <v>59</v>
      </c>
      <c r="J772">
        <v>0</v>
      </c>
      <c r="K772">
        <v>59</v>
      </c>
      <c r="L772">
        <v>40327.68</v>
      </c>
      <c r="M772">
        <v>0</v>
      </c>
      <c r="N772">
        <v>40327.68</v>
      </c>
      <c r="O772">
        <v>14702.8</v>
      </c>
      <c r="P772">
        <v>25624.880000000001</v>
      </c>
      <c r="Q772">
        <v>0.63539999999999996</v>
      </c>
      <c r="R772">
        <v>5</v>
      </c>
      <c r="S772">
        <v>4727.68</v>
      </c>
      <c r="T772">
        <v>0</v>
      </c>
      <c r="U772">
        <v>1061.25</v>
      </c>
    </row>
    <row r="773" spans="1:21" x14ac:dyDescent="0.35">
      <c r="A773">
        <v>2024</v>
      </c>
      <c r="B773">
        <v>11</v>
      </c>
      <c r="C773">
        <v>4</v>
      </c>
      <c r="D773" s="1">
        <v>45597</v>
      </c>
      <c r="E773" s="4" t="s">
        <v>33</v>
      </c>
      <c r="F773" s="4" t="s">
        <v>28</v>
      </c>
      <c r="G773" s="4" t="s">
        <v>109</v>
      </c>
      <c r="H773">
        <v>606</v>
      </c>
      <c r="I773">
        <v>910</v>
      </c>
      <c r="J773">
        <v>0</v>
      </c>
      <c r="K773">
        <v>910</v>
      </c>
      <c r="L773">
        <v>478454.99</v>
      </c>
      <c r="M773">
        <v>0</v>
      </c>
      <c r="N773">
        <v>478454.99</v>
      </c>
      <c r="O773">
        <v>172399.15</v>
      </c>
      <c r="P773">
        <v>306055.84000000003</v>
      </c>
      <c r="Q773">
        <v>0.63970000000000005</v>
      </c>
      <c r="R773">
        <v>69</v>
      </c>
      <c r="S773">
        <v>69493.990000000005</v>
      </c>
      <c r="T773">
        <v>0</v>
      </c>
      <c r="U773">
        <v>789.53</v>
      </c>
    </row>
    <row r="774" spans="1:21" x14ac:dyDescent="0.35">
      <c r="A774">
        <v>2024</v>
      </c>
      <c r="B774">
        <v>11</v>
      </c>
      <c r="C774">
        <v>4</v>
      </c>
      <c r="D774" s="1">
        <v>45597</v>
      </c>
      <c r="E774" s="4" t="s">
        <v>33</v>
      </c>
      <c r="F774" s="4" t="s">
        <v>35</v>
      </c>
      <c r="G774" s="4" t="s">
        <v>108</v>
      </c>
      <c r="H774">
        <v>1</v>
      </c>
      <c r="I774">
        <v>1</v>
      </c>
      <c r="J774">
        <v>0</v>
      </c>
      <c r="K774">
        <v>1</v>
      </c>
      <c r="L774">
        <v>155</v>
      </c>
      <c r="M774">
        <v>0</v>
      </c>
      <c r="N774">
        <v>155</v>
      </c>
      <c r="O774">
        <v>31</v>
      </c>
      <c r="P774">
        <v>124</v>
      </c>
      <c r="Q774">
        <v>0.8</v>
      </c>
      <c r="R774">
        <v>0</v>
      </c>
      <c r="S774">
        <v>0</v>
      </c>
      <c r="T774">
        <v>0</v>
      </c>
      <c r="U774">
        <v>155</v>
      </c>
    </row>
    <row r="775" spans="1:21" x14ac:dyDescent="0.35">
      <c r="A775">
        <v>2024</v>
      </c>
      <c r="B775">
        <v>11</v>
      </c>
      <c r="C775">
        <v>4</v>
      </c>
      <c r="D775" s="1">
        <v>45597</v>
      </c>
      <c r="E775" s="4" t="s">
        <v>33</v>
      </c>
      <c r="F775" s="4" t="s">
        <v>24</v>
      </c>
      <c r="G775" s="4" t="s">
        <v>107</v>
      </c>
      <c r="H775">
        <v>16</v>
      </c>
      <c r="I775">
        <v>22</v>
      </c>
      <c r="J775">
        <v>0</v>
      </c>
      <c r="K775">
        <v>22</v>
      </c>
      <c r="L775">
        <v>32582</v>
      </c>
      <c r="M775">
        <v>0</v>
      </c>
      <c r="N775">
        <v>32582</v>
      </c>
      <c r="O775">
        <v>17920.099999999999</v>
      </c>
      <c r="P775">
        <v>14661.9</v>
      </c>
      <c r="Q775">
        <v>0.45</v>
      </c>
      <c r="R775">
        <v>0</v>
      </c>
      <c r="S775">
        <v>0</v>
      </c>
      <c r="T775">
        <v>0</v>
      </c>
      <c r="U775">
        <v>2036.38</v>
      </c>
    </row>
    <row r="776" spans="1:21" x14ac:dyDescent="0.35">
      <c r="A776">
        <v>2024</v>
      </c>
      <c r="B776">
        <v>11</v>
      </c>
      <c r="C776">
        <v>4</v>
      </c>
      <c r="D776" s="1">
        <v>45597</v>
      </c>
      <c r="E776" s="4" t="s">
        <v>33</v>
      </c>
      <c r="F776" s="4" t="s">
        <v>24</v>
      </c>
      <c r="G776" s="4" t="s">
        <v>109</v>
      </c>
      <c r="H776">
        <v>149</v>
      </c>
      <c r="I776">
        <v>212</v>
      </c>
      <c r="J776">
        <v>7</v>
      </c>
      <c r="K776">
        <v>205</v>
      </c>
      <c r="L776">
        <v>335716.8</v>
      </c>
      <c r="M776">
        <v>8634</v>
      </c>
      <c r="N776">
        <v>327082.8</v>
      </c>
      <c r="O776">
        <v>184564.05</v>
      </c>
      <c r="P776">
        <v>142518.75</v>
      </c>
      <c r="Q776">
        <v>0.43569999999999998</v>
      </c>
      <c r="R776">
        <v>9</v>
      </c>
      <c r="S776">
        <v>33151.800000000003</v>
      </c>
      <c r="T776">
        <v>0</v>
      </c>
      <c r="U776">
        <v>2195.19</v>
      </c>
    </row>
    <row r="777" spans="1:21" x14ac:dyDescent="0.35">
      <c r="A777">
        <v>2024</v>
      </c>
      <c r="B777">
        <v>11</v>
      </c>
      <c r="C777">
        <v>4</v>
      </c>
      <c r="D777" s="1">
        <v>45597</v>
      </c>
      <c r="E777" s="4" t="s">
        <v>33</v>
      </c>
      <c r="F777" s="4" t="s">
        <v>26</v>
      </c>
      <c r="G777" s="4" t="s">
        <v>107</v>
      </c>
      <c r="H777">
        <v>3</v>
      </c>
      <c r="I777">
        <v>4</v>
      </c>
      <c r="J777">
        <v>0</v>
      </c>
      <c r="K777">
        <v>4</v>
      </c>
      <c r="L777">
        <v>2352</v>
      </c>
      <c r="M777">
        <v>0</v>
      </c>
      <c r="N777">
        <v>2352</v>
      </c>
      <c r="O777">
        <v>1411.2</v>
      </c>
      <c r="P777">
        <v>940.8</v>
      </c>
      <c r="Q777">
        <v>0.4</v>
      </c>
      <c r="R777">
        <v>0</v>
      </c>
      <c r="S777">
        <v>0</v>
      </c>
      <c r="T777">
        <v>0</v>
      </c>
      <c r="U777">
        <v>784</v>
      </c>
    </row>
    <row r="778" spans="1:21" x14ac:dyDescent="0.35">
      <c r="A778">
        <v>2024</v>
      </c>
      <c r="B778">
        <v>11</v>
      </c>
      <c r="C778">
        <v>4</v>
      </c>
      <c r="D778" s="1">
        <v>45597</v>
      </c>
      <c r="E778" s="4" t="s">
        <v>33</v>
      </c>
      <c r="F778" s="4" t="s">
        <v>26</v>
      </c>
      <c r="G778" s="4" t="s">
        <v>108</v>
      </c>
      <c r="H778">
        <v>5</v>
      </c>
      <c r="I778">
        <v>7</v>
      </c>
      <c r="J778">
        <v>0</v>
      </c>
      <c r="K778">
        <v>7</v>
      </c>
      <c r="L778">
        <v>6037.5</v>
      </c>
      <c r="M778">
        <v>0</v>
      </c>
      <c r="N778">
        <v>6037.5</v>
      </c>
      <c r="O778">
        <v>3675</v>
      </c>
      <c r="P778">
        <v>2362.5</v>
      </c>
      <c r="Q778">
        <v>0.39129999999999998</v>
      </c>
      <c r="R778">
        <v>1</v>
      </c>
      <c r="S778">
        <v>787.5</v>
      </c>
      <c r="T778">
        <v>0</v>
      </c>
      <c r="U778">
        <v>1207.5</v>
      </c>
    </row>
    <row r="779" spans="1:21" x14ac:dyDescent="0.35">
      <c r="A779">
        <v>2024</v>
      </c>
      <c r="B779">
        <v>11</v>
      </c>
      <c r="C779">
        <v>4</v>
      </c>
      <c r="D779" s="1">
        <v>45597</v>
      </c>
      <c r="E779" s="4" t="s">
        <v>33</v>
      </c>
      <c r="F779" s="4" t="s">
        <v>26</v>
      </c>
      <c r="G779" s="4" t="s">
        <v>109</v>
      </c>
      <c r="H779">
        <v>43</v>
      </c>
      <c r="I779">
        <v>75</v>
      </c>
      <c r="J779">
        <v>1</v>
      </c>
      <c r="K779">
        <v>74</v>
      </c>
      <c r="L779">
        <v>58327.44</v>
      </c>
      <c r="M779">
        <v>1031</v>
      </c>
      <c r="N779">
        <v>57296.44</v>
      </c>
      <c r="O779">
        <v>35762.400000000001</v>
      </c>
      <c r="P779">
        <v>21534.04</v>
      </c>
      <c r="Q779">
        <v>0.37580000000000002</v>
      </c>
      <c r="R779">
        <v>6</v>
      </c>
      <c r="S779">
        <v>12744.44</v>
      </c>
      <c r="T779">
        <v>0</v>
      </c>
      <c r="U779">
        <v>1332.48</v>
      </c>
    </row>
    <row r="780" spans="1:21" x14ac:dyDescent="0.35">
      <c r="A780">
        <v>2024</v>
      </c>
      <c r="B780">
        <v>11</v>
      </c>
      <c r="C780">
        <v>4</v>
      </c>
      <c r="D780" s="1">
        <v>45597</v>
      </c>
      <c r="E780" s="4" t="s">
        <v>32</v>
      </c>
      <c r="F780" s="4" t="s">
        <v>28</v>
      </c>
      <c r="G780" s="4" t="s">
        <v>107</v>
      </c>
      <c r="H780">
        <v>36</v>
      </c>
      <c r="I780">
        <v>58</v>
      </c>
      <c r="J780">
        <v>0</v>
      </c>
      <c r="K780">
        <v>58</v>
      </c>
      <c r="L780">
        <v>25210.62</v>
      </c>
      <c r="M780">
        <v>0</v>
      </c>
      <c r="N780">
        <v>25210.62</v>
      </c>
      <c r="O780">
        <v>9216.2000000000007</v>
      </c>
      <c r="P780">
        <v>15994.42</v>
      </c>
      <c r="Q780">
        <v>0.63439999999999996</v>
      </c>
      <c r="R780">
        <v>6</v>
      </c>
      <c r="S780">
        <v>6142.62</v>
      </c>
      <c r="T780">
        <v>0</v>
      </c>
      <c r="U780">
        <v>700.3</v>
      </c>
    </row>
    <row r="781" spans="1:21" x14ac:dyDescent="0.35">
      <c r="A781">
        <v>2024</v>
      </c>
      <c r="B781">
        <v>11</v>
      </c>
      <c r="C781">
        <v>4</v>
      </c>
      <c r="D781" s="1">
        <v>45597</v>
      </c>
      <c r="E781" s="4" t="s">
        <v>32</v>
      </c>
      <c r="F781" s="4" t="s">
        <v>28</v>
      </c>
      <c r="G781" s="4" t="s">
        <v>109</v>
      </c>
      <c r="H781">
        <v>460</v>
      </c>
      <c r="I781">
        <v>710</v>
      </c>
      <c r="J781">
        <v>0</v>
      </c>
      <c r="K781">
        <v>710</v>
      </c>
      <c r="L781">
        <v>245017.88</v>
      </c>
      <c r="M781">
        <v>0</v>
      </c>
      <c r="N781">
        <v>245017.88</v>
      </c>
      <c r="O781">
        <v>88555.6</v>
      </c>
      <c r="P781">
        <v>156462.28</v>
      </c>
      <c r="Q781">
        <v>0.63859999999999995</v>
      </c>
      <c r="R781">
        <v>54</v>
      </c>
      <c r="S781">
        <v>35499.760000000002</v>
      </c>
      <c r="T781">
        <v>0</v>
      </c>
      <c r="U781">
        <v>532.65</v>
      </c>
    </row>
    <row r="782" spans="1:21" x14ac:dyDescent="0.35">
      <c r="A782">
        <v>2024</v>
      </c>
      <c r="B782">
        <v>11</v>
      </c>
      <c r="C782">
        <v>4</v>
      </c>
      <c r="D782" s="1">
        <v>45597</v>
      </c>
      <c r="E782" s="4" t="s">
        <v>32</v>
      </c>
      <c r="F782" s="4" t="s">
        <v>24</v>
      </c>
      <c r="G782" s="4" t="s">
        <v>107</v>
      </c>
      <c r="H782">
        <v>51</v>
      </c>
      <c r="I782">
        <v>78</v>
      </c>
      <c r="J782">
        <v>0</v>
      </c>
      <c r="K782">
        <v>78</v>
      </c>
      <c r="L782">
        <v>109774.62</v>
      </c>
      <c r="M782">
        <v>0</v>
      </c>
      <c r="N782">
        <v>109774.62</v>
      </c>
      <c r="O782">
        <v>63089.4</v>
      </c>
      <c r="P782">
        <v>46685.22</v>
      </c>
      <c r="Q782">
        <v>0.42530000000000001</v>
      </c>
      <c r="R782">
        <v>7</v>
      </c>
      <c r="S782">
        <v>19216.62</v>
      </c>
      <c r="T782">
        <v>0</v>
      </c>
      <c r="U782">
        <v>2152.44</v>
      </c>
    </row>
    <row r="783" spans="1:21" x14ac:dyDescent="0.35">
      <c r="A783">
        <v>2024</v>
      </c>
      <c r="B783">
        <v>11</v>
      </c>
      <c r="C783">
        <v>4</v>
      </c>
      <c r="D783" s="1">
        <v>45597</v>
      </c>
      <c r="E783" s="4" t="s">
        <v>32</v>
      </c>
      <c r="F783" s="4" t="s">
        <v>24</v>
      </c>
      <c r="G783" s="4" t="s">
        <v>109</v>
      </c>
      <c r="H783">
        <v>162</v>
      </c>
      <c r="I783">
        <v>238</v>
      </c>
      <c r="J783">
        <v>4</v>
      </c>
      <c r="K783">
        <v>234</v>
      </c>
      <c r="L783">
        <v>325594.05</v>
      </c>
      <c r="M783">
        <v>4577</v>
      </c>
      <c r="N783">
        <v>321017.05</v>
      </c>
      <c r="O783">
        <v>183187.95</v>
      </c>
      <c r="P783">
        <v>137829.1</v>
      </c>
      <c r="Q783">
        <v>0.4294</v>
      </c>
      <c r="R783">
        <v>14</v>
      </c>
      <c r="S783">
        <v>43985.05</v>
      </c>
      <c r="T783">
        <v>0</v>
      </c>
      <c r="U783">
        <v>1981.59</v>
      </c>
    </row>
    <row r="784" spans="1:21" x14ac:dyDescent="0.35">
      <c r="A784">
        <v>2024</v>
      </c>
      <c r="B784">
        <v>11</v>
      </c>
      <c r="C784">
        <v>4</v>
      </c>
      <c r="D784" s="1">
        <v>45597</v>
      </c>
      <c r="E784" s="4" t="s">
        <v>32</v>
      </c>
      <c r="F784" s="4" t="s">
        <v>26</v>
      </c>
      <c r="G784" s="4" t="s">
        <v>107</v>
      </c>
      <c r="H784">
        <v>2</v>
      </c>
      <c r="I784">
        <v>3</v>
      </c>
      <c r="J784">
        <v>0</v>
      </c>
      <c r="K784">
        <v>3</v>
      </c>
      <c r="L784">
        <v>1704</v>
      </c>
      <c r="M784">
        <v>0</v>
      </c>
      <c r="N784">
        <v>1704</v>
      </c>
      <c r="O784">
        <v>1022.4</v>
      </c>
      <c r="P784">
        <v>681.6</v>
      </c>
      <c r="Q784">
        <v>0.4</v>
      </c>
      <c r="R784">
        <v>0</v>
      </c>
      <c r="S784">
        <v>0</v>
      </c>
      <c r="T784">
        <v>0</v>
      </c>
      <c r="U784">
        <v>852</v>
      </c>
    </row>
    <row r="785" spans="1:21" x14ac:dyDescent="0.35">
      <c r="A785">
        <v>2024</v>
      </c>
      <c r="B785">
        <v>11</v>
      </c>
      <c r="C785">
        <v>4</v>
      </c>
      <c r="D785" s="1">
        <v>45597</v>
      </c>
      <c r="E785" s="4" t="s">
        <v>32</v>
      </c>
      <c r="F785" s="4" t="s">
        <v>26</v>
      </c>
      <c r="G785" s="4" t="s">
        <v>108</v>
      </c>
      <c r="H785">
        <v>1</v>
      </c>
      <c r="I785">
        <v>1</v>
      </c>
      <c r="J785">
        <v>0</v>
      </c>
      <c r="K785">
        <v>1</v>
      </c>
      <c r="L785">
        <v>315</v>
      </c>
      <c r="M785">
        <v>0</v>
      </c>
      <c r="N785">
        <v>315</v>
      </c>
      <c r="O785">
        <v>189</v>
      </c>
      <c r="P785">
        <v>126</v>
      </c>
      <c r="Q785">
        <v>0.4</v>
      </c>
      <c r="R785">
        <v>0</v>
      </c>
      <c r="S785">
        <v>0</v>
      </c>
      <c r="T785">
        <v>0</v>
      </c>
      <c r="U785">
        <v>315</v>
      </c>
    </row>
    <row r="786" spans="1:21" x14ac:dyDescent="0.35">
      <c r="A786">
        <v>2024</v>
      </c>
      <c r="B786">
        <v>11</v>
      </c>
      <c r="C786">
        <v>4</v>
      </c>
      <c r="D786" s="1">
        <v>45597</v>
      </c>
      <c r="E786" s="4" t="s">
        <v>32</v>
      </c>
      <c r="F786" s="4" t="s">
        <v>26</v>
      </c>
      <c r="G786" s="4" t="s">
        <v>109</v>
      </c>
      <c r="H786">
        <v>40</v>
      </c>
      <c r="I786">
        <v>57</v>
      </c>
      <c r="J786">
        <v>0</v>
      </c>
      <c r="K786">
        <v>57</v>
      </c>
      <c r="L786">
        <v>39654.01</v>
      </c>
      <c r="M786">
        <v>0</v>
      </c>
      <c r="N786">
        <v>39654.01</v>
      </c>
      <c r="O786">
        <v>24879.599999999999</v>
      </c>
      <c r="P786">
        <v>14774.41</v>
      </c>
      <c r="Q786">
        <v>0.37259999999999999</v>
      </c>
      <c r="R786">
        <v>5</v>
      </c>
      <c r="S786">
        <v>4923.01</v>
      </c>
      <c r="T786">
        <v>0</v>
      </c>
      <c r="U786">
        <v>991.35</v>
      </c>
    </row>
    <row r="787" spans="1:21" x14ac:dyDescent="0.35">
      <c r="A787">
        <v>2024</v>
      </c>
      <c r="B787">
        <v>11</v>
      </c>
      <c r="C787">
        <v>4</v>
      </c>
      <c r="D787" s="1">
        <v>45597</v>
      </c>
      <c r="E787" s="4" t="s">
        <v>27</v>
      </c>
      <c r="F787" s="4" t="s">
        <v>28</v>
      </c>
      <c r="G787" s="4" t="s">
        <v>107</v>
      </c>
      <c r="H787">
        <v>264</v>
      </c>
      <c r="I787">
        <v>391</v>
      </c>
      <c r="J787">
        <v>0</v>
      </c>
      <c r="K787">
        <v>391</v>
      </c>
      <c r="L787">
        <v>173462.25</v>
      </c>
      <c r="M787">
        <v>0</v>
      </c>
      <c r="N787">
        <v>173462.25</v>
      </c>
      <c r="O787">
        <v>63083.3</v>
      </c>
      <c r="P787">
        <v>110378.95</v>
      </c>
      <c r="Q787">
        <v>0.63629999999999998</v>
      </c>
      <c r="R787">
        <v>27</v>
      </c>
      <c r="S787">
        <v>22478.07</v>
      </c>
      <c r="T787">
        <v>0</v>
      </c>
      <c r="U787">
        <v>657.05</v>
      </c>
    </row>
    <row r="788" spans="1:21" x14ac:dyDescent="0.35">
      <c r="A788">
        <v>2024</v>
      </c>
      <c r="B788">
        <v>11</v>
      </c>
      <c r="C788">
        <v>4</v>
      </c>
      <c r="D788" s="1">
        <v>45597</v>
      </c>
      <c r="E788" s="4" t="s">
        <v>27</v>
      </c>
      <c r="F788" s="4" t="s">
        <v>28</v>
      </c>
      <c r="G788" s="4" t="s">
        <v>109</v>
      </c>
      <c r="H788">
        <v>688</v>
      </c>
      <c r="I788">
        <v>1055</v>
      </c>
      <c r="J788">
        <v>0</v>
      </c>
      <c r="K788">
        <v>1055</v>
      </c>
      <c r="L788">
        <v>562593.11</v>
      </c>
      <c r="M788">
        <v>0</v>
      </c>
      <c r="N788">
        <v>562593.11</v>
      </c>
      <c r="O788">
        <v>204759.8</v>
      </c>
      <c r="P788">
        <v>357833.31</v>
      </c>
      <c r="Q788">
        <v>0.63600000000000001</v>
      </c>
      <c r="R788">
        <v>95</v>
      </c>
      <c r="S788">
        <v>89228.13</v>
      </c>
      <c r="T788">
        <v>0</v>
      </c>
      <c r="U788">
        <v>817.72</v>
      </c>
    </row>
    <row r="789" spans="1:21" x14ac:dyDescent="0.35">
      <c r="A789">
        <v>2024</v>
      </c>
      <c r="B789">
        <v>11</v>
      </c>
      <c r="C789">
        <v>4</v>
      </c>
      <c r="D789" s="1">
        <v>45597</v>
      </c>
      <c r="E789" s="4" t="s">
        <v>27</v>
      </c>
      <c r="F789" s="4" t="s">
        <v>24</v>
      </c>
      <c r="G789" s="4" t="s">
        <v>107</v>
      </c>
      <c r="H789">
        <v>49</v>
      </c>
      <c r="I789">
        <v>70</v>
      </c>
      <c r="J789">
        <v>2</v>
      </c>
      <c r="K789">
        <v>68</v>
      </c>
      <c r="L789">
        <v>122095.5</v>
      </c>
      <c r="M789">
        <v>4766</v>
      </c>
      <c r="N789">
        <v>117329.5</v>
      </c>
      <c r="O789">
        <v>65809.7</v>
      </c>
      <c r="P789">
        <v>51519.8</v>
      </c>
      <c r="Q789">
        <v>0.43909999999999999</v>
      </c>
      <c r="R789">
        <v>5</v>
      </c>
      <c r="S789">
        <v>11607.5</v>
      </c>
      <c r="T789">
        <v>0</v>
      </c>
      <c r="U789">
        <v>2394.48</v>
      </c>
    </row>
    <row r="790" spans="1:21" x14ac:dyDescent="0.35">
      <c r="A790">
        <v>2024</v>
      </c>
      <c r="B790">
        <v>11</v>
      </c>
      <c r="C790">
        <v>4</v>
      </c>
      <c r="D790" s="1">
        <v>45597</v>
      </c>
      <c r="E790" s="4" t="s">
        <v>27</v>
      </c>
      <c r="F790" s="4" t="s">
        <v>24</v>
      </c>
      <c r="G790" s="4" t="s">
        <v>109</v>
      </c>
      <c r="H790">
        <v>226</v>
      </c>
      <c r="I790">
        <v>347</v>
      </c>
      <c r="J790">
        <v>10</v>
      </c>
      <c r="K790">
        <v>337</v>
      </c>
      <c r="L790">
        <v>554110.4</v>
      </c>
      <c r="M790">
        <v>13846</v>
      </c>
      <c r="N790">
        <v>540264.4</v>
      </c>
      <c r="O790">
        <v>306759.2</v>
      </c>
      <c r="P790">
        <v>233505.2</v>
      </c>
      <c r="Q790">
        <v>0.43219999999999997</v>
      </c>
      <c r="R790">
        <v>22</v>
      </c>
      <c r="S790">
        <v>61638.400000000001</v>
      </c>
      <c r="T790">
        <v>0</v>
      </c>
      <c r="U790">
        <v>2390.5500000000002</v>
      </c>
    </row>
    <row r="791" spans="1:21" x14ac:dyDescent="0.35">
      <c r="A791">
        <v>2024</v>
      </c>
      <c r="B791">
        <v>11</v>
      </c>
      <c r="C791">
        <v>4</v>
      </c>
      <c r="D791" s="1">
        <v>45597</v>
      </c>
      <c r="E791" s="4" t="s">
        <v>27</v>
      </c>
      <c r="F791" s="4" t="s">
        <v>26</v>
      </c>
      <c r="G791" s="4" t="s">
        <v>107</v>
      </c>
      <c r="H791">
        <v>6</v>
      </c>
      <c r="I791">
        <v>7</v>
      </c>
      <c r="J791">
        <v>0</v>
      </c>
      <c r="K791">
        <v>7</v>
      </c>
      <c r="L791">
        <v>6300.16</v>
      </c>
      <c r="M791">
        <v>0</v>
      </c>
      <c r="N791">
        <v>6300.16</v>
      </c>
      <c r="O791">
        <v>3854.4</v>
      </c>
      <c r="P791">
        <v>2445.7600000000002</v>
      </c>
      <c r="Q791">
        <v>0.38819999999999999</v>
      </c>
      <c r="R791">
        <v>1</v>
      </c>
      <c r="S791">
        <v>650.16</v>
      </c>
      <c r="T791">
        <v>0</v>
      </c>
      <c r="U791">
        <v>1050.03</v>
      </c>
    </row>
    <row r="792" spans="1:21" x14ac:dyDescent="0.35">
      <c r="A792">
        <v>2024</v>
      </c>
      <c r="B792">
        <v>11</v>
      </c>
      <c r="C792">
        <v>4</v>
      </c>
      <c r="D792" s="1">
        <v>45597</v>
      </c>
      <c r="E792" s="4" t="s">
        <v>27</v>
      </c>
      <c r="F792" s="4" t="s">
        <v>26</v>
      </c>
      <c r="G792" s="4" t="s">
        <v>109</v>
      </c>
      <c r="H792">
        <v>40</v>
      </c>
      <c r="I792">
        <v>69</v>
      </c>
      <c r="J792">
        <v>6</v>
      </c>
      <c r="K792">
        <v>63</v>
      </c>
      <c r="L792">
        <v>45013.35</v>
      </c>
      <c r="M792">
        <v>3962</v>
      </c>
      <c r="N792">
        <v>41051.35</v>
      </c>
      <c r="O792">
        <v>25654.2</v>
      </c>
      <c r="P792">
        <v>15397.15</v>
      </c>
      <c r="Q792">
        <v>0.37509999999999999</v>
      </c>
      <c r="R792">
        <v>5</v>
      </c>
      <c r="S792">
        <v>8715.35</v>
      </c>
      <c r="T792">
        <v>0</v>
      </c>
      <c r="U792">
        <v>1026.28</v>
      </c>
    </row>
    <row r="793" spans="1:21" x14ac:dyDescent="0.35">
      <c r="A793">
        <v>2024</v>
      </c>
      <c r="B793">
        <v>11</v>
      </c>
      <c r="C793">
        <v>4</v>
      </c>
      <c r="D793" s="1">
        <v>45597</v>
      </c>
      <c r="E793" s="4" t="s">
        <v>34</v>
      </c>
      <c r="F793" s="4" t="s">
        <v>28</v>
      </c>
      <c r="G793" s="4" t="s">
        <v>107</v>
      </c>
      <c r="H793">
        <v>147</v>
      </c>
      <c r="I793">
        <v>226</v>
      </c>
      <c r="J793">
        <v>0</v>
      </c>
      <c r="K793">
        <v>226</v>
      </c>
      <c r="L793">
        <v>147203.34</v>
      </c>
      <c r="M793">
        <v>0</v>
      </c>
      <c r="N793">
        <v>147203.34</v>
      </c>
      <c r="O793">
        <v>53963.7</v>
      </c>
      <c r="P793">
        <v>93239.64</v>
      </c>
      <c r="Q793">
        <v>0.63339999999999996</v>
      </c>
      <c r="R793">
        <v>24</v>
      </c>
      <c r="S793">
        <v>24300.34</v>
      </c>
      <c r="T793">
        <v>0</v>
      </c>
      <c r="U793">
        <v>1001.38</v>
      </c>
    </row>
    <row r="794" spans="1:21" x14ac:dyDescent="0.35">
      <c r="A794">
        <v>2024</v>
      </c>
      <c r="B794">
        <v>11</v>
      </c>
      <c r="C794">
        <v>4</v>
      </c>
      <c r="D794" s="1">
        <v>45597</v>
      </c>
      <c r="E794" s="4" t="s">
        <v>34</v>
      </c>
      <c r="F794" s="4" t="s">
        <v>28</v>
      </c>
      <c r="G794" s="4" t="s">
        <v>108</v>
      </c>
      <c r="H794">
        <v>52</v>
      </c>
      <c r="I794">
        <v>81</v>
      </c>
      <c r="J794">
        <v>0</v>
      </c>
      <c r="K794">
        <v>81</v>
      </c>
      <c r="L794">
        <v>33492.120000000003</v>
      </c>
      <c r="M794">
        <v>0</v>
      </c>
      <c r="N794">
        <v>33492.120000000003</v>
      </c>
      <c r="O794">
        <v>12077.1</v>
      </c>
      <c r="P794">
        <v>21415.02</v>
      </c>
      <c r="Q794">
        <v>0.63939999999999997</v>
      </c>
      <c r="R794">
        <v>7</v>
      </c>
      <c r="S794">
        <v>3672.12</v>
      </c>
      <c r="T794">
        <v>0</v>
      </c>
      <c r="U794">
        <v>644.08000000000004</v>
      </c>
    </row>
    <row r="795" spans="1:21" x14ac:dyDescent="0.35">
      <c r="A795">
        <v>2024</v>
      </c>
      <c r="B795">
        <v>11</v>
      </c>
      <c r="C795">
        <v>4</v>
      </c>
      <c r="D795" s="1">
        <v>45597</v>
      </c>
      <c r="E795" s="4" t="s">
        <v>34</v>
      </c>
      <c r="F795" s="4" t="s">
        <v>28</v>
      </c>
      <c r="G795" s="4" t="s">
        <v>109</v>
      </c>
      <c r="H795">
        <v>603</v>
      </c>
      <c r="I795">
        <v>904</v>
      </c>
      <c r="J795">
        <v>0</v>
      </c>
      <c r="K795">
        <v>904</v>
      </c>
      <c r="L795">
        <v>442245.46</v>
      </c>
      <c r="M795">
        <v>0</v>
      </c>
      <c r="N795">
        <v>442245.46</v>
      </c>
      <c r="O795">
        <v>159913.25</v>
      </c>
      <c r="P795">
        <v>282332.21000000002</v>
      </c>
      <c r="Q795">
        <v>0.63839999999999997</v>
      </c>
      <c r="R795">
        <v>68</v>
      </c>
      <c r="S795">
        <v>59925.46</v>
      </c>
      <c r="T795">
        <v>0</v>
      </c>
      <c r="U795">
        <v>733.41</v>
      </c>
    </row>
    <row r="796" spans="1:21" x14ac:dyDescent="0.35">
      <c r="A796">
        <v>2024</v>
      </c>
      <c r="B796">
        <v>11</v>
      </c>
      <c r="C796">
        <v>4</v>
      </c>
      <c r="D796" s="1">
        <v>45597</v>
      </c>
      <c r="E796" s="4" t="s">
        <v>34</v>
      </c>
      <c r="F796" s="4" t="s">
        <v>35</v>
      </c>
      <c r="G796" s="4" t="s">
        <v>109</v>
      </c>
      <c r="H796">
        <v>2</v>
      </c>
      <c r="I796">
        <v>3</v>
      </c>
      <c r="J796">
        <v>0</v>
      </c>
      <c r="K796">
        <v>3</v>
      </c>
      <c r="L796">
        <v>981</v>
      </c>
      <c r="M796">
        <v>0</v>
      </c>
      <c r="N796">
        <v>981</v>
      </c>
      <c r="O796">
        <v>196.2</v>
      </c>
      <c r="P796">
        <v>784.8</v>
      </c>
      <c r="Q796">
        <v>0.8</v>
      </c>
      <c r="R796">
        <v>0</v>
      </c>
      <c r="S796">
        <v>0</v>
      </c>
      <c r="T796">
        <v>0</v>
      </c>
      <c r="U796">
        <v>490.5</v>
      </c>
    </row>
    <row r="797" spans="1:21" x14ac:dyDescent="0.35">
      <c r="A797">
        <v>2024</v>
      </c>
      <c r="B797">
        <v>11</v>
      </c>
      <c r="C797">
        <v>4</v>
      </c>
      <c r="D797" s="1">
        <v>45597</v>
      </c>
      <c r="E797" s="4" t="s">
        <v>34</v>
      </c>
      <c r="F797" s="4" t="s">
        <v>24</v>
      </c>
      <c r="G797" s="4" t="s">
        <v>107</v>
      </c>
      <c r="H797">
        <v>76</v>
      </c>
      <c r="I797">
        <v>110</v>
      </c>
      <c r="J797">
        <v>3</v>
      </c>
      <c r="K797">
        <v>107</v>
      </c>
      <c r="L797">
        <v>196379.63</v>
      </c>
      <c r="M797">
        <v>7272</v>
      </c>
      <c r="N797">
        <v>189107.63</v>
      </c>
      <c r="O797">
        <v>109338.35</v>
      </c>
      <c r="P797">
        <v>79769.279999999999</v>
      </c>
      <c r="Q797">
        <v>0.42180000000000001</v>
      </c>
      <c r="R797">
        <v>13</v>
      </c>
      <c r="S797">
        <v>43388.63</v>
      </c>
      <c r="T797">
        <v>0</v>
      </c>
      <c r="U797">
        <v>2488.2600000000002</v>
      </c>
    </row>
    <row r="798" spans="1:21" x14ac:dyDescent="0.35">
      <c r="A798">
        <v>2024</v>
      </c>
      <c r="B798">
        <v>11</v>
      </c>
      <c r="C798">
        <v>4</v>
      </c>
      <c r="D798" s="1">
        <v>45597</v>
      </c>
      <c r="E798" s="4" t="s">
        <v>34</v>
      </c>
      <c r="F798" s="4" t="s">
        <v>24</v>
      </c>
      <c r="G798" s="4" t="s">
        <v>108</v>
      </c>
      <c r="H798">
        <v>14</v>
      </c>
      <c r="I798">
        <v>23</v>
      </c>
      <c r="J798">
        <v>2</v>
      </c>
      <c r="K798">
        <v>21</v>
      </c>
      <c r="L798">
        <v>30600.01</v>
      </c>
      <c r="M798">
        <v>2758</v>
      </c>
      <c r="N798">
        <v>27842.01</v>
      </c>
      <c r="O798">
        <v>15927.45</v>
      </c>
      <c r="P798">
        <v>11914.56</v>
      </c>
      <c r="Q798">
        <v>0.4279</v>
      </c>
      <c r="R798">
        <v>2</v>
      </c>
      <c r="S798">
        <v>5778.01</v>
      </c>
      <c r="T798">
        <v>0</v>
      </c>
      <c r="U798">
        <v>1988.72</v>
      </c>
    </row>
    <row r="799" spans="1:21" x14ac:dyDescent="0.35">
      <c r="A799">
        <v>2024</v>
      </c>
      <c r="B799">
        <v>11</v>
      </c>
      <c r="C799">
        <v>4</v>
      </c>
      <c r="D799" s="1">
        <v>45597</v>
      </c>
      <c r="E799" s="4" t="s">
        <v>34</v>
      </c>
      <c r="F799" s="4" t="s">
        <v>24</v>
      </c>
      <c r="G799" s="4" t="s">
        <v>109</v>
      </c>
      <c r="H799">
        <v>165</v>
      </c>
      <c r="I799">
        <v>251</v>
      </c>
      <c r="J799">
        <v>10</v>
      </c>
      <c r="K799">
        <v>241</v>
      </c>
      <c r="L799">
        <v>424281.37</v>
      </c>
      <c r="M799">
        <v>16258</v>
      </c>
      <c r="N799">
        <v>408023.37</v>
      </c>
      <c r="O799">
        <v>235050.2</v>
      </c>
      <c r="P799">
        <v>172973.17</v>
      </c>
      <c r="Q799">
        <v>0.4239</v>
      </c>
      <c r="R799">
        <v>20</v>
      </c>
      <c r="S799">
        <v>80267.210000000006</v>
      </c>
      <c r="T799">
        <v>0</v>
      </c>
      <c r="U799">
        <v>2472.87</v>
      </c>
    </row>
    <row r="800" spans="1:21" x14ac:dyDescent="0.35">
      <c r="A800">
        <v>2024</v>
      </c>
      <c r="B800">
        <v>11</v>
      </c>
      <c r="C800">
        <v>4</v>
      </c>
      <c r="D800" s="1">
        <v>45597</v>
      </c>
      <c r="E800" s="4" t="s">
        <v>34</v>
      </c>
      <c r="F800" s="4" t="s">
        <v>26</v>
      </c>
      <c r="G800" s="4" t="s">
        <v>107</v>
      </c>
      <c r="H800">
        <v>4</v>
      </c>
      <c r="I800">
        <v>7</v>
      </c>
      <c r="J800">
        <v>0</v>
      </c>
      <c r="K800">
        <v>7</v>
      </c>
      <c r="L800">
        <v>4256</v>
      </c>
      <c r="M800">
        <v>0</v>
      </c>
      <c r="N800">
        <v>4256</v>
      </c>
      <c r="O800">
        <v>2553.6</v>
      </c>
      <c r="P800">
        <v>1702.4</v>
      </c>
      <c r="Q800">
        <v>0.4</v>
      </c>
      <c r="R800">
        <v>0</v>
      </c>
      <c r="S800">
        <v>0</v>
      </c>
      <c r="T800">
        <v>0</v>
      </c>
      <c r="U800">
        <v>1064</v>
      </c>
    </row>
    <row r="801" spans="1:21" x14ac:dyDescent="0.35">
      <c r="A801">
        <v>2024</v>
      </c>
      <c r="B801">
        <v>11</v>
      </c>
      <c r="C801">
        <v>4</v>
      </c>
      <c r="D801" s="1">
        <v>45597</v>
      </c>
      <c r="E801" s="4" t="s">
        <v>34</v>
      </c>
      <c r="F801" s="4" t="s">
        <v>26</v>
      </c>
      <c r="G801" s="4" t="s">
        <v>108</v>
      </c>
      <c r="H801">
        <v>3</v>
      </c>
      <c r="I801">
        <v>4</v>
      </c>
      <c r="J801">
        <v>0</v>
      </c>
      <c r="K801">
        <v>4</v>
      </c>
      <c r="L801">
        <v>2331.84</v>
      </c>
      <c r="M801">
        <v>0</v>
      </c>
      <c r="N801">
        <v>2331.84</v>
      </c>
      <c r="O801">
        <v>1530</v>
      </c>
      <c r="P801">
        <v>801.84</v>
      </c>
      <c r="Q801">
        <v>0.34389999999999998</v>
      </c>
      <c r="R801">
        <v>1</v>
      </c>
      <c r="S801">
        <v>1599.84</v>
      </c>
      <c r="T801">
        <v>0</v>
      </c>
      <c r="U801">
        <v>777.28</v>
      </c>
    </row>
    <row r="802" spans="1:21" x14ac:dyDescent="0.35">
      <c r="A802">
        <v>2024</v>
      </c>
      <c r="B802">
        <v>11</v>
      </c>
      <c r="C802">
        <v>4</v>
      </c>
      <c r="D802" s="1">
        <v>45597</v>
      </c>
      <c r="E802" s="4" t="s">
        <v>34</v>
      </c>
      <c r="F802" s="4" t="s">
        <v>26</v>
      </c>
      <c r="G802" s="4" t="s">
        <v>109</v>
      </c>
      <c r="H802">
        <v>46</v>
      </c>
      <c r="I802">
        <v>63</v>
      </c>
      <c r="J802">
        <v>0</v>
      </c>
      <c r="K802">
        <v>63</v>
      </c>
      <c r="L802">
        <v>43518.49</v>
      </c>
      <c r="M802">
        <v>0</v>
      </c>
      <c r="N802">
        <v>43518.49</v>
      </c>
      <c r="O802">
        <v>26830.2</v>
      </c>
      <c r="P802">
        <v>16688.29</v>
      </c>
      <c r="Q802">
        <v>0.38350000000000001</v>
      </c>
      <c r="R802">
        <v>6</v>
      </c>
      <c r="S802">
        <v>3395.49</v>
      </c>
      <c r="T802">
        <v>0</v>
      </c>
      <c r="U802">
        <v>946.05</v>
      </c>
    </row>
    <row r="803" spans="1:21" x14ac:dyDescent="0.35">
      <c r="A803">
        <v>2024</v>
      </c>
      <c r="B803">
        <v>11</v>
      </c>
      <c r="C803">
        <v>4</v>
      </c>
      <c r="D803" s="1">
        <v>45597</v>
      </c>
      <c r="E803" s="4" t="s">
        <v>36</v>
      </c>
      <c r="F803" s="4" t="s">
        <v>28</v>
      </c>
      <c r="G803" s="4" t="s">
        <v>107</v>
      </c>
      <c r="H803">
        <v>62</v>
      </c>
      <c r="I803">
        <v>84</v>
      </c>
      <c r="J803">
        <v>0</v>
      </c>
      <c r="K803">
        <v>84</v>
      </c>
      <c r="L803">
        <v>53188.4</v>
      </c>
      <c r="M803">
        <v>0</v>
      </c>
      <c r="N803">
        <v>53188.4</v>
      </c>
      <c r="O803">
        <v>19301.099999999999</v>
      </c>
      <c r="P803">
        <v>33887.300000000003</v>
      </c>
      <c r="Q803">
        <v>0.6371</v>
      </c>
      <c r="R803">
        <v>7</v>
      </c>
      <c r="S803">
        <v>6656.4</v>
      </c>
      <c r="T803">
        <v>0</v>
      </c>
      <c r="U803">
        <v>857.88</v>
      </c>
    </row>
    <row r="804" spans="1:21" x14ac:dyDescent="0.35">
      <c r="A804">
        <v>2024</v>
      </c>
      <c r="B804">
        <v>11</v>
      </c>
      <c r="C804">
        <v>4</v>
      </c>
      <c r="D804" s="1">
        <v>45597</v>
      </c>
      <c r="E804" s="4" t="s">
        <v>36</v>
      </c>
      <c r="F804" s="4" t="s">
        <v>28</v>
      </c>
      <c r="G804" s="4" t="s">
        <v>108</v>
      </c>
      <c r="H804">
        <v>130</v>
      </c>
      <c r="I804">
        <v>212</v>
      </c>
      <c r="J804">
        <v>0</v>
      </c>
      <c r="K804">
        <v>212</v>
      </c>
      <c r="L804">
        <v>66440.94</v>
      </c>
      <c r="M804">
        <v>0</v>
      </c>
      <c r="N804">
        <v>66440.94</v>
      </c>
      <c r="O804">
        <v>24803.45</v>
      </c>
      <c r="P804">
        <v>41637.49</v>
      </c>
      <c r="Q804">
        <v>0.62670000000000003</v>
      </c>
      <c r="R804">
        <v>23</v>
      </c>
      <c r="S804">
        <v>16020.94</v>
      </c>
      <c r="T804">
        <v>0</v>
      </c>
      <c r="U804">
        <v>511.08</v>
      </c>
    </row>
    <row r="805" spans="1:21" x14ac:dyDescent="0.35">
      <c r="A805">
        <v>2024</v>
      </c>
      <c r="B805">
        <v>11</v>
      </c>
      <c r="C805">
        <v>4</v>
      </c>
      <c r="D805" s="1">
        <v>45597</v>
      </c>
      <c r="E805" s="4" t="s">
        <v>36</v>
      </c>
      <c r="F805" s="4" t="s">
        <v>28</v>
      </c>
      <c r="G805" s="4" t="s">
        <v>109</v>
      </c>
      <c r="H805">
        <v>639</v>
      </c>
      <c r="I805">
        <v>1050</v>
      </c>
      <c r="J805">
        <v>0</v>
      </c>
      <c r="K805">
        <v>1050</v>
      </c>
      <c r="L805">
        <v>500305.65</v>
      </c>
      <c r="M805">
        <v>0</v>
      </c>
      <c r="N805">
        <v>500305.65</v>
      </c>
      <c r="O805">
        <v>182241.85</v>
      </c>
      <c r="P805">
        <v>318063.8</v>
      </c>
      <c r="Q805">
        <v>0.63570000000000004</v>
      </c>
      <c r="R805">
        <v>93</v>
      </c>
      <c r="S805">
        <v>80298.850000000006</v>
      </c>
      <c r="T805">
        <v>0</v>
      </c>
      <c r="U805">
        <v>782.95</v>
      </c>
    </row>
    <row r="806" spans="1:21" x14ac:dyDescent="0.35">
      <c r="A806">
        <v>2024</v>
      </c>
      <c r="B806">
        <v>11</v>
      </c>
      <c r="C806">
        <v>4</v>
      </c>
      <c r="D806" s="1">
        <v>45597</v>
      </c>
      <c r="E806" s="4" t="s">
        <v>36</v>
      </c>
      <c r="F806" s="4" t="s">
        <v>24</v>
      </c>
      <c r="G806" s="4" t="s">
        <v>107</v>
      </c>
      <c r="H806">
        <v>53</v>
      </c>
      <c r="I806">
        <v>80</v>
      </c>
      <c r="J806">
        <v>3</v>
      </c>
      <c r="K806">
        <v>77</v>
      </c>
      <c r="L806">
        <v>100299.06</v>
      </c>
      <c r="M806">
        <v>4573</v>
      </c>
      <c r="N806">
        <v>95726.06</v>
      </c>
      <c r="O806">
        <v>55882.2</v>
      </c>
      <c r="P806">
        <v>39843.86</v>
      </c>
      <c r="Q806">
        <v>0.41620000000000001</v>
      </c>
      <c r="R806">
        <v>8</v>
      </c>
      <c r="S806">
        <v>17687.060000000001</v>
      </c>
      <c r="T806">
        <v>0</v>
      </c>
      <c r="U806">
        <v>1806.15</v>
      </c>
    </row>
    <row r="807" spans="1:21" x14ac:dyDescent="0.35">
      <c r="A807">
        <v>2024</v>
      </c>
      <c r="B807">
        <v>11</v>
      </c>
      <c r="C807">
        <v>4</v>
      </c>
      <c r="D807" s="1">
        <v>45597</v>
      </c>
      <c r="E807" s="4" t="s">
        <v>36</v>
      </c>
      <c r="F807" s="4" t="s">
        <v>24</v>
      </c>
      <c r="G807" s="4" t="s">
        <v>108</v>
      </c>
      <c r="H807">
        <v>13</v>
      </c>
      <c r="I807">
        <v>21</v>
      </c>
      <c r="J807">
        <v>0</v>
      </c>
      <c r="K807">
        <v>21</v>
      </c>
      <c r="L807">
        <v>33809.599999999999</v>
      </c>
      <c r="M807">
        <v>0</v>
      </c>
      <c r="N807">
        <v>33809.599999999999</v>
      </c>
      <c r="O807">
        <v>19263.2</v>
      </c>
      <c r="P807">
        <v>14546.4</v>
      </c>
      <c r="Q807">
        <v>0.43020000000000003</v>
      </c>
      <c r="R807">
        <v>2</v>
      </c>
      <c r="S807">
        <v>7497.6</v>
      </c>
      <c r="T807">
        <v>0</v>
      </c>
      <c r="U807">
        <v>2600.7399999999998</v>
      </c>
    </row>
    <row r="808" spans="1:21" x14ac:dyDescent="0.35">
      <c r="A808">
        <v>2024</v>
      </c>
      <c r="B808">
        <v>11</v>
      </c>
      <c r="C808">
        <v>4</v>
      </c>
      <c r="D808" s="1">
        <v>45597</v>
      </c>
      <c r="E808" s="4" t="s">
        <v>36</v>
      </c>
      <c r="F808" s="4" t="s">
        <v>24</v>
      </c>
      <c r="G808" s="4" t="s">
        <v>109</v>
      </c>
      <c r="H808">
        <v>107</v>
      </c>
      <c r="I808">
        <v>156</v>
      </c>
      <c r="J808">
        <v>1</v>
      </c>
      <c r="K808">
        <v>155</v>
      </c>
      <c r="L808">
        <v>251223.02</v>
      </c>
      <c r="M808">
        <v>1873</v>
      </c>
      <c r="N808">
        <v>249350.02</v>
      </c>
      <c r="O808">
        <v>141468.79999999999</v>
      </c>
      <c r="P808">
        <v>107881.22</v>
      </c>
      <c r="Q808">
        <v>0.43259999999999998</v>
      </c>
      <c r="R808">
        <v>11</v>
      </c>
      <c r="S808">
        <v>29957.02</v>
      </c>
      <c r="T808">
        <v>0</v>
      </c>
      <c r="U808">
        <v>2330.37</v>
      </c>
    </row>
    <row r="809" spans="1:21" x14ac:dyDescent="0.35">
      <c r="A809">
        <v>2024</v>
      </c>
      <c r="B809">
        <v>11</v>
      </c>
      <c r="C809">
        <v>4</v>
      </c>
      <c r="D809" s="1">
        <v>45597</v>
      </c>
      <c r="E809" s="4" t="s">
        <v>36</v>
      </c>
      <c r="F809" s="4" t="s">
        <v>26</v>
      </c>
      <c r="G809" s="4" t="s">
        <v>107</v>
      </c>
      <c r="H809">
        <v>1</v>
      </c>
      <c r="I809">
        <v>1</v>
      </c>
      <c r="J809">
        <v>0</v>
      </c>
      <c r="K809">
        <v>1</v>
      </c>
      <c r="L809">
        <v>469</v>
      </c>
      <c r="M809">
        <v>0</v>
      </c>
      <c r="N809">
        <v>469</v>
      </c>
      <c r="O809">
        <v>281.39999999999998</v>
      </c>
      <c r="P809">
        <v>187.6</v>
      </c>
      <c r="Q809">
        <v>0.4</v>
      </c>
      <c r="R809">
        <v>0</v>
      </c>
      <c r="S809">
        <v>0</v>
      </c>
      <c r="T809">
        <v>0</v>
      </c>
      <c r="U809">
        <v>469</v>
      </c>
    </row>
    <row r="810" spans="1:21" x14ac:dyDescent="0.35">
      <c r="A810">
        <v>2024</v>
      </c>
      <c r="B810">
        <v>11</v>
      </c>
      <c r="C810">
        <v>4</v>
      </c>
      <c r="D810" s="1">
        <v>45597</v>
      </c>
      <c r="E810" s="4" t="s">
        <v>36</v>
      </c>
      <c r="F810" s="4" t="s">
        <v>26</v>
      </c>
      <c r="G810" s="4" t="s">
        <v>109</v>
      </c>
      <c r="H810">
        <v>38</v>
      </c>
      <c r="I810">
        <v>62</v>
      </c>
      <c r="J810">
        <v>2</v>
      </c>
      <c r="K810">
        <v>60</v>
      </c>
      <c r="L810">
        <v>51762.47</v>
      </c>
      <c r="M810">
        <v>2338</v>
      </c>
      <c r="N810">
        <v>49424.47</v>
      </c>
      <c r="O810">
        <v>31092</v>
      </c>
      <c r="P810">
        <v>18332.47</v>
      </c>
      <c r="Q810">
        <v>0.37090000000000001</v>
      </c>
      <c r="R810">
        <v>3</v>
      </c>
      <c r="S810">
        <v>10876.47</v>
      </c>
      <c r="T810">
        <v>0</v>
      </c>
      <c r="U810">
        <v>1300.6400000000001</v>
      </c>
    </row>
    <row r="811" spans="1:21" x14ac:dyDescent="0.35">
      <c r="A811">
        <v>2024</v>
      </c>
      <c r="B811">
        <v>11</v>
      </c>
      <c r="C811">
        <v>4</v>
      </c>
      <c r="D811" s="1">
        <v>45597</v>
      </c>
      <c r="E811" s="4" t="s">
        <v>23</v>
      </c>
      <c r="F811" s="4" t="s">
        <v>28</v>
      </c>
      <c r="G811" s="4" t="s">
        <v>107</v>
      </c>
      <c r="H811">
        <v>94</v>
      </c>
      <c r="I811">
        <v>152</v>
      </c>
      <c r="J811">
        <v>0</v>
      </c>
      <c r="K811">
        <v>152</v>
      </c>
      <c r="L811">
        <v>49483.199999999997</v>
      </c>
      <c r="M811">
        <v>0</v>
      </c>
      <c r="N811">
        <v>49483.199999999997</v>
      </c>
      <c r="O811">
        <v>17981.599999999999</v>
      </c>
      <c r="P811">
        <v>31501.599999999999</v>
      </c>
      <c r="Q811">
        <v>0.63660000000000005</v>
      </c>
      <c r="R811">
        <v>11</v>
      </c>
      <c r="S811">
        <v>6895.2</v>
      </c>
      <c r="T811">
        <v>0</v>
      </c>
      <c r="U811">
        <v>526.41999999999996</v>
      </c>
    </row>
    <row r="812" spans="1:21" x14ac:dyDescent="0.35">
      <c r="A812">
        <v>2024</v>
      </c>
      <c r="B812">
        <v>11</v>
      </c>
      <c r="C812">
        <v>4</v>
      </c>
      <c r="D812" s="1">
        <v>45597</v>
      </c>
      <c r="E812" s="4" t="s">
        <v>23</v>
      </c>
      <c r="F812" s="4" t="s">
        <v>28</v>
      </c>
      <c r="G812" s="4" t="s">
        <v>108</v>
      </c>
      <c r="H812">
        <v>32</v>
      </c>
      <c r="I812">
        <v>45</v>
      </c>
      <c r="J812">
        <v>0</v>
      </c>
      <c r="K812">
        <v>45</v>
      </c>
      <c r="L812">
        <v>30988.240000000002</v>
      </c>
      <c r="M812">
        <v>0</v>
      </c>
      <c r="N812">
        <v>30988.240000000002</v>
      </c>
      <c r="O812">
        <v>11072.25</v>
      </c>
      <c r="P812">
        <v>19915.990000000002</v>
      </c>
      <c r="Q812">
        <v>0.64270000000000005</v>
      </c>
      <c r="R812">
        <v>2</v>
      </c>
      <c r="S812">
        <v>2165.2399999999998</v>
      </c>
      <c r="T812">
        <v>0</v>
      </c>
      <c r="U812">
        <v>968.38</v>
      </c>
    </row>
    <row r="813" spans="1:21" x14ac:dyDescent="0.35">
      <c r="A813">
        <v>2024</v>
      </c>
      <c r="B813">
        <v>11</v>
      </c>
      <c r="C813">
        <v>4</v>
      </c>
      <c r="D813" s="1">
        <v>45597</v>
      </c>
      <c r="E813" s="4" t="s">
        <v>23</v>
      </c>
      <c r="F813" s="4" t="s">
        <v>28</v>
      </c>
      <c r="G813" s="4" t="s">
        <v>109</v>
      </c>
      <c r="H813">
        <v>585</v>
      </c>
      <c r="I813">
        <v>929</v>
      </c>
      <c r="J813">
        <v>0</v>
      </c>
      <c r="K813">
        <v>929</v>
      </c>
      <c r="L813">
        <v>431792.4</v>
      </c>
      <c r="M813">
        <v>0</v>
      </c>
      <c r="N813">
        <v>431792.4</v>
      </c>
      <c r="O813">
        <v>157140.54999999999</v>
      </c>
      <c r="P813">
        <v>274651.84999999998</v>
      </c>
      <c r="Q813">
        <v>0.6361</v>
      </c>
      <c r="R813">
        <v>76</v>
      </c>
      <c r="S813">
        <v>67818.399999999994</v>
      </c>
      <c r="T813">
        <v>0</v>
      </c>
      <c r="U813">
        <v>738.11</v>
      </c>
    </row>
    <row r="814" spans="1:21" x14ac:dyDescent="0.35">
      <c r="A814">
        <v>2024</v>
      </c>
      <c r="B814">
        <v>11</v>
      </c>
      <c r="C814">
        <v>4</v>
      </c>
      <c r="D814" s="1">
        <v>45597</v>
      </c>
      <c r="E814" s="4" t="s">
        <v>23</v>
      </c>
      <c r="F814" s="4" t="s">
        <v>35</v>
      </c>
      <c r="G814" s="4" t="s">
        <v>109</v>
      </c>
      <c r="H814">
        <v>1</v>
      </c>
      <c r="I814">
        <v>1</v>
      </c>
      <c r="J814">
        <v>0</v>
      </c>
      <c r="K814">
        <v>1</v>
      </c>
      <c r="L814">
        <v>330</v>
      </c>
      <c r="M814">
        <v>0</v>
      </c>
      <c r="N814">
        <v>330</v>
      </c>
      <c r="O814">
        <v>66</v>
      </c>
      <c r="P814">
        <v>264</v>
      </c>
      <c r="Q814">
        <v>0.8</v>
      </c>
      <c r="R814">
        <v>0</v>
      </c>
      <c r="S814">
        <v>0</v>
      </c>
      <c r="T814">
        <v>0</v>
      </c>
      <c r="U814">
        <v>330</v>
      </c>
    </row>
    <row r="815" spans="1:21" x14ac:dyDescent="0.35">
      <c r="A815">
        <v>2024</v>
      </c>
      <c r="B815">
        <v>11</v>
      </c>
      <c r="C815">
        <v>4</v>
      </c>
      <c r="D815" s="1">
        <v>45597</v>
      </c>
      <c r="E815" s="4" t="s">
        <v>23</v>
      </c>
      <c r="F815" s="4" t="s">
        <v>24</v>
      </c>
      <c r="G815" s="4" t="s">
        <v>107</v>
      </c>
      <c r="H815">
        <v>64</v>
      </c>
      <c r="I815">
        <v>104</v>
      </c>
      <c r="J815">
        <v>3</v>
      </c>
      <c r="K815">
        <v>101</v>
      </c>
      <c r="L815">
        <v>187604.76</v>
      </c>
      <c r="M815">
        <v>3164.79</v>
      </c>
      <c r="N815">
        <v>184439.97</v>
      </c>
      <c r="O815">
        <v>106405.75</v>
      </c>
      <c r="P815">
        <v>78034.22</v>
      </c>
      <c r="Q815">
        <v>0.42309999999999998</v>
      </c>
      <c r="R815">
        <v>11</v>
      </c>
      <c r="S815">
        <v>34250.97</v>
      </c>
      <c r="T815">
        <v>0</v>
      </c>
      <c r="U815">
        <v>2881.87</v>
      </c>
    </row>
    <row r="816" spans="1:21" x14ac:dyDescent="0.35">
      <c r="A816">
        <v>2024</v>
      </c>
      <c r="B816">
        <v>11</v>
      </c>
      <c r="C816">
        <v>4</v>
      </c>
      <c r="D816" s="1">
        <v>45597</v>
      </c>
      <c r="E816" s="4" t="s">
        <v>23</v>
      </c>
      <c r="F816" s="4" t="s">
        <v>24</v>
      </c>
      <c r="G816" s="4" t="s">
        <v>109</v>
      </c>
      <c r="H816">
        <v>142</v>
      </c>
      <c r="I816">
        <v>225</v>
      </c>
      <c r="J816">
        <v>4</v>
      </c>
      <c r="K816">
        <v>221</v>
      </c>
      <c r="L816">
        <v>235911.09</v>
      </c>
      <c r="M816">
        <v>4487.6000000000004</v>
      </c>
      <c r="N816">
        <v>231423.49</v>
      </c>
      <c r="O816">
        <v>132891</v>
      </c>
      <c r="P816">
        <v>98532.49</v>
      </c>
      <c r="Q816">
        <v>0.42580000000000001</v>
      </c>
      <c r="R816">
        <v>19</v>
      </c>
      <c r="S816">
        <v>37231.49</v>
      </c>
      <c r="T816">
        <v>0</v>
      </c>
      <c r="U816">
        <v>1629.74</v>
      </c>
    </row>
    <row r="817" spans="1:21" x14ac:dyDescent="0.35">
      <c r="A817">
        <v>2024</v>
      </c>
      <c r="B817">
        <v>11</v>
      </c>
      <c r="C817">
        <v>4</v>
      </c>
      <c r="D817" s="1">
        <v>45597</v>
      </c>
      <c r="E817" s="4" t="s">
        <v>23</v>
      </c>
      <c r="F817" s="4" t="s">
        <v>26</v>
      </c>
      <c r="G817" s="4" t="s">
        <v>107</v>
      </c>
      <c r="H817">
        <v>5</v>
      </c>
      <c r="I817">
        <v>6</v>
      </c>
      <c r="J817">
        <v>0</v>
      </c>
      <c r="K817">
        <v>6</v>
      </c>
      <c r="L817">
        <v>3248</v>
      </c>
      <c r="M817">
        <v>0</v>
      </c>
      <c r="N817">
        <v>3248</v>
      </c>
      <c r="O817">
        <v>1948.8</v>
      </c>
      <c r="P817">
        <v>1299.2</v>
      </c>
      <c r="Q817">
        <v>0.4</v>
      </c>
      <c r="R817">
        <v>0</v>
      </c>
      <c r="S817">
        <v>0</v>
      </c>
      <c r="T817">
        <v>0</v>
      </c>
      <c r="U817">
        <v>649.6</v>
      </c>
    </row>
    <row r="818" spans="1:21" x14ac:dyDescent="0.35">
      <c r="A818">
        <v>2024</v>
      </c>
      <c r="B818">
        <v>11</v>
      </c>
      <c r="C818">
        <v>4</v>
      </c>
      <c r="D818" s="1">
        <v>45597</v>
      </c>
      <c r="E818" s="4" t="s">
        <v>23</v>
      </c>
      <c r="F818" s="4" t="s">
        <v>26</v>
      </c>
      <c r="G818" s="4" t="s">
        <v>109</v>
      </c>
      <c r="H818">
        <v>42</v>
      </c>
      <c r="I818">
        <v>62</v>
      </c>
      <c r="J818">
        <v>0</v>
      </c>
      <c r="K818">
        <v>62</v>
      </c>
      <c r="L818">
        <v>42214.98</v>
      </c>
      <c r="M818">
        <v>0</v>
      </c>
      <c r="N818">
        <v>42214.98</v>
      </c>
      <c r="O818">
        <v>25794</v>
      </c>
      <c r="P818">
        <v>16420.98</v>
      </c>
      <c r="Q818">
        <v>0.38900000000000001</v>
      </c>
      <c r="R818">
        <v>5</v>
      </c>
      <c r="S818">
        <v>4550.9799999999996</v>
      </c>
      <c r="T818">
        <v>0</v>
      </c>
      <c r="U818">
        <v>1005.12</v>
      </c>
    </row>
    <row r="819" spans="1:21" x14ac:dyDescent="0.35">
      <c r="A819">
        <v>2024</v>
      </c>
      <c r="B819">
        <v>11</v>
      </c>
      <c r="C819">
        <v>4</v>
      </c>
      <c r="D819" s="1">
        <v>45597</v>
      </c>
      <c r="E819" s="4" t="s">
        <v>25</v>
      </c>
      <c r="F819" s="4" t="s">
        <v>28</v>
      </c>
      <c r="G819" s="4" t="s">
        <v>107</v>
      </c>
      <c r="H819">
        <v>30</v>
      </c>
      <c r="I819">
        <v>46</v>
      </c>
      <c r="J819">
        <v>0</v>
      </c>
      <c r="K819">
        <v>46</v>
      </c>
      <c r="L819">
        <v>22215.9</v>
      </c>
      <c r="M819">
        <v>0</v>
      </c>
      <c r="N819">
        <v>22215.9</v>
      </c>
      <c r="O819">
        <v>8001.7</v>
      </c>
      <c r="P819">
        <v>14214.2</v>
      </c>
      <c r="Q819">
        <v>0.63980000000000004</v>
      </c>
      <c r="R819">
        <v>4</v>
      </c>
      <c r="S819">
        <v>2832.9</v>
      </c>
      <c r="T819">
        <v>0</v>
      </c>
      <c r="U819">
        <v>740.53</v>
      </c>
    </row>
    <row r="820" spans="1:21" x14ac:dyDescent="0.35">
      <c r="A820">
        <v>2024</v>
      </c>
      <c r="B820">
        <v>11</v>
      </c>
      <c r="C820">
        <v>4</v>
      </c>
      <c r="D820" s="1">
        <v>45597</v>
      </c>
      <c r="E820" s="4" t="s">
        <v>25</v>
      </c>
      <c r="F820" s="4" t="s">
        <v>28</v>
      </c>
      <c r="G820" s="4" t="s">
        <v>109</v>
      </c>
      <c r="H820">
        <v>570</v>
      </c>
      <c r="I820">
        <v>891</v>
      </c>
      <c r="J820">
        <v>0</v>
      </c>
      <c r="K820">
        <v>891</v>
      </c>
      <c r="L820">
        <v>465340.6</v>
      </c>
      <c r="M820">
        <v>0</v>
      </c>
      <c r="N820">
        <v>465340.6</v>
      </c>
      <c r="O820">
        <v>169841.35</v>
      </c>
      <c r="P820">
        <v>295499.25</v>
      </c>
      <c r="Q820">
        <v>0.63500000000000001</v>
      </c>
      <c r="R820">
        <v>73</v>
      </c>
      <c r="S820">
        <v>73383.600000000006</v>
      </c>
      <c r="T820">
        <v>0</v>
      </c>
      <c r="U820">
        <v>816.39</v>
      </c>
    </row>
    <row r="821" spans="1:21" x14ac:dyDescent="0.35">
      <c r="A821">
        <v>2024</v>
      </c>
      <c r="B821">
        <v>11</v>
      </c>
      <c r="C821">
        <v>4</v>
      </c>
      <c r="D821" s="1">
        <v>45597</v>
      </c>
      <c r="E821" s="4" t="s">
        <v>25</v>
      </c>
      <c r="F821" s="4" t="s">
        <v>24</v>
      </c>
      <c r="G821" s="4" t="s">
        <v>107</v>
      </c>
      <c r="H821">
        <v>21</v>
      </c>
      <c r="I821">
        <v>32</v>
      </c>
      <c r="J821">
        <v>0</v>
      </c>
      <c r="K821">
        <v>32</v>
      </c>
      <c r="L821">
        <v>59385</v>
      </c>
      <c r="M821">
        <v>0</v>
      </c>
      <c r="N821">
        <v>59385</v>
      </c>
      <c r="O821">
        <v>32661.75</v>
      </c>
      <c r="P821">
        <v>26723.25</v>
      </c>
      <c r="Q821">
        <v>0.45</v>
      </c>
      <c r="R821">
        <v>0</v>
      </c>
      <c r="S821">
        <v>0</v>
      </c>
      <c r="T821">
        <v>0</v>
      </c>
      <c r="U821">
        <v>2827.86</v>
      </c>
    </row>
    <row r="822" spans="1:21" x14ac:dyDescent="0.35">
      <c r="A822">
        <v>2024</v>
      </c>
      <c r="B822">
        <v>11</v>
      </c>
      <c r="C822">
        <v>4</v>
      </c>
      <c r="D822" s="1">
        <v>45597</v>
      </c>
      <c r="E822" s="4" t="s">
        <v>25</v>
      </c>
      <c r="F822" s="4" t="s">
        <v>24</v>
      </c>
      <c r="G822" s="4" t="s">
        <v>109</v>
      </c>
      <c r="H822">
        <v>179</v>
      </c>
      <c r="I822">
        <v>266</v>
      </c>
      <c r="J822">
        <v>9</v>
      </c>
      <c r="K822">
        <v>257</v>
      </c>
      <c r="L822">
        <v>415484.18</v>
      </c>
      <c r="M822">
        <v>16266</v>
      </c>
      <c r="N822">
        <v>399218.18</v>
      </c>
      <c r="O822">
        <v>226471.85</v>
      </c>
      <c r="P822">
        <v>172746.33</v>
      </c>
      <c r="Q822">
        <v>0.43269999999999997</v>
      </c>
      <c r="R822">
        <v>18</v>
      </c>
      <c r="S822">
        <v>47714.18</v>
      </c>
      <c r="T822">
        <v>0</v>
      </c>
      <c r="U822">
        <v>2230.27</v>
      </c>
    </row>
    <row r="823" spans="1:21" x14ac:dyDescent="0.35">
      <c r="A823">
        <v>2024</v>
      </c>
      <c r="B823">
        <v>11</v>
      </c>
      <c r="C823">
        <v>4</v>
      </c>
      <c r="D823" s="1">
        <v>45597</v>
      </c>
      <c r="E823" s="4" t="s">
        <v>25</v>
      </c>
      <c r="F823" s="4" t="s">
        <v>26</v>
      </c>
      <c r="G823" s="4" t="s">
        <v>107</v>
      </c>
      <c r="H823">
        <v>12</v>
      </c>
      <c r="I823">
        <v>17</v>
      </c>
      <c r="J823">
        <v>0</v>
      </c>
      <c r="K823">
        <v>17</v>
      </c>
      <c r="L823">
        <v>15283.75</v>
      </c>
      <c r="M823">
        <v>0</v>
      </c>
      <c r="N823">
        <v>15283.75</v>
      </c>
      <c r="O823">
        <v>9203.4</v>
      </c>
      <c r="P823">
        <v>6080.35</v>
      </c>
      <c r="Q823">
        <v>0.39779999999999999</v>
      </c>
      <c r="R823">
        <v>1</v>
      </c>
      <c r="S823">
        <v>369.75</v>
      </c>
      <c r="T823">
        <v>0</v>
      </c>
      <c r="U823">
        <v>1273.6500000000001</v>
      </c>
    </row>
    <row r="824" spans="1:21" x14ac:dyDescent="0.35">
      <c r="A824">
        <v>2024</v>
      </c>
      <c r="B824">
        <v>11</v>
      </c>
      <c r="C824">
        <v>4</v>
      </c>
      <c r="D824" s="1">
        <v>45597</v>
      </c>
      <c r="E824" s="4" t="s">
        <v>25</v>
      </c>
      <c r="F824" s="4" t="s">
        <v>26</v>
      </c>
      <c r="G824" s="4" t="s">
        <v>109</v>
      </c>
      <c r="H824">
        <v>43</v>
      </c>
      <c r="I824">
        <v>78</v>
      </c>
      <c r="J824">
        <v>2</v>
      </c>
      <c r="K824">
        <v>76</v>
      </c>
      <c r="L824">
        <v>54763.94</v>
      </c>
      <c r="M824">
        <v>1476</v>
      </c>
      <c r="N824">
        <v>53287.94</v>
      </c>
      <c r="O824">
        <v>33103.800000000003</v>
      </c>
      <c r="P824">
        <v>20184.14</v>
      </c>
      <c r="Q824">
        <v>0.37880000000000003</v>
      </c>
      <c r="R824">
        <v>5</v>
      </c>
      <c r="S824">
        <v>6715.94</v>
      </c>
      <c r="T824">
        <v>0</v>
      </c>
      <c r="U824">
        <v>1239.25</v>
      </c>
    </row>
    <row r="825" spans="1:21" x14ac:dyDescent="0.35">
      <c r="A825">
        <v>2024</v>
      </c>
      <c r="B825">
        <v>11</v>
      </c>
      <c r="C825">
        <v>4</v>
      </c>
      <c r="D825" s="1">
        <v>45597</v>
      </c>
      <c r="E825" s="4" t="s">
        <v>29</v>
      </c>
      <c r="F825" s="4" t="s">
        <v>28</v>
      </c>
      <c r="G825" s="4" t="s">
        <v>107</v>
      </c>
      <c r="H825">
        <v>181</v>
      </c>
      <c r="I825">
        <v>282</v>
      </c>
      <c r="J825">
        <v>0</v>
      </c>
      <c r="K825">
        <v>282</v>
      </c>
      <c r="L825">
        <v>128442.36</v>
      </c>
      <c r="M825">
        <v>0</v>
      </c>
      <c r="N825">
        <v>128442.36</v>
      </c>
      <c r="O825">
        <v>46653.599999999999</v>
      </c>
      <c r="P825">
        <v>81788.759999999995</v>
      </c>
      <c r="Q825">
        <v>0.63680000000000003</v>
      </c>
      <c r="R825">
        <v>24</v>
      </c>
      <c r="S825">
        <v>19182.36</v>
      </c>
      <c r="T825">
        <v>0</v>
      </c>
      <c r="U825">
        <v>709.63</v>
      </c>
    </row>
    <row r="826" spans="1:21" x14ac:dyDescent="0.35">
      <c r="A826">
        <v>2024</v>
      </c>
      <c r="B826">
        <v>11</v>
      </c>
      <c r="C826">
        <v>4</v>
      </c>
      <c r="D826" s="1">
        <v>45597</v>
      </c>
      <c r="E826" s="4" t="s">
        <v>29</v>
      </c>
      <c r="F826" s="4" t="s">
        <v>28</v>
      </c>
      <c r="G826" s="4" t="s">
        <v>108</v>
      </c>
      <c r="H826">
        <v>28</v>
      </c>
      <c r="I826">
        <v>43</v>
      </c>
      <c r="J826">
        <v>0</v>
      </c>
      <c r="K826">
        <v>43</v>
      </c>
      <c r="L826">
        <v>25323.200000000001</v>
      </c>
      <c r="M826">
        <v>0</v>
      </c>
      <c r="N826">
        <v>25323.200000000001</v>
      </c>
      <c r="O826">
        <v>9150.4</v>
      </c>
      <c r="P826">
        <v>16172.8</v>
      </c>
      <c r="Q826">
        <v>0.63870000000000005</v>
      </c>
      <c r="R826">
        <v>4</v>
      </c>
      <c r="S826">
        <v>5259.2</v>
      </c>
      <c r="T826">
        <v>0</v>
      </c>
      <c r="U826">
        <v>904.4</v>
      </c>
    </row>
    <row r="827" spans="1:21" x14ac:dyDescent="0.35">
      <c r="A827">
        <v>2024</v>
      </c>
      <c r="B827">
        <v>11</v>
      </c>
      <c r="C827">
        <v>4</v>
      </c>
      <c r="D827" s="1">
        <v>45597</v>
      </c>
      <c r="E827" s="4" t="s">
        <v>29</v>
      </c>
      <c r="F827" s="4" t="s">
        <v>28</v>
      </c>
      <c r="G827" s="4" t="s">
        <v>109</v>
      </c>
      <c r="H827">
        <v>793</v>
      </c>
      <c r="I827">
        <v>1202</v>
      </c>
      <c r="J827">
        <v>0</v>
      </c>
      <c r="K827">
        <v>1202</v>
      </c>
      <c r="L827">
        <v>576849.69999999995</v>
      </c>
      <c r="M827">
        <v>0</v>
      </c>
      <c r="N827">
        <v>576849.69999999995</v>
      </c>
      <c r="O827">
        <v>209029.45</v>
      </c>
      <c r="P827">
        <v>367820.25</v>
      </c>
      <c r="Q827">
        <v>0.63759999999999994</v>
      </c>
      <c r="R827">
        <v>92</v>
      </c>
      <c r="S827">
        <v>81045.2</v>
      </c>
      <c r="T827">
        <v>0</v>
      </c>
      <c r="U827">
        <v>727.43</v>
      </c>
    </row>
    <row r="828" spans="1:21" x14ac:dyDescent="0.35">
      <c r="A828">
        <v>2024</v>
      </c>
      <c r="B828">
        <v>11</v>
      </c>
      <c r="C828">
        <v>4</v>
      </c>
      <c r="D828" s="1">
        <v>45597</v>
      </c>
      <c r="E828" s="4" t="s">
        <v>29</v>
      </c>
      <c r="F828" s="4" t="s">
        <v>24</v>
      </c>
      <c r="G828" s="4" t="s">
        <v>107</v>
      </c>
      <c r="H828">
        <v>5</v>
      </c>
      <c r="I828">
        <v>8</v>
      </c>
      <c r="J828">
        <v>0</v>
      </c>
      <c r="K828">
        <v>8</v>
      </c>
      <c r="L828">
        <v>6912</v>
      </c>
      <c r="M828">
        <v>0</v>
      </c>
      <c r="N828">
        <v>6912</v>
      </c>
      <c r="O828">
        <v>3801.6</v>
      </c>
      <c r="P828">
        <v>3110.4</v>
      </c>
      <c r="Q828">
        <v>0.45</v>
      </c>
      <c r="R828">
        <v>0</v>
      </c>
      <c r="S828">
        <v>0</v>
      </c>
      <c r="T828">
        <v>0</v>
      </c>
      <c r="U828">
        <v>1382.4</v>
      </c>
    </row>
    <row r="829" spans="1:21" x14ac:dyDescent="0.35">
      <c r="A829">
        <v>2024</v>
      </c>
      <c r="B829">
        <v>11</v>
      </c>
      <c r="C829">
        <v>4</v>
      </c>
      <c r="D829" s="1">
        <v>45597</v>
      </c>
      <c r="E829" s="4" t="s">
        <v>29</v>
      </c>
      <c r="F829" s="4" t="s">
        <v>24</v>
      </c>
      <c r="G829" s="4" t="s">
        <v>108</v>
      </c>
      <c r="H829">
        <v>19</v>
      </c>
      <c r="I829">
        <v>25</v>
      </c>
      <c r="J829">
        <v>0</v>
      </c>
      <c r="K829">
        <v>25</v>
      </c>
      <c r="L829">
        <v>18297.72</v>
      </c>
      <c r="M829">
        <v>0</v>
      </c>
      <c r="N829">
        <v>18297.72</v>
      </c>
      <c r="O829">
        <v>10202.5</v>
      </c>
      <c r="P829">
        <v>8095.22</v>
      </c>
      <c r="Q829">
        <v>0.44240000000000002</v>
      </c>
      <c r="R829">
        <v>1</v>
      </c>
      <c r="S829">
        <v>489.72</v>
      </c>
      <c r="T829">
        <v>0</v>
      </c>
      <c r="U829">
        <v>963.04</v>
      </c>
    </row>
    <row r="830" spans="1:21" x14ac:dyDescent="0.35">
      <c r="A830">
        <v>2024</v>
      </c>
      <c r="B830">
        <v>11</v>
      </c>
      <c r="C830">
        <v>4</v>
      </c>
      <c r="D830" s="1">
        <v>45597</v>
      </c>
      <c r="E830" s="4" t="s">
        <v>29</v>
      </c>
      <c r="F830" s="4" t="s">
        <v>24</v>
      </c>
      <c r="G830" s="4" t="s">
        <v>109</v>
      </c>
      <c r="H830">
        <v>133</v>
      </c>
      <c r="I830">
        <v>213</v>
      </c>
      <c r="J830">
        <v>2</v>
      </c>
      <c r="K830">
        <v>211</v>
      </c>
      <c r="L830">
        <v>401072.42</v>
      </c>
      <c r="M830">
        <v>4794</v>
      </c>
      <c r="N830">
        <v>396278.42</v>
      </c>
      <c r="O830">
        <v>229005.15</v>
      </c>
      <c r="P830">
        <v>167273.26999999999</v>
      </c>
      <c r="Q830">
        <v>0.42209999999999998</v>
      </c>
      <c r="R830">
        <v>21</v>
      </c>
      <c r="S830">
        <v>100413.42</v>
      </c>
      <c r="T830">
        <v>0</v>
      </c>
      <c r="U830">
        <v>2979.54</v>
      </c>
    </row>
    <row r="831" spans="1:21" x14ac:dyDescent="0.35">
      <c r="A831">
        <v>2024</v>
      </c>
      <c r="B831">
        <v>11</v>
      </c>
      <c r="C831">
        <v>4</v>
      </c>
      <c r="D831" s="1">
        <v>45597</v>
      </c>
      <c r="E831" s="4" t="s">
        <v>29</v>
      </c>
      <c r="F831" s="4" t="s">
        <v>26</v>
      </c>
      <c r="G831" s="4" t="s">
        <v>107</v>
      </c>
      <c r="H831">
        <v>10</v>
      </c>
      <c r="I831">
        <v>12</v>
      </c>
      <c r="J831">
        <v>1</v>
      </c>
      <c r="K831">
        <v>11</v>
      </c>
      <c r="L831">
        <v>6553.26</v>
      </c>
      <c r="M831">
        <v>301</v>
      </c>
      <c r="N831">
        <v>6252.26</v>
      </c>
      <c r="O831">
        <v>3889.2</v>
      </c>
      <c r="P831">
        <v>2363.06</v>
      </c>
      <c r="Q831">
        <v>0.378</v>
      </c>
      <c r="R831">
        <v>1</v>
      </c>
      <c r="S831">
        <v>864.26</v>
      </c>
      <c r="T831">
        <v>0</v>
      </c>
      <c r="U831">
        <v>625.23</v>
      </c>
    </row>
    <row r="832" spans="1:21" x14ac:dyDescent="0.35">
      <c r="A832">
        <v>2024</v>
      </c>
      <c r="B832">
        <v>11</v>
      </c>
      <c r="C832">
        <v>4</v>
      </c>
      <c r="D832" s="1">
        <v>45597</v>
      </c>
      <c r="E832" s="4" t="s">
        <v>29</v>
      </c>
      <c r="F832" s="4" t="s">
        <v>26</v>
      </c>
      <c r="G832" s="4" t="s">
        <v>109</v>
      </c>
      <c r="H832">
        <v>27</v>
      </c>
      <c r="I832">
        <v>40</v>
      </c>
      <c r="J832">
        <v>0</v>
      </c>
      <c r="K832">
        <v>40</v>
      </c>
      <c r="L832">
        <v>30807.26</v>
      </c>
      <c r="M832">
        <v>0</v>
      </c>
      <c r="N832">
        <v>30807.26</v>
      </c>
      <c r="O832">
        <v>19677</v>
      </c>
      <c r="P832">
        <v>11130.26</v>
      </c>
      <c r="Q832">
        <v>0.36130000000000001</v>
      </c>
      <c r="R832">
        <v>5</v>
      </c>
      <c r="S832">
        <v>6263.26</v>
      </c>
      <c r="T832">
        <v>0</v>
      </c>
      <c r="U832">
        <v>1141.01</v>
      </c>
    </row>
    <row r="833" spans="1:21" x14ac:dyDescent="0.35">
      <c r="A833">
        <v>2024</v>
      </c>
      <c r="B833">
        <v>11</v>
      </c>
      <c r="C833">
        <v>4</v>
      </c>
      <c r="D833" s="1">
        <v>45597</v>
      </c>
      <c r="E833" s="4" t="s">
        <v>31</v>
      </c>
      <c r="F833" s="4" t="s">
        <v>28</v>
      </c>
      <c r="G833" s="4" t="s">
        <v>107</v>
      </c>
      <c r="H833">
        <v>72</v>
      </c>
      <c r="I833">
        <v>104</v>
      </c>
      <c r="J833">
        <v>0</v>
      </c>
      <c r="K833">
        <v>104</v>
      </c>
      <c r="L833">
        <v>41007.730000000003</v>
      </c>
      <c r="M833">
        <v>0</v>
      </c>
      <c r="N833">
        <v>41007.730000000003</v>
      </c>
      <c r="O833">
        <v>14532.35</v>
      </c>
      <c r="P833">
        <v>26475.38</v>
      </c>
      <c r="Q833">
        <v>0.64559999999999995</v>
      </c>
      <c r="R833">
        <v>3</v>
      </c>
      <c r="S833">
        <v>1271.73</v>
      </c>
      <c r="T833">
        <v>0</v>
      </c>
      <c r="U833">
        <v>569.54999999999995</v>
      </c>
    </row>
    <row r="834" spans="1:21" x14ac:dyDescent="0.35">
      <c r="A834">
        <v>2024</v>
      </c>
      <c r="B834">
        <v>11</v>
      </c>
      <c r="C834">
        <v>4</v>
      </c>
      <c r="D834" s="1">
        <v>45597</v>
      </c>
      <c r="E834" s="4" t="s">
        <v>31</v>
      </c>
      <c r="F834" s="4" t="s">
        <v>28</v>
      </c>
      <c r="G834" s="4" t="s">
        <v>108</v>
      </c>
      <c r="H834">
        <v>284</v>
      </c>
      <c r="I834">
        <v>438</v>
      </c>
      <c r="J834">
        <v>0</v>
      </c>
      <c r="K834">
        <v>438</v>
      </c>
      <c r="L834">
        <v>166850.51</v>
      </c>
      <c r="M834">
        <v>0</v>
      </c>
      <c r="N834">
        <v>166850.51</v>
      </c>
      <c r="O834">
        <v>60494.7</v>
      </c>
      <c r="P834">
        <v>106355.81</v>
      </c>
      <c r="Q834">
        <v>0.63739999999999997</v>
      </c>
      <c r="R834">
        <v>36</v>
      </c>
      <c r="S834">
        <v>24190.23</v>
      </c>
      <c r="T834">
        <v>0</v>
      </c>
      <c r="U834">
        <v>587.5</v>
      </c>
    </row>
    <row r="835" spans="1:21" x14ac:dyDescent="0.35">
      <c r="A835">
        <v>2024</v>
      </c>
      <c r="B835">
        <v>11</v>
      </c>
      <c r="C835">
        <v>4</v>
      </c>
      <c r="D835" s="1">
        <v>45597</v>
      </c>
      <c r="E835" s="4" t="s">
        <v>31</v>
      </c>
      <c r="F835" s="4" t="s">
        <v>28</v>
      </c>
      <c r="G835" s="4" t="s">
        <v>109</v>
      </c>
      <c r="H835">
        <v>859</v>
      </c>
      <c r="I835">
        <v>1364</v>
      </c>
      <c r="J835">
        <v>0</v>
      </c>
      <c r="K835">
        <v>1364</v>
      </c>
      <c r="L835">
        <v>669874.32999999996</v>
      </c>
      <c r="M835">
        <v>0</v>
      </c>
      <c r="N835">
        <v>669874.32999999996</v>
      </c>
      <c r="O835">
        <v>243372.85</v>
      </c>
      <c r="P835">
        <v>426501.48</v>
      </c>
      <c r="Q835">
        <v>0.63670000000000004</v>
      </c>
      <c r="R835">
        <v>122</v>
      </c>
      <c r="S835">
        <v>107505.28</v>
      </c>
      <c r="T835">
        <v>0</v>
      </c>
      <c r="U835">
        <v>779.83</v>
      </c>
    </row>
    <row r="836" spans="1:21" x14ac:dyDescent="0.35">
      <c r="A836">
        <v>2024</v>
      </c>
      <c r="B836">
        <v>11</v>
      </c>
      <c r="C836">
        <v>4</v>
      </c>
      <c r="D836" s="1">
        <v>45597</v>
      </c>
      <c r="E836" s="4" t="s">
        <v>31</v>
      </c>
      <c r="F836" s="4" t="s">
        <v>24</v>
      </c>
      <c r="G836" s="4" t="s">
        <v>107</v>
      </c>
      <c r="H836">
        <v>12</v>
      </c>
      <c r="I836">
        <v>21</v>
      </c>
      <c r="J836">
        <v>1</v>
      </c>
      <c r="K836">
        <v>20</v>
      </c>
      <c r="L836">
        <v>37684.199999999997</v>
      </c>
      <c r="M836">
        <v>1810</v>
      </c>
      <c r="N836">
        <v>35874.199999999997</v>
      </c>
      <c r="O836">
        <v>19910</v>
      </c>
      <c r="P836">
        <v>15964.2</v>
      </c>
      <c r="Q836">
        <v>0.44500000000000001</v>
      </c>
      <c r="R836">
        <v>1</v>
      </c>
      <c r="S836">
        <v>5104.2</v>
      </c>
      <c r="T836">
        <v>0</v>
      </c>
      <c r="U836">
        <v>2989.52</v>
      </c>
    </row>
    <row r="837" spans="1:21" x14ac:dyDescent="0.35">
      <c r="A837">
        <v>2024</v>
      </c>
      <c r="B837">
        <v>11</v>
      </c>
      <c r="C837">
        <v>4</v>
      </c>
      <c r="D837" s="1">
        <v>45597</v>
      </c>
      <c r="E837" s="4" t="s">
        <v>31</v>
      </c>
      <c r="F837" s="4" t="s">
        <v>24</v>
      </c>
      <c r="G837" s="4" t="s">
        <v>109</v>
      </c>
      <c r="H837">
        <v>259</v>
      </c>
      <c r="I837">
        <v>413</v>
      </c>
      <c r="J837">
        <v>6</v>
      </c>
      <c r="K837">
        <v>407</v>
      </c>
      <c r="L837">
        <v>554803.94999999995</v>
      </c>
      <c r="M837">
        <v>8827.1299999999992</v>
      </c>
      <c r="N837">
        <v>545976.81999999995</v>
      </c>
      <c r="O837">
        <v>318113.95</v>
      </c>
      <c r="P837">
        <v>227862.87</v>
      </c>
      <c r="Q837">
        <v>0.4173</v>
      </c>
      <c r="R837">
        <v>39</v>
      </c>
      <c r="S837">
        <v>116235.82</v>
      </c>
      <c r="T837">
        <v>0</v>
      </c>
      <c r="U837">
        <v>2108.02</v>
      </c>
    </row>
    <row r="838" spans="1:21" x14ac:dyDescent="0.35">
      <c r="A838">
        <v>2024</v>
      </c>
      <c r="B838">
        <v>11</v>
      </c>
      <c r="C838">
        <v>4</v>
      </c>
      <c r="D838" s="1">
        <v>45597</v>
      </c>
      <c r="E838" s="4" t="s">
        <v>31</v>
      </c>
      <c r="F838" s="4" t="s">
        <v>26</v>
      </c>
      <c r="G838" s="4" t="s">
        <v>107</v>
      </c>
      <c r="H838">
        <v>4</v>
      </c>
      <c r="I838">
        <v>4</v>
      </c>
      <c r="J838">
        <v>0</v>
      </c>
      <c r="K838">
        <v>4</v>
      </c>
      <c r="L838">
        <v>1912</v>
      </c>
      <c r="M838">
        <v>0</v>
      </c>
      <c r="N838">
        <v>1912</v>
      </c>
      <c r="O838">
        <v>1147.2</v>
      </c>
      <c r="P838">
        <v>764.8</v>
      </c>
      <c r="Q838">
        <v>0.4</v>
      </c>
      <c r="R838">
        <v>0</v>
      </c>
      <c r="S838">
        <v>0</v>
      </c>
      <c r="T838">
        <v>0</v>
      </c>
      <c r="U838">
        <v>478</v>
      </c>
    </row>
    <row r="839" spans="1:21" x14ac:dyDescent="0.35">
      <c r="A839">
        <v>2024</v>
      </c>
      <c r="B839">
        <v>11</v>
      </c>
      <c r="C839">
        <v>4</v>
      </c>
      <c r="D839" s="1">
        <v>45597</v>
      </c>
      <c r="E839" s="4" t="s">
        <v>31</v>
      </c>
      <c r="F839" s="4" t="s">
        <v>26</v>
      </c>
      <c r="G839" s="4" t="s">
        <v>108</v>
      </c>
      <c r="H839">
        <v>2</v>
      </c>
      <c r="I839">
        <v>2</v>
      </c>
      <c r="J839">
        <v>0</v>
      </c>
      <c r="K839">
        <v>2</v>
      </c>
      <c r="L839">
        <v>1379.4</v>
      </c>
      <c r="M839">
        <v>0</v>
      </c>
      <c r="N839">
        <v>1379.4</v>
      </c>
      <c r="O839">
        <v>871.2</v>
      </c>
      <c r="P839">
        <v>508.2</v>
      </c>
      <c r="Q839">
        <v>0.36840000000000001</v>
      </c>
      <c r="R839">
        <v>1</v>
      </c>
      <c r="S839">
        <v>653.4</v>
      </c>
      <c r="T839">
        <v>0</v>
      </c>
      <c r="U839">
        <v>689.7</v>
      </c>
    </row>
    <row r="840" spans="1:21" x14ac:dyDescent="0.35">
      <c r="A840">
        <v>2024</v>
      </c>
      <c r="B840">
        <v>11</v>
      </c>
      <c r="C840">
        <v>4</v>
      </c>
      <c r="D840" s="1">
        <v>45597</v>
      </c>
      <c r="E840" s="4" t="s">
        <v>31</v>
      </c>
      <c r="F840" s="4" t="s">
        <v>26</v>
      </c>
      <c r="G840" s="4" t="s">
        <v>109</v>
      </c>
      <c r="H840">
        <v>35</v>
      </c>
      <c r="I840">
        <v>43</v>
      </c>
      <c r="J840">
        <v>2</v>
      </c>
      <c r="K840">
        <v>41</v>
      </c>
      <c r="L840">
        <v>34084.769999999997</v>
      </c>
      <c r="M840">
        <v>1686</v>
      </c>
      <c r="N840">
        <v>32398.77</v>
      </c>
      <c r="O840">
        <v>20324.400000000001</v>
      </c>
      <c r="P840">
        <v>12074.37</v>
      </c>
      <c r="Q840">
        <v>0.37269999999999998</v>
      </c>
      <c r="R840">
        <v>3</v>
      </c>
      <c r="S840">
        <v>4011.66</v>
      </c>
      <c r="T840">
        <v>0</v>
      </c>
      <c r="U840">
        <v>925.68</v>
      </c>
    </row>
    <row r="841" spans="1:21" x14ac:dyDescent="0.35">
      <c r="A841">
        <v>2024</v>
      </c>
      <c r="B841">
        <v>11</v>
      </c>
      <c r="C841">
        <v>4</v>
      </c>
      <c r="D841" s="1">
        <v>45597</v>
      </c>
      <c r="E841" s="4" t="s">
        <v>30</v>
      </c>
      <c r="F841" s="4" t="s">
        <v>28</v>
      </c>
      <c r="G841" s="4" t="s">
        <v>107</v>
      </c>
      <c r="H841">
        <v>113</v>
      </c>
      <c r="I841">
        <v>175</v>
      </c>
      <c r="J841">
        <v>0</v>
      </c>
      <c r="K841">
        <v>175</v>
      </c>
      <c r="L841">
        <v>77388.600000000006</v>
      </c>
      <c r="M841">
        <v>0</v>
      </c>
      <c r="N841">
        <v>77388.600000000006</v>
      </c>
      <c r="O841">
        <v>27623.75</v>
      </c>
      <c r="P841">
        <v>49764.85</v>
      </c>
      <c r="Q841">
        <v>0.6431</v>
      </c>
      <c r="R841">
        <v>13</v>
      </c>
      <c r="S841">
        <v>9998.67</v>
      </c>
      <c r="T841">
        <v>0</v>
      </c>
      <c r="U841">
        <v>684.85</v>
      </c>
    </row>
    <row r="842" spans="1:21" x14ac:dyDescent="0.35">
      <c r="A842">
        <v>2024</v>
      </c>
      <c r="B842">
        <v>11</v>
      </c>
      <c r="C842">
        <v>4</v>
      </c>
      <c r="D842" s="1">
        <v>45597</v>
      </c>
      <c r="E842" s="4" t="s">
        <v>30</v>
      </c>
      <c r="F842" s="4" t="s">
        <v>28</v>
      </c>
      <c r="G842" s="4" t="s">
        <v>108</v>
      </c>
      <c r="H842">
        <v>44</v>
      </c>
      <c r="I842">
        <v>65</v>
      </c>
      <c r="J842">
        <v>0</v>
      </c>
      <c r="K842">
        <v>65</v>
      </c>
      <c r="L842">
        <v>38560.5</v>
      </c>
      <c r="M842">
        <v>0</v>
      </c>
      <c r="N842">
        <v>38560.5</v>
      </c>
      <c r="O842">
        <v>13991.25</v>
      </c>
      <c r="P842">
        <v>24569.25</v>
      </c>
      <c r="Q842">
        <v>0.63719999999999999</v>
      </c>
      <c r="R842">
        <v>3</v>
      </c>
      <c r="S842">
        <v>3505.5</v>
      </c>
      <c r="T842">
        <v>0</v>
      </c>
      <c r="U842">
        <v>876.38</v>
      </c>
    </row>
    <row r="843" spans="1:21" x14ac:dyDescent="0.35">
      <c r="A843">
        <v>2024</v>
      </c>
      <c r="B843">
        <v>11</v>
      </c>
      <c r="C843">
        <v>4</v>
      </c>
      <c r="D843" s="1">
        <v>45597</v>
      </c>
      <c r="E843" s="4" t="s">
        <v>30</v>
      </c>
      <c r="F843" s="4" t="s">
        <v>28</v>
      </c>
      <c r="G843" s="4" t="s">
        <v>109</v>
      </c>
      <c r="H843">
        <v>687</v>
      </c>
      <c r="I843">
        <v>1091</v>
      </c>
      <c r="J843">
        <v>0</v>
      </c>
      <c r="K843">
        <v>1091</v>
      </c>
      <c r="L843">
        <v>441101.7</v>
      </c>
      <c r="M843">
        <v>0</v>
      </c>
      <c r="N843">
        <v>441101.7</v>
      </c>
      <c r="O843">
        <v>160054.29999999999</v>
      </c>
      <c r="P843">
        <v>281047.40000000002</v>
      </c>
      <c r="Q843">
        <v>0.6371</v>
      </c>
      <c r="R843">
        <v>90</v>
      </c>
      <c r="S843">
        <v>71038.7</v>
      </c>
      <c r="T843">
        <v>0</v>
      </c>
      <c r="U843">
        <v>642.07000000000005</v>
      </c>
    </row>
    <row r="844" spans="1:21" x14ac:dyDescent="0.35">
      <c r="A844">
        <v>2024</v>
      </c>
      <c r="B844">
        <v>11</v>
      </c>
      <c r="C844">
        <v>4</v>
      </c>
      <c r="D844" s="1">
        <v>45597</v>
      </c>
      <c r="E844" s="4" t="s">
        <v>30</v>
      </c>
      <c r="F844" s="4" t="s">
        <v>35</v>
      </c>
      <c r="G844" s="4" t="s">
        <v>109</v>
      </c>
      <c r="H844">
        <v>1</v>
      </c>
      <c r="I844">
        <v>1</v>
      </c>
      <c r="J844">
        <v>0</v>
      </c>
      <c r="K844">
        <v>1</v>
      </c>
      <c r="L844">
        <v>203</v>
      </c>
      <c r="M844">
        <v>0</v>
      </c>
      <c r="N844">
        <v>203</v>
      </c>
      <c r="O844">
        <v>40.6</v>
      </c>
      <c r="P844">
        <v>162.4</v>
      </c>
      <c r="Q844">
        <v>0.8</v>
      </c>
      <c r="R844">
        <v>0</v>
      </c>
      <c r="S844">
        <v>0</v>
      </c>
      <c r="T844">
        <v>0</v>
      </c>
      <c r="U844">
        <v>203</v>
      </c>
    </row>
    <row r="845" spans="1:21" x14ac:dyDescent="0.35">
      <c r="A845">
        <v>2024</v>
      </c>
      <c r="B845">
        <v>11</v>
      </c>
      <c r="C845">
        <v>4</v>
      </c>
      <c r="D845" s="1">
        <v>45597</v>
      </c>
      <c r="E845" s="4" t="s">
        <v>30</v>
      </c>
      <c r="F845" s="4" t="s">
        <v>24</v>
      </c>
      <c r="G845" s="4" t="s">
        <v>107</v>
      </c>
      <c r="H845">
        <v>66</v>
      </c>
      <c r="I845">
        <v>92</v>
      </c>
      <c r="J845">
        <v>4</v>
      </c>
      <c r="K845">
        <v>88</v>
      </c>
      <c r="L845">
        <v>170816.96</v>
      </c>
      <c r="M845">
        <v>7037</v>
      </c>
      <c r="N845">
        <v>163779.96</v>
      </c>
      <c r="O845">
        <v>91554.1</v>
      </c>
      <c r="P845">
        <v>72225.86</v>
      </c>
      <c r="Q845">
        <v>0.441</v>
      </c>
      <c r="R845">
        <v>5</v>
      </c>
      <c r="S845">
        <v>16314.96</v>
      </c>
      <c r="T845">
        <v>0</v>
      </c>
      <c r="U845">
        <v>2481.5100000000002</v>
      </c>
    </row>
    <row r="846" spans="1:21" x14ac:dyDescent="0.35">
      <c r="A846">
        <v>2024</v>
      </c>
      <c r="B846">
        <v>11</v>
      </c>
      <c r="C846">
        <v>4</v>
      </c>
      <c r="D846" s="1">
        <v>45597</v>
      </c>
      <c r="E846" s="4" t="s">
        <v>30</v>
      </c>
      <c r="F846" s="4" t="s">
        <v>24</v>
      </c>
      <c r="G846" s="4" t="s">
        <v>108</v>
      </c>
      <c r="H846">
        <v>9</v>
      </c>
      <c r="I846">
        <v>9</v>
      </c>
      <c r="J846">
        <v>0</v>
      </c>
      <c r="K846">
        <v>9</v>
      </c>
      <c r="L846">
        <v>21681</v>
      </c>
      <c r="M846">
        <v>0</v>
      </c>
      <c r="N846">
        <v>21681</v>
      </c>
      <c r="O846">
        <v>11924.55</v>
      </c>
      <c r="P846">
        <v>9756.4500000000007</v>
      </c>
      <c r="Q846">
        <v>0.45</v>
      </c>
      <c r="R846">
        <v>0</v>
      </c>
      <c r="S846">
        <v>0</v>
      </c>
      <c r="T846">
        <v>0</v>
      </c>
      <c r="U846">
        <v>2409</v>
      </c>
    </row>
    <row r="847" spans="1:21" x14ac:dyDescent="0.35">
      <c r="A847">
        <v>2024</v>
      </c>
      <c r="B847">
        <v>11</v>
      </c>
      <c r="C847">
        <v>4</v>
      </c>
      <c r="D847" s="1">
        <v>45597</v>
      </c>
      <c r="E847" s="4" t="s">
        <v>30</v>
      </c>
      <c r="F847" s="4" t="s">
        <v>24</v>
      </c>
      <c r="G847" s="4" t="s">
        <v>109</v>
      </c>
      <c r="H847">
        <v>219</v>
      </c>
      <c r="I847">
        <v>317</v>
      </c>
      <c r="J847">
        <v>7</v>
      </c>
      <c r="K847">
        <v>310</v>
      </c>
      <c r="L847">
        <v>571049.6</v>
      </c>
      <c r="M847">
        <v>11540</v>
      </c>
      <c r="N847">
        <v>559509.6</v>
      </c>
      <c r="O847">
        <v>316705.40000000002</v>
      </c>
      <c r="P847">
        <v>242804.2</v>
      </c>
      <c r="Q847">
        <v>0.434</v>
      </c>
      <c r="R847">
        <v>22</v>
      </c>
      <c r="S847">
        <v>59978.6</v>
      </c>
      <c r="T847">
        <v>0</v>
      </c>
      <c r="U847">
        <v>2554.84</v>
      </c>
    </row>
    <row r="848" spans="1:21" x14ac:dyDescent="0.35">
      <c r="A848">
        <v>2024</v>
      </c>
      <c r="B848">
        <v>11</v>
      </c>
      <c r="C848">
        <v>4</v>
      </c>
      <c r="D848" s="1">
        <v>45597</v>
      </c>
      <c r="E848" s="4" t="s">
        <v>30</v>
      </c>
      <c r="F848" s="4" t="s">
        <v>26</v>
      </c>
      <c r="G848" s="4" t="s">
        <v>109</v>
      </c>
      <c r="H848">
        <v>58</v>
      </c>
      <c r="I848">
        <v>93</v>
      </c>
      <c r="J848">
        <v>2</v>
      </c>
      <c r="K848">
        <v>91</v>
      </c>
      <c r="L848">
        <v>74339.78</v>
      </c>
      <c r="M848">
        <v>1402</v>
      </c>
      <c r="N848">
        <v>72937.78</v>
      </c>
      <c r="O848">
        <v>44608.800000000003</v>
      </c>
      <c r="P848">
        <v>28328.98</v>
      </c>
      <c r="Q848">
        <v>0.38840000000000002</v>
      </c>
      <c r="R848">
        <v>5</v>
      </c>
      <c r="S848">
        <v>5572.78</v>
      </c>
      <c r="T848">
        <v>0</v>
      </c>
      <c r="U848">
        <v>1257.55</v>
      </c>
    </row>
    <row r="849" spans="1:21" x14ac:dyDescent="0.35">
      <c r="A849">
        <v>2024</v>
      </c>
      <c r="B849">
        <v>11</v>
      </c>
      <c r="C849">
        <v>4</v>
      </c>
      <c r="D849" s="1">
        <v>45597</v>
      </c>
      <c r="E849" s="4" t="s">
        <v>78</v>
      </c>
      <c r="F849" s="4" t="s">
        <v>78</v>
      </c>
      <c r="G849" s="4" t="s">
        <v>110</v>
      </c>
      <c r="H849">
        <v>209</v>
      </c>
      <c r="I849">
        <v>286</v>
      </c>
      <c r="J849">
        <v>0</v>
      </c>
      <c r="K849">
        <v>286</v>
      </c>
      <c r="L849">
        <v>667128</v>
      </c>
      <c r="M849">
        <v>0</v>
      </c>
      <c r="N849">
        <v>667128</v>
      </c>
      <c r="O849">
        <v>100069.2</v>
      </c>
      <c r="P849">
        <v>567058.80000000005</v>
      </c>
      <c r="Q849">
        <v>0.85</v>
      </c>
      <c r="R849">
        <v>2</v>
      </c>
      <c r="S849">
        <v>7980</v>
      </c>
      <c r="T849">
        <v>0</v>
      </c>
      <c r="U849">
        <v>3192</v>
      </c>
    </row>
    <row r="850" spans="1:21" x14ac:dyDescent="0.35">
      <c r="A850">
        <v>2024</v>
      </c>
      <c r="B850">
        <v>12</v>
      </c>
      <c r="C850">
        <v>4</v>
      </c>
      <c r="D850" s="1">
        <v>45627</v>
      </c>
      <c r="E850" s="4" t="s">
        <v>33</v>
      </c>
      <c r="F850" s="4" t="s">
        <v>28</v>
      </c>
      <c r="G850" s="4" t="s">
        <v>107</v>
      </c>
      <c r="H850">
        <v>214</v>
      </c>
      <c r="I850">
        <v>319</v>
      </c>
      <c r="J850">
        <v>0</v>
      </c>
      <c r="K850">
        <v>319</v>
      </c>
      <c r="L850">
        <v>101534.65</v>
      </c>
      <c r="M850">
        <v>0</v>
      </c>
      <c r="N850">
        <v>101534.65</v>
      </c>
      <c r="O850">
        <v>36806.699999999997</v>
      </c>
      <c r="P850">
        <v>64727.95</v>
      </c>
      <c r="Q850">
        <v>0.63749999999999996</v>
      </c>
      <c r="R850">
        <v>24</v>
      </c>
      <c r="S850">
        <v>13931.73</v>
      </c>
      <c r="T850">
        <v>0</v>
      </c>
      <c r="U850">
        <v>474.46</v>
      </c>
    </row>
    <row r="851" spans="1:21" x14ac:dyDescent="0.35">
      <c r="A851">
        <v>2024</v>
      </c>
      <c r="B851">
        <v>12</v>
      </c>
      <c r="C851">
        <v>4</v>
      </c>
      <c r="D851" s="1">
        <v>45627</v>
      </c>
      <c r="E851" s="4" t="s">
        <v>33</v>
      </c>
      <c r="F851" s="4" t="s">
        <v>28</v>
      </c>
      <c r="G851" s="4" t="s">
        <v>108</v>
      </c>
      <c r="H851">
        <v>73</v>
      </c>
      <c r="I851">
        <v>110</v>
      </c>
      <c r="J851">
        <v>0</v>
      </c>
      <c r="K851">
        <v>110</v>
      </c>
      <c r="L851">
        <v>74197.52</v>
      </c>
      <c r="M851">
        <v>0</v>
      </c>
      <c r="N851">
        <v>74197.52</v>
      </c>
      <c r="O851">
        <v>27412</v>
      </c>
      <c r="P851">
        <v>46785.52</v>
      </c>
      <c r="Q851">
        <v>0.63060000000000005</v>
      </c>
      <c r="R851">
        <v>11</v>
      </c>
      <c r="S851">
        <v>13677.52</v>
      </c>
      <c r="T851">
        <v>0</v>
      </c>
      <c r="U851">
        <v>1016.4</v>
      </c>
    </row>
    <row r="852" spans="1:21" x14ac:dyDescent="0.35">
      <c r="A852">
        <v>2024</v>
      </c>
      <c r="B852">
        <v>12</v>
      </c>
      <c r="C852">
        <v>4</v>
      </c>
      <c r="D852" s="1">
        <v>45627</v>
      </c>
      <c r="E852" s="4" t="s">
        <v>33</v>
      </c>
      <c r="F852" s="4" t="s">
        <v>28</v>
      </c>
      <c r="G852" s="4" t="s">
        <v>109</v>
      </c>
      <c r="H852">
        <v>1321</v>
      </c>
      <c r="I852">
        <v>1976</v>
      </c>
      <c r="J852">
        <v>0</v>
      </c>
      <c r="K852">
        <v>1976</v>
      </c>
      <c r="L852">
        <v>1051801.18</v>
      </c>
      <c r="M852">
        <v>0</v>
      </c>
      <c r="N852">
        <v>1051801.18</v>
      </c>
      <c r="O852">
        <v>380412.9</v>
      </c>
      <c r="P852">
        <v>671388.28</v>
      </c>
      <c r="Q852">
        <v>0.63829999999999998</v>
      </c>
      <c r="R852">
        <v>169</v>
      </c>
      <c r="S852">
        <v>156790.18</v>
      </c>
      <c r="T852">
        <v>0</v>
      </c>
      <c r="U852">
        <v>796.22</v>
      </c>
    </row>
    <row r="853" spans="1:21" x14ac:dyDescent="0.35">
      <c r="A853">
        <v>2024</v>
      </c>
      <c r="B853">
        <v>12</v>
      </c>
      <c r="C853">
        <v>4</v>
      </c>
      <c r="D853" s="1">
        <v>45627</v>
      </c>
      <c r="E853" s="4" t="s">
        <v>33</v>
      </c>
      <c r="F853" s="4" t="s">
        <v>35</v>
      </c>
      <c r="G853" s="4" t="s">
        <v>109</v>
      </c>
      <c r="H853">
        <v>1</v>
      </c>
      <c r="I853">
        <v>1</v>
      </c>
      <c r="J853">
        <v>0</v>
      </c>
      <c r="K853">
        <v>1</v>
      </c>
      <c r="L853">
        <v>469</v>
      </c>
      <c r="M853">
        <v>0</v>
      </c>
      <c r="N853">
        <v>469</v>
      </c>
      <c r="O853">
        <v>93.8</v>
      </c>
      <c r="P853">
        <v>375.2</v>
      </c>
      <c r="Q853">
        <v>0.8</v>
      </c>
      <c r="R853">
        <v>0</v>
      </c>
      <c r="S853">
        <v>0</v>
      </c>
      <c r="T853">
        <v>0</v>
      </c>
      <c r="U853">
        <v>469</v>
      </c>
    </row>
    <row r="854" spans="1:21" x14ac:dyDescent="0.35">
      <c r="A854">
        <v>2024</v>
      </c>
      <c r="B854">
        <v>12</v>
      </c>
      <c r="C854">
        <v>4</v>
      </c>
      <c r="D854" s="1">
        <v>45627</v>
      </c>
      <c r="E854" s="4" t="s">
        <v>33</v>
      </c>
      <c r="F854" s="4" t="s">
        <v>24</v>
      </c>
      <c r="G854" s="4" t="s">
        <v>107</v>
      </c>
      <c r="H854">
        <v>23</v>
      </c>
      <c r="I854">
        <v>36</v>
      </c>
      <c r="J854">
        <v>0</v>
      </c>
      <c r="K854">
        <v>36</v>
      </c>
      <c r="L854">
        <v>55883.16</v>
      </c>
      <c r="M854">
        <v>0</v>
      </c>
      <c r="N854">
        <v>55883.16</v>
      </c>
      <c r="O854">
        <v>32563.85</v>
      </c>
      <c r="P854">
        <v>23319.31</v>
      </c>
      <c r="Q854">
        <v>0.4173</v>
      </c>
      <c r="R854">
        <v>4</v>
      </c>
      <c r="S854">
        <v>11315.68</v>
      </c>
      <c r="T854">
        <v>0</v>
      </c>
      <c r="U854">
        <v>2429.6999999999998</v>
      </c>
    </row>
    <row r="855" spans="1:21" x14ac:dyDescent="0.35">
      <c r="A855">
        <v>2024</v>
      </c>
      <c r="B855">
        <v>12</v>
      </c>
      <c r="C855">
        <v>4</v>
      </c>
      <c r="D855" s="1">
        <v>45627</v>
      </c>
      <c r="E855" s="4" t="s">
        <v>33</v>
      </c>
      <c r="F855" s="4" t="s">
        <v>24</v>
      </c>
      <c r="G855" s="4" t="s">
        <v>109</v>
      </c>
      <c r="H855">
        <v>291</v>
      </c>
      <c r="I855">
        <v>441</v>
      </c>
      <c r="J855">
        <v>17</v>
      </c>
      <c r="K855">
        <v>424</v>
      </c>
      <c r="L855">
        <v>699024.99</v>
      </c>
      <c r="M855">
        <v>30382</v>
      </c>
      <c r="N855">
        <v>668642.99</v>
      </c>
      <c r="O855">
        <v>380230.40000000002</v>
      </c>
      <c r="P855">
        <v>288412.59000000003</v>
      </c>
      <c r="Q855">
        <v>0.43130000000000002</v>
      </c>
      <c r="R855">
        <v>36</v>
      </c>
      <c r="S855">
        <v>102940.51</v>
      </c>
      <c r="T855">
        <v>0</v>
      </c>
      <c r="U855">
        <v>2297.7399999999998</v>
      </c>
    </row>
    <row r="856" spans="1:21" x14ac:dyDescent="0.35">
      <c r="A856">
        <v>2024</v>
      </c>
      <c r="B856">
        <v>12</v>
      </c>
      <c r="C856">
        <v>4</v>
      </c>
      <c r="D856" s="1">
        <v>45627</v>
      </c>
      <c r="E856" s="4" t="s">
        <v>33</v>
      </c>
      <c r="F856" s="4" t="s">
        <v>26</v>
      </c>
      <c r="G856" s="4" t="s">
        <v>107</v>
      </c>
      <c r="H856">
        <v>2</v>
      </c>
      <c r="I856">
        <v>3</v>
      </c>
      <c r="J856">
        <v>0</v>
      </c>
      <c r="K856">
        <v>3</v>
      </c>
      <c r="L856">
        <v>1757</v>
      </c>
      <c r="M856">
        <v>0</v>
      </c>
      <c r="N856">
        <v>1757</v>
      </c>
      <c r="O856">
        <v>1054.2</v>
      </c>
      <c r="P856">
        <v>702.8</v>
      </c>
      <c r="Q856">
        <v>0.4</v>
      </c>
      <c r="R856">
        <v>0</v>
      </c>
      <c r="S856">
        <v>0</v>
      </c>
      <c r="T856">
        <v>0</v>
      </c>
      <c r="U856">
        <v>878.5</v>
      </c>
    </row>
    <row r="857" spans="1:21" x14ac:dyDescent="0.35">
      <c r="A857">
        <v>2024</v>
      </c>
      <c r="B857">
        <v>12</v>
      </c>
      <c r="C857">
        <v>4</v>
      </c>
      <c r="D857" s="1">
        <v>45627</v>
      </c>
      <c r="E857" s="4" t="s">
        <v>33</v>
      </c>
      <c r="F857" s="4" t="s">
        <v>26</v>
      </c>
      <c r="G857" s="4" t="s">
        <v>108</v>
      </c>
      <c r="H857">
        <v>4</v>
      </c>
      <c r="I857">
        <v>4</v>
      </c>
      <c r="J857">
        <v>0</v>
      </c>
      <c r="K857">
        <v>4</v>
      </c>
      <c r="L857">
        <v>2978</v>
      </c>
      <c r="M857">
        <v>0</v>
      </c>
      <c r="N857">
        <v>2978</v>
      </c>
      <c r="O857">
        <v>1786.8</v>
      </c>
      <c r="P857">
        <v>1191.2</v>
      </c>
      <c r="Q857">
        <v>0.4</v>
      </c>
      <c r="R857">
        <v>0</v>
      </c>
      <c r="S857">
        <v>0</v>
      </c>
      <c r="T857">
        <v>0</v>
      </c>
      <c r="U857">
        <v>744.5</v>
      </c>
    </row>
    <row r="858" spans="1:21" x14ac:dyDescent="0.35">
      <c r="A858">
        <v>2024</v>
      </c>
      <c r="B858">
        <v>12</v>
      </c>
      <c r="C858">
        <v>4</v>
      </c>
      <c r="D858" s="1">
        <v>45627</v>
      </c>
      <c r="E858" s="4" t="s">
        <v>33</v>
      </c>
      <c r="F858" s="4" t="s">
        <v>26</v>
      </c>
      <c r="G858" s="4" t="s">
        <v>109</v>
      </c>
      <c r="H858">
        <v>43</v>
      </c>
      <c r="I858">
        <v>64</v>
      </c>
      <c r="J858">
        <v>4</v>
      </c>
      <c r="K858">
        <v>60</v>
      </c>
      <c r="L858">
        <v>50070.85</v>
      </c>
      <c r="M858">
        <v>3810</v>
      </c>
      <c r="N858">
        <v>46260.85</v>
      </c>
      <c r="O858">
        <v>28225.200000000001</v>
      </c>
      <c r="P858">
        <v>18035.650000000001</v>
      </c>
      <c r="Q858">
        <v>0.38990000000000002</v>
      </c>
      <c r="R858">
        <v>3</v>
      </c>
      <c r="S858">
        <v>3649.85</v>
      </c>
      <c r="T858">
        <v>0</v>
      </c>
      <c r="U858">
        <v>1075.83</v>
      </c>
    </row>
    <row r="859" spans="1:21" x14ac:dyDescent="0.35">
      <c r="A859">
        <v>2024</v>
      </c>
      <c r="B859">
        <v>12</v>
      </c>
      <c r="C859">
        <v>4</v>
      </c>
      <c r="D859" s="1">
        <v>45627</v>
      </c>
      <c r="E859" s="4" t="s">
        <v>32</v>
      </c>
      <c r="F859" s="4" t="s">
        <v>28</v>
      </c>
      <c r="G859" s="4" t="s">
        <v>107</v>
      </c>
      <c r="H859">
        <v>45</v>
      </c>
      <c r="I859">
        <v>60</v>
      </c>
      <c r="J859">
        <v>0</v>
      </c>
      <c r="K859">
        <v>60</v>
      </c>
      <c r="L859">
        <v>26368.32</v>
      </c>
      <c r="M859">
        <v>0</v>
      </c>
      <c r="N859">
        <v>26368.32</v>
      </c>
      <c r="O859">
        <v>9534</v>
      </c>
      <c r="P859">
        <v>16834.32</v>
      </c>
      <c r="Q859">
        <v>0.63839999999999997</v>
      </c>
      <c r="R859">
        <v>4</v>
      </c>
      <c r="S859">
        <v>3214.32</v>
      </c>
      <c r="T859">
        <v>0</v>
      </c>
      <c r="U859">
        <v>585.96</v>
      </c>
    </row>
    <row r="860" spans="1:21" x14ac:dyDescent="0.35">
      <c r="A860">
        <v>2024</v>
      </c>
      <c r="B860">
        <v>12</v>
      </c>
      <c r="C860">
        <v>4</v>
      </c>
      <c r="D860" s="1">
        <v>45627</v>
      </c>
      <c r="E860" s="4" t="s">
        <v>32</v>
      </c>
      <c r="F860" s="4" t="s">
        <v>28</v>
      </c>
      <c r="G860" s="4" t="s">
        <v>109</v>
      </c>
      <c r="H860">
        <v>952</v>
      </c>
      <c r="I860">
        <v>1413</v>
      </c>
      <c r="J860">
        <v>0</v>
      </c>
      <c r="K860">
        <v>1413</v>
      </c>
      <c r="L860">
        <v>509082.16</v>
      </c>
      <c r="M860">
        <v>0</v>
      </c>
      <c r="N860">
        <v>509082.16</v>
      </c>
      <c r="O860">
        <v>184785.65</v>
      </c>
      <c r="P860">
        <v>324296.51</v>
      </c>
      <c r="Q860">
        <v>0.63700000000000001</v>
      </c>
      <c r="R860">
        <v>121</v>
      </c>
      <c r="S860">
        <v>74309.87</v>
      </c>
      <c r="T860">
        <v>0</v>
      </c>
      <c r="U860">
        <v>534.75</v>
      </c>
    </row>
    <row r="861" spans="1:21" x14ac:dyDescent="0.35">
      <c r="A861">
        <v>2024</v>
      </c>
      <c r="B861">
        <v>12</v>
      </c>
      <c r="C861">
        <v>4</v>
      </c>
      <c r="D861" s="1">
        <v>45627</v>
      </c>
      <c r="E861" s="4" t="s">
        <v>32</v>
      </c>
      <c r="F861" s="4" t="s">
        <v>24</v>
      </c>
      <c r="G861" s="4" t="s">
        <v>107</v>
      </c>
      <c r="H861">
        <v>84</v>
      </c>
      <c r="I861">
        <v>134</v>
      </c>
      <c r="J861">
        <v>7</v>
      </c>
      <c r="K861">
        <v>127</v>
      </c>
      <c r="L861">
        <v>204670.44</v>
      </c>
      <c r="M861">
        <v>10038</v>
      </c>
      <c r="N861">
        <v>194632.44</v>
      </c>
      <c r="O861">
        <v>112368.3</v>
      </c>
      <c r="P861">
        <v>82264.14</v>
      </c>
      <c r="Q861">
        <v>0.42270000000000002</v>
      </c>
      <c r="R861">
        <v>11</v>
      </c>
      <c r="S861">
        <v>36694.44</v>
      </c>
      <c r="T861">
        <v>0</v>
      </c>
      <c r="U861">
        <v>2317.0500000000002</v>
      </c>
    </row>
    <row r="862" spans="1:21" x14ac:dyDescent="0.35">
      <c r="A862">
        <v>2024</v>
      </c>
      <c r="B862">
        <v>12</v>
      </c>
      <c r="C862">
        <v>4</v>
      </c>
      <c r="D862" s="1">
        <v>45627</v>
      </c>
      <c r="E862" s="4" t="s">
        <v>32</v>
      </c>
      <c r="F862" s="4" t="s">
        <v>24</v>
      </c>
      <c r="G862" s="4" t="s">
        <v>109</v>
      </c>
      <c r="H862">
        <v>364</v>
      </c>
      <c r="I862">
        <v>568</v>
      </c>
      <c r="J862">
        <v>6</v>
      </c>
      <c r="K862">
        <v>562</v>
      </c>
      <c r="L862">
        <v>755557.97</v>
      </c>
      <c r="M862">
        <v>8571.92</v>
      </c>
      <c r="N862">
        <v>746986.05</v>
      </c>
      <c r="O862">
        <v>425665.9</v>
      </c>
      <c r="P862">
        <v>321320.15000000002</v>
      </c>
      <c r="Q862">
        <v>0.43020000000000003</v>
      </c>
      <c r="R862">
        <v>43</v>
      </c>
      <c r="S862">
        <v>106244.54</v>
      </c>
      <c r="T862">
        <v>0</v>
      </c>
      <c r="U862">
        <v>2052.16</v>
      </c>
    </row>
    <row r="863" spans="1:21" x14ac:dyDescent="0.35">
      <c r="A863">
        <v>2024</v>
      </c>
      <c r="B863">
        <v>12</v>
      </c>
      <c r="C863">
        <v>4</v>
      </c>
      <c r="D863" s="1">
        <v>45627</v>
      </c>
      <c r="E863" s="4" t="s">
        <v>32</v>
      </c>
      <c r="F863" s="4" t="s">
        <v>26</v>
      </c>
      <c r="G863" s="4" t="s">
        <v>107</v>
      </c>
      <c r="H863">
        <v>1</v>
      </c>
      <c r="I863">
        <v>2</v>
      </c>
      <c r="J863">
        <v>0</v>
      </c>
      <c r="K863">
        <v>2</v>
      </c>
      <c r="L863">
        <v>1792</v>
      </c>
      <c r="M863">
        <v>0</v>
      </c>
      <c r="N863">
        <v>1792</v>
      </c>
      <c r="O863">
        <v>1075.2</v>
      </c>
      <c r="P863">
        <v>716.8</v>
      </c>
      <c r="Q863">
        <v>0.4</v>
      </c>
      <c r="R863">
        <v>0</v>
      </c>
      <c r="S863">
        <v>0</v>
      </c>
      <c r="T863">
        <v>0</v>
      </c>
      <c r="U863">
        <v>1792</v>
      </c>
    </row>
    <row r="864" spans="1:21" x14ac:dyDescent="0.35">
      <c r="A864">
        <v>2024</v>
      </c>
      <c r="B864">
        <v>12</v>
      </c>
      <c r="C864">
        <v>4</v>
      </c>
      <c r="D864" s="1">
        <v>45627</v>
      </c>
      <c r="E864" s="4" t="s">
        <v>32</v>
      </c>
      <c r="F864" s="4" t="s">
        <v>26</v>
      </c>
      <c r="G864" s="4" t="s">
        <v>108</v>
      </c>
      <c r="H864">
        <v>4</v>
      </c>
      <c r="I864">
        <v>8</v>
      </c>
      <c r="J864">
        <v>0</v>
      </c>
      <c r="K864">
        <v>8</v>
      </c>
      <c r="L864">
        <v>2233.35</v>
      </c>
      <c r="M864">
        <v>0</v>
      </c>
      <c r="N864">
        <v>2233.35</v>
      </c>
      <c r="O864">
        <v>1512</v>
      </c>
      <c r="P864">
        <v>721.35</v>
      </c>
      <c r="Q864">
        <v>0.32300000000000001</v>
      </c>
      <c r="R864">
        <v>2</v>
      </c>
      <c r="S864">
        <v>973.35</v>
      </c>
      <c r="T864">
        <v>0</v>
      </c>
      <c r="U864">
        <v>558.34</v>
      </c>
    </row>
    <row r="865" spans="1:21" x14ac:dyDescent="0.35">
      <c r="A865">
        <v>2024</v>
      </c>
      <c r="B865">
        <v>12</v>
      </c>
      <c r="C865">
        <v>4</v>
      </c>
      <c r="D865" s="1">
        <v>45627</v>
      </c>
      <c r="E865" s="4" t="s">
        <v>32</v>
      </c>
      <c r="F865" s="4" t="s">
        <v>26</v>
      </c>
      <c r="G865" s="4" t="s">
        <v>109</v>
      </c>
      <c r="H865">
        <v>41</v>
      </c>
      <c r="I865">
        <v>67</v>
      </c>
      <c r="J865">
        <v>1</v>
      </c>
      <c r="K865">
        <v>66</v>
      </c>
      <c r="L865">
        <v>46241.81</v>
      </c>
      <c r="M865">
        <v>1046</v>
      </c>
      <c r="N865">
        <v>45195.81</v>
      </c>
      <c r="O865">
        <v>27699</v>
      </c>
      <c r="P865">
        <v>17496.810000000001</v>
      </c>
      <c r="Q865">
        <v>0.3871</v>
      </c>
      <c r="R865">
        <v>2</v>
      </c>
      <c r="S865">
        <v>1995.81</v>
      </c>
      <c r="T865">
        <v>0</v>
      </c>
      <c r="U865">
        <v>1102.3399999999999</v>
      </c>
    </row>
    <row r="866" spans="1:21" x14ac:dyDescent="0.35">
      <c r="A866">
        <v>2024</v>
      </c>
      <c r="B866">
        <v>12</v>
      </c>
      <c r="C866">
        <v>4</v>
      </c>
      <c r="D866" s="1">
        <v>45627</v>
      </c>
      <c r="E866" s="4" t="s">
        <v>27</v>
      </c>
      <c r="F866" s="4" t="s">
        <v>28</v>
      </c>
      <c r="G866" s="4" t="s">
        <v>107</v>
      </c>
      <c r="H866">
        <v>483</v>
      </c>
      <c r="I866">
        <v>743</v>
      </c>
      <c r="J866">
        <v>0</v>
      </c>
      <c r="K866">
        <v>743</v>
      </c>
      <c r="L866">
        <v>327869.3</v>
      </c>
      <c r="M866">
        <v>0</v>
      </c>
      <c r="N866">
        <v>327869.3</v>
      </c>
      <c r="O866">
        <v>119844.55</v>
      </c>
      <c r="P866">
        <v>208024.75</v>
      </c>
      <c r="Q866">
        <v>0.63449999999999995</v>
      </c>
      <c r="R866">
        <v>56</v>
      </c>
      <c r="S866">
        <v>51602.87</v>
      </c>
      <c r="T866">
        <v>0</v>
      </c>
      <c r="U866">
        <v>678.82</v>
      </c>
    </row>
    <row r="867" spans="1:21" x14ac:dyDescent="0.35">
      <c r="A867">
        <v>2024</v>
      </c>
      <c r="B867">
        <v>12</v>
      </c>
      <c r="C867">
        <v>4</v>
      </c>
      <c r="D867" s="1">
        <v>45627</v>
      </c>
      <c r="E867" s="4" t="s">
        <v>27</v>
      </c>
      <c r="F867" s="4" t="s">
        <v>28</v>
      </c>
      <c r="G867" s="4" t="s">
        <v>109</v>
      </c>
      <c r="H867">
        <v>1436</v>
      </c>
      <c r="I867">
        <v>2268</v>
      </c>
      <c r="J867">
        <v>0</v>
      </c>
      <c r="K867">
        <v>2268</v>
      </c>
      <c r="L867">
        <v>1212485.97</v>
      </c>
      <c r="M867">
        <v>0</v>
      </c>
      <c r="N867">
        <v>1212485.97</v>
      </c>
      <c r="O867">
        <v>440838.65</v>
      </c>
      <c r="P867">
        <v>771647.32</v>
      </c>
      <c r="Q867">
        <v>0.63639999999999997</v>
      </c>
      <c r="R867">
        <v>181</v>
      </c>
      <c r="S867">
        <v>188382.97</v>
      </c>
      <c r="T867">
        <v>0</v>
      </c>
      <c r="U867">
        <v>844.35</v>
      </c>
    </row>
    <row r="868" spans="1:21" x14ac:dyDescent="0.35">
      <c r="A868">
        <v>2024</v>
      </c>
      <c r="B868">
        <v>12</v>
      </c>
      <c r="C868">
        <v>4</v>
      </c>
      <c r="D868" s="1">
        <v>45627</v>
      </c>
      <c r="E868" s="4" t="s">
        <v>27</v>
      </c>
      <c r="F868" s="4" t="s">
        <v>24</v>
      </c>
      <c r="G868" s="4" t="s">
        <v>107</v>
      </c>
      <c r="H868">
        <v>100</v>
      </c>
      <c r="I868">
        <v>145</v>
      </c>
      <c r="J868">
        <v>3</v>
      </c>
      <c r="K868">
        <v>142</v>
      </c>
      <c r="L868">
        <v>260807.23</v>
      </c>
      <c r="M868">
        <v>4578.04</v>
      </c>
      <c r="N868">
        <v>256229.19</v>
      </c>
      <c r="O868">
        <v>145637.79999999999</v>
      </c>
      <c r="P868">
        <v>110591.39</v>
      </c>
      <c r="Q868">
        <v>0.43159999999999998</v>
      </c>
      <c r="R868">
        <v>12</v>
      </c>
      <c r="S868">
        <v>30129.19</v>
      </c>
      <c r="T868">
        <v>0</v>
      </c>
      <c r="U868">
        <v>2562.29</v>
      </c>
    </row>
    <row r="869" spans="1:21" x14ac:dyDescent="0.35">
      <c r="A869">
        <v>2024</v>
      </c>
      <c r="B869">
        <v>12</v>
      </c>
      <c r="C869">
        <v>4</v>
      </c>
      <c r="D869" s="1">
        <v>45627</v>
      </c>
      <c r="E869" s="4" t="s">
        <v>27</v>
      </c>
      <c r="F869" s="4" t="s">
        <v>24</v>
      </c>
      <c r="G869" s="4" t="s">
        <v>109</v>
      </c>
      <c r="H869">
        <v>438</v>
      </c>
      <c r="I869">
        <v>646</v>
      </c>
      <c r="J869">
        <v>18</v>
      </c>
      <c r="K869">
        <v>628</v>
      </c>
      <c r="L869">
        <v>1031461.35</v>
      </c>
      <c r="M869">
        <v>23784.74</v>
      </c>
      <c r="N869">
        <v>1007676.61</v>
      </c>
      <c r="O869">
        <v>576257.55000000005</v>
      </c>
      <c r="P869">
        <v>431419.06</v>
      </c>
      <c r="Q869">
        <v>0.42809999999999998</v>
      </c>
      <c r="R869">
        <v>54</v>
      </c>
      <c r="S869">
        <v>147092.60999999999</v>
      </c>
      <c r="T869">
        <v>0</v>
      </c>
      <c r="U869">
        <v>2300.63</v>
      </c>
    </row>
    <row r="870" spans="1:21" x14ac:dyDescent="0.35">
      <c r="A870">
        <v>2024</v>
      </c>
      <c r="B870">
        <v>12</v>
      </c>
      <c r="C870">
        <v>4</v>
      </c>
      <c r="D870" s="1">
        <v>45627</v>
      </c>
      <c r="E870" s="4" t="s">
        <v>27</v>
      </c>
      <c r="F870" s="4" t="s">
        <v>26</v>
      </c>
      <c r="G870" s="4" t="s">
        <v>107</v>
      </c>
      <c r="H870">
        <v>12</v>
      </c>
      <c r="I870">
        <v>25</v>
      </c>
      <c r="J870">
        <v>1</v>
      </c>
      <c r="K870">
        <v>24</v>
      </c>
      <c r="L870">
        <v>25104.55</v>
      </c>
      <c r="M870">
        <v>1022</v>
      </c>
      <c r="N870">
        <v>24082.55</v>
      </c>
      <c r="O870">
        <v>15281.4</v>
      </c>
      <c r="P870">
        <v>8801.15</v>
      </c>
      <c r="Q870">
        <v>0.36549999999999999</v>
      </c>
      <c r="R870">
        <v>3</v>
      </c>
      <c r="S870">
        <v>6908.55</v>
      </c>
      <c r="T870">
        <v>0</v>
      </c>
      <c r="U870">
        <v>2006.88</v>
      </c>
    </row>
    <row r="871" spans="1:21" x14ac:dyDescent="0.35">
      <c r="A871">
        <v>2024</v>
      </c>
      <c r="B871">
        <v>12</v>
      </c>
      <c r="C871">
        <v>4</v>
      </c>
      <c r="D871" s="1">
        <v>45627</v>
      </c>
      <c r="E871" s="4" t="s">
        <v>27</v>
      </c>
      <c r="F871" s="4" t="s">
        <v>26</v>
      </c>
      <c r="G871" s="4" t="s">
        <v>109</v>
      </c>
      <c r="H871">
        <v>35</v>
      </c>
      <c r="I871">
        <v>53</v>
      </c>
      <c r="J871">
        <v>2</v>
      </c>
      <c r="K871">
        <v>51</v>
      </c>
      <c r="L871">
        <v>34686.26</v>
      </c>
      <c r="M871">
        <v>1569</v>
      </c>
      <c r="N871">
        <v>33117.26</v>
      </c>
      <c r="O871">
        <v>20689.8</v>
      </c>
      <c r="P871">
        <v>12427.46</v>
      </c>
      <c r="Q871">
        <v>0.37530000000000002</v>
      </c>
      <c r="R871">
        <v>7</v>
      </c>
      <c r="S871">
        <v>8492.26</v>
      </c>
      <c r="T871">
        <v>0</v>
      </c>
      <c r="U871">
        <v>946.21</v>
      </c>
    </row>
    <row r="872" spans="1:21" x14ac:dyDescent="0.35">
      <c r="A872">
        <v>2024</v>
      </c>
      <c r="B872">
        <v>12</v>
      </c>
      <c r="C872">
        <v>4</v>
      </c>
      <c r="D872" s="1">
        <v>45627</v>
      </c>
      <c r="E872" s="4" t="s">
        <v>34</v>
      </c>
      <c r="F872" s="4" t="s">
        <v>28</v>
      </c>
      <c r="G872" s="4" t="s">
        <v>107</v>
      </c>
      <c r="H872">
        <v>314</v>
      </c>
      <c r="I872">
        <v>469</v>
      </c>
      <c r="J872">
        <v>0</v>
      </c>
      <c r="K872">
        <v>469</v>
      </c>
      <c r="L872">
        <v>309646.11</v>
      </c>
      <c r="M872">
        <v>0</v>
      </c>
      <c r="N872">
        <v>309646.11</v>
      </c>
      <c r="O872">
        <v>112624.05</v>
      </c>
      <c r="P872">
        <v>197022.06</v>
      </c>
      <c r="Q872">
        <v>0.63629999999999998</v>
      </c>
      <c r="R872">
        <v>42</v>
      </c>
      <c r="S872">
        <v>48204.11</v>
      </c>
      <c r="T872">
        <v>0</v>
      </c>
      <c r="U872">
        <v>986.13</v>
      </c>
    </row>
    <row r="873" spans="1:21" x14ac:dyDescent="0.35">
      <c r="A873">
        <v>2024</v>
      </c>
      <c r="B873">
        <v>12</v>
      </c>
      <c r="C873">
        <v>4</v>
      </c>
      <c r="D873" s="1">
        <v>45627</v>
      </c>
      <c r="E873" s="4" t="s">
        <v>34</v>
      </c>
      <c r="F873" s="4" t="s">
        <v>28</v>
      </c>
      <c r="G873" s="4" t="s">
        <v>108</v>
      </c>
      <c r="H873">
        <v>102</v>
      </c>
      <c r="I873">
        <v>139</v>
      </c>
      <c r="J873">
        <v>0</v>
      </c>
      <c r="K873">
        <v>139</v>
      </c>
      <c r="L873">
        <v>57799.68</v>
      </c>
      <c r="M873">
        <v>0</v>
      </c>
      <c r="N873">
        <v>57799.68</v>
      </c>
      <c r="O873">
        <v>20724.900000000001</v>
      </c>
      <c r="P873">
        <v>37074.78</v>
      </c>
      <c r="Q873">
        <v>0.64139999999999997</v>
      </c>
      <c r="R873">
        <v>7</v>
      </c>
      <c r="S873">
        <v>4123.68</v>
      </c>
      <c r="T873">
        <v>0</v>
      </c>
      <c r="U873">
        <v>566.66</v>
      </c>
    </row>
    <row r="874" spans="1:21" x14ac:dyDescent="0.35">
      <c r="A874">
        <v>2024</v>
      </c>
      <c r="B874">
        <v>12</v>
      </c>
      <c r="C874">
        <v>4</v>
      </c>
      <c r="D874" s="1">
        <v>45627</v>
      </c>
      <c r="E874" s="4" t="s">
        <v>34</v>
      </c>
      <c r="F874" s="4" t="s">
        <v>28</v>
      </c>
      <c r="G874" s="4" t="s">
        <v>109</v>
      </c>
      <c r="H874">
        <v>1239</v>
      </c>
      <c r="I874">
        <v>1848</v>
      </c>
      <c r="J874">
        <v>0</v>
      </c>
      <c r="K874">
        <v>1848</v>
      </c>
      <c r="L874">
        <v>899922.11</v>
      </c>
      <c r="M874">
        <v>0</v>
      </c>
      <c r="N874">
        <v>899922.11</v>
      </c>
      <c r="O874">
        <v>325384.84999999998</v>
      </c>
      <c r="P874">
        <v>574537.26</v>
      </c>
      <c r="Q874">
        <v>0.63839999999999997</v>
      </c>
      <c r="R874">
        <v>144</v>
      </c>
      <c r="S874">
        <v>132973.76000000001</v>
      </c>
      <c r="T874">
        <v>0</v>
      </c>
      <c r="U874">
        <v>726.33</v>
      </c>
    </row>
    <row r="875" spans="1:21" x14ac:dyDescent="0.35">
      <c r="A875">
        <v>2024</v>
      </c>
      <c r="B875">
        <v>12</v>
      </c>
      <c r="C875">
        <v>4</v>
      </c>
      <c r="D875" s="1">
        <v>45627</v>
      </c>
      <c r="E875" s="4" t="s">
        <v>34</v>
      </c>
      <c r="F875" s="4" t="s">
        <v>24</v>
      </c>
      <c r="G875" s="4" t="s">
        <v>107</v>
      </c>
      <c r="H875">
        <v>148</v>
      </c>
      <c r="I875">
        <v>215</v>
      </c>
      <c r="J875">
        <v>2</v>
      </c>
      <c r="K875">
        <v>213</v>
      </c>
      <c r="L875">
        <v>379430.65</v>
      </c>
      <c r="M875">
        <v>4141</v>
      </c>
      <c r="N875">
        <v>375289.65</v>
      </c>
      <c r="O875">
        <v>212994.65</v>
      </c>
      <c r="P875">
        <v>162295</v>
      </c>
      <c r="Q875">
        <v>0.4325</v>
      </c>
      <c r="R875">
        <v>14</v>
      </c>
      <c r="S875">
        <v>48817.24</v>
      </c>
      <c r="T875">
        <v>0</v>
      </c>
      <c r="U875">
        <v>2535.7399999999998</v>
      </c>
    </row>
    <row r="876" spans="1:21" x14ac:dyDescent="0.35">
      <c r="A876">
        <v>2024</v>
      </c>
      <c r="B876">
        <v>12</v>
      </c>
      <c r="C876">
        <v>4</v>
      </c>
      <c r="D876" s="1">
        <v>45627</v>
      </c>
      <c r="E876" s="4" t="s">
        <v>34</v>
      </c>
      <c r="F876" s="4" t="s">
        <v>24</v>
      </c>
      <c r="G876" s="4" t="s">
        <v>108</v>
      </c>
      <c r="H876">
        <v>31</v>
      </c>
      <c r="I876">
        <v>40</v>
      </c>
      <c r="J876">
        <v>0</v>
      </c>
      <c r="K876">
        <v>40</v>
      </c>
      <c r="L876">
        <v>53587.94</v>
      </c>
      <c r="M876">
        <v>0</v>
      </c>
      <c r="N876">
        <v>53587.94</v>
      </c>
      <c r="O876">
        <v>30338</v>
      </c>
      <c r="P876">
        <v>23249.94</v>
      </c>
      <c r="Q876">
        <v>0.43390000000000001</v>
      </c>
      <c r="R876">
        <v>2</v>
      </c>
      <c r="S876">
        <v>5322.94</v>
      </c>
      <c r="T876">
        <v>0</v>
      </c>
      <c r="U876">
        <v>1728.64</v>
      </c>
    </row>
    <row r="877" spans="1:21" x14ac:dyDescent="0.35">
      <c r="A877">
        <v>2024</v>
      </c>
      <c r="B877">
        <v>12</v>
      </c>
      <c r="C877">
        <v>4</v>
      </c>
      <c r="D877" s="1">
        <v>45627</v>
      </c>
      <c r="E877" s="4" t="s">
        <v>34</v>
      </c>
      <c r="F877" s="4" t="s">
        <v>24</v>
      </c>
      <c r="G877" s="4" t="s">
        <v>109</v>
      </c>
      <c r="H877">
        <v>372</v>
      </c>
      <c r="I877">
        <v>545</v>
      </c>
      <c r="J877">
        <v>10</v>
      </c>
      <c r="K877">
        <v>535</v>
      </c>
      <c r="L877">
        <v>904899.38</v>
      </c>
      <c r="M877">
        <v>16070.7</v>
      </c>
      <c r="N877">
        <v>888828.68</v>
      </c>
      <c r="O877">
        <v>508867.15</v>
      </c>
      <c r="P877">
        <v>379961.53</v>
      </c>
      <c r="Q877">
        <v>0.42749999999999999</v>
      </c>
      <c r="R877">
        <v>50</v>
      </c>
      <c r="S877">
        <v>150699.68</v>
      </c>
      <c r="T877">
        <v>0</v>
      </c>
      <c r="U877">
        <v>2389.3200000000002</v>
      </c>
    </row>
    <row r="878" spans="1:21" x14ac:dyDescent="0.35">
      <c r="A878">
        <v>2024</v>
      </c>
      <c r="B878">
        <v>12</v>
      </c>
      <c r="C878">
        <v>4</v>
      </c>
      <c r="D878" s="1">
        <v>45627</v>
      </c>
      <c r="E878" s="4" t="s">
        <v>34</v>
      </c>
      <c r="F878" s="4" t="s">
        <v>26</v>
      </c>
      <c r="G878" s="4" t="s">
        <v>107</v>
      </c>
      <c r="H878">
        <v>7</v>
      </c>
      <c r="I878">
        <v>11</v>
      </c>
      <c r="J878">
        <v>2</v>
      </c>
      <c r="K878">
        <v>9</v>
      </c>
      <c r="L878">
        <v>6166</v>
      </c>
      <c r="M878">
        <v>1196</v>
      </c>
      <c r="N878">
        <v>4970</v>
      </c>
      <c r="O878">
        <v>2982</v>
      </c>
      <c r="P878">
        <v>1988</v>
      </c>
      <c r="Q878">
        <v>0.4</v>
      </c>
      <c r="R878">
        <v>0</v>
      </c>
      <c r="S878">
        <v>0</v>
      </c>
      <c r="T878">
        <v>0</v>
      </c>
      <c r="U878">
        <v>710</v>
      </c>
    </row>
    <row r="879" spans="1:21" x14ac:dyDescent="0.35">
      <c r="A879">
        <v>2024</v>
      </c>
      <c r="B879">
        <v>12</v>
      </c>
      <c r="C879">
        <v>4</v>
      </c>
      <c r="D879" s="1">
        <v>45627</v>
      </c>
      <c r="E879" s="4" t="s">
        <v>34</v>
      </c>
      <c r="F879" s="4" t="s">
        <v>26</v>
      </c>
      <c r="G879" s="4" t="s">
        <v>108</v>
      </c>
      <c r="H879">
        <v>2</v>
      </c>
      <c r="I879">
        <v>4</v>
      </c>
      <c r="J879">
        <v>0</v>
      </c>
      <c r="K879">
        <v>4</v>
      </c>
      <c r="L879">
        <v>3636</v>
      </c>
      <c r="M879">
        <v>0</v>
      </c>
      <c r="N879">
        <v>3636</v>
      </c>
      <c r="O879">
        <v>2181.6</v>
      </c>
      <c r="P879">
        <v>1454.4</v>
      </c>
      <c r="Q879">
        <v>0.4</v>
      </c>
      <c r="R879">
        <v>0</v>
      </c>
      <c r="S879">
        <v>0</v>
      </c>
      <c r="T879">
        <v>0</v>
      </c>
      <c r="U879">
        <v>1818</v>
      </c>
    </row>
    <row r="880" spans="1:21" x14ac:dyDescent="0.35">
      <c r="A880">
        <v>2024</v>
      </c>
      <c r="B880">
        <v>12</v>
      </c>
      <c r="C880">
        <v>4</v>
      </c>
      <c r="D880" s="1">
        <v>45627</v>
      </c>
      <c r="E880" s="4" t="s">
        <v>34</v>
      </c>
      <c r="F880" s="4" t="s">
        <v>26</v>
      </c>
      <c r="G880" s="4" t="s">
        <v>109</v>
      </c>
      <c r="H880">
        <v>55</v>
      </c>
      <c r="I880">
        <v>86</v>
      </c>
      <c r="J880">
        <v>0</v>
      </c>
      <c r="K880">
        <v>86</v>
      </c>
      <c r="L880">
        <v>61428.45</v>
      </c>
      <c r="M880">
        <v>0</v>
      </c>
      <c r="N880">
        <v>61428.45</v>
      </c>
      <c r="O880">
        <v>38600.400000000001</v>
      </c>
      <c r="P880">
        <v>22828.05</v>
      </c>
      <c r="Q880">
        <v>0.37159999999999999</v>
      </c>
      <c r="R880">
        <v>8</v>
      </c>
      <c r="S880">
        <v>15972.45</v>
      </c>
      <c r="T880">
        <v>0</v>
      </c>
      <c r="U880">
        <v>1116.8800000000001</v>
      </c>
    </row>
    <row r="881" spans="1:21" x14ac:dyDescent="0.35">
      <c r="A881">
        <v>2024</v>
      </c>
      <c r="B881">
        <v>12</v>
      </c>
      <c r="C881">
        <v>4</v>
      </c>
      <c r="D881" s="1">
        <v>45627</v>
      </c>
      <c r="E881" s="4" t="s">
        <v>36</v>
      </c>
      <c r="F881" s="4" t="s">
        <v>28</v>
      </c>
      <c r="G881" s="4" t="s">
        <v>107</v>
      </c>
      <c r="H881">
        <v>149</v>
      </c>
      <c r="I881">
        <v>215</v>
      </c>
      <c r="J881">
        <v>0</v>
      </c>
      <c r="K881">
        <v>215</v>
      </c>
      <c r="L881">
        <v>136272.82</v>
      </c>
      <c r="M881">
        <v>0</v>
      </c>
      <c r="N881">
        <v>136272.82</v>
      </c>
      <c r="O881">
        <v>49262.5</v>
      </c>
      <c r="P881">
        <v>87010.32</v>
      </c>
      <c r="Q881">
        <v>0.63849999999999996</v>
      </c>
      <c r="R881">
        <v>15</v>
      </c>
      <c r="S881">
        <v>17643.82</v>
      </c>
      <c r="T881">
        <v>0</v>
      </c>
      <c r="U881">
        <v>914.58</v>
      </c>
    </row>
    <row r="882" spans="1:21" x14ac:dyDescent="0.35">
      <c r="A882">
        <v>2024</v>
      </c>
      <c r="B882">
        <v>12</v>
      </c>
      <c r="C882">
        <v>4</v>
      </c>
      <c r="D882" s="1">
        <v>45627</v>
      </c>
      <c r="E882" s="4" t="s">
        <v>36</v>
      </c>
      <c r="F882" s="4" t="s">
        <v>28</v>
      </c>
      <c r="G882" s="4" t="s">
        <v>108</v>
      </c>
      <c r="H882">
        <v>254</v>
      </c>
      <c r="I882">
        <v>372</v>
      </c>
      <c r="J882">
        <v>0</v>
      </c>
      <c r="K882">
        <v>372</v>
      </c>
      <c r="L882">
        <v>121817.62</v>
      </c>
      <c r="M882">
        <v>0</v>
      </c>
      <c r="N882">
        <v>121817.62</v>
      </c>
      <c r="O882">
        <v>43500.800000000003</v>
      </c>
      <c r="P882">
        <v>78316.820000000007</v>
      </c>
      <c r="Q882">
        <v>0.64290000000000003</v>
      </c>
      <c r="R882">
        <v>22</v>
      </c>
      <c r="S882">
        <v>12328.62</v>
      </c>
      <c r="T882">
        <v>0</v>
      </c>
      <c r="U882">
        <v>479.6</v>
      </c>
    </row>
    <row r="883" spans="1:21" x14ac:dyDescent="0.35">
      <c r="A883">
        <v>2024</v>
      </c>
      <c r="B883">
        <v>12</v>
      </c>
      <c r="C883">
        <v>4</v>
      </c>
      <c r="D883" s="1">
        <v>45627</v>
      </c>
      <c r="E883" s="4" t="s">
        <v>36</v>
      </c>
      <c r="F883" s="4" t="s">
        <v>28</v>
      </c>
      <c r="G883" s="4" t="s">
        <v>109</v>
      </c>
      <c r="H883">
        <v>1330</v>
      </c>
      <c r="I883">
        <v>2036</v>
      </c>
      <c r="J883">
        <v>0</v>
      </c>
      <c r="K883">
        <v>2036</v>
      </c>
      <c r="L883">
        <v>972193.16</v>
      </c>
      <c r="M883">
        <v>0</v>
      </c>
      <c r="N883">
        <v>972193.16</v>
      </c>
      <c r="O883">
        <v>352536.1</v>
      </c>
      <c r="P883">
        <v>619657.06000000006</v>
      </c>
      <c r="Q883">
        <v>0.63739999999999997</v>
      </c>
      <c r="R883">
        <v>173</v>
      </c>
      <c r="S883">
        <v>149185.5</v>
      </c>
      <c r="T883">
        <v>0</v>
      </c>
      <c r="U883">
        <v>730.97</v>
      </c>
    </row>
    <row r="884" spans="1:21" x14ac:dyDescent="0.35">
      <c r="A884">
        <v>2024</v>
      </c>
      <c r="B884">
        <v>12</v>
      </c>
      <c r="C884">
        <v>4</v>
      </c>
      <c r="D884" s="1">
        <v>45627</v>
      </c>
      <c r="E884" s="4" t="s">
        <v>36</v>
      </c>
      <c r="F884" s="4" t="s">
        <v>35</v>
      </c>
      <c r="G884" s="4" t="s">
        <v>109</v>
      </c>
      <c r="H884">
        <v>1</v>
      </c>
      <c r="I884">
        <v>3</v>
      </c>
      <c r="J884">
        <v>0</v>
      </c>
      <c r="K884">
        <v>3</v>
      </c>
      <c r="L884">
        <v>912</v>
      </c>
      <c r="M884">
        <v>0</v>
      </c>
      <c r="N884">
        <v>912</v>
      </c>
      <c r="O884">
        <v>182.4</v>
      </c>
      <c r="P884">
        <v>729.6</v>
      </c>
      <c r="Q884">
        <v>0.8</v>
      </c>
      <c r="R884">
        <v>0</v>
      </c>
      <c r="S884">
        <v>0</v>
      </c>
      <c r="T884">
        <v>0</v>
      </c>
      <c r="U884">
        <v>912</v>
      </c>
    </row>
    <row r="885" spans="1:21" x14ac:dyDescent="0.35">
      <c r="A885">
        <v>2024</v>
      </c>
      <c r="B885">
        <v>12</v>
      </c>
      <c r="C885">
        <v>4</v>
      </c>
      <c r="D885" s="1">
        <v>45627</v>
      </c>
      <c r="E885" s="4" t="s">
        <v>36</v>
      </c>
      <c r="F885" s="4" t="s">
        <v>24</v>
      </c>
      <c r="G885" s="4" t="s">
        <v>107</v>
      </c>
      <c r="H885">
        <v>88</v>
      </c>
      <c r="I885">
        <v>126</v>
      </c>
      <c r="J885">
        <v>2</v>
      </c>
      <c r="K885">
        <v>124</v>
      </c>
      <c r="L885">
        <v>177079</v>
      </c>
      <c r="M885">
        <v>3292</v>
      </c>
      <c r="N885">
        <v>173787</v>
      </c>
      <c r="O885">
        <v>98975.25</v>
      </c>
      <c r="P885">
        <v>74811.75</v>
      </c>
      <c r="Q885">
        <v>0.43049999999999999</v>
      </c>
      <c r="R885">
        <v>11</v>
      </c>
      <c r="S885">
        <v>24437</v>
      </c>
      <c r="T885">
        <v>0</v>
      </c>
      <c r="U885">
        <v>1974.85</v>
      </c>
    </row>
    <row r="886" spans="1:21" x14ac:dyDescent="0.35">
      <c r="A886">
        <v>2024</v>
      </c>
      <c r="B886">
        <v>12</v>
      </c>
      <c r="C886">
        <v>4</v>
      </c>
      <c r="D886" s="1">
        <v>45627</v>
      </c>
      <c r="E886" s="4" t="s">
        <v>36</v>
      </c>
      <c r="F886" s="4" t="s">
        <v>24</v>
      </c>
      <c r="G886" s="4" t="s">
        <v>108</v>
      </c>
      <c r="H886">
        <v>45</v>
      </c>
      <c r="I886">
        <v>65</v>
      </c>
      <c r="J886">
        <v>4</v>
      </c>
      <c r="K886">
        <v>61</v>
      </c>
      <c r="L886">
        <v>110162.44</v>
      </c>
      <c r="M886">
        <v>6756</v>
      </c>
      <c r="N886">
        <v>103406.44</v>
      </c>
      <c r="O886">
        <v>57791.8</v>
      </c>
      <c r="P886">
        <v>45614.64</v>
      </c>
      <c r="Q886">
        <v>0.44109999999999999</v>
      </c>
      <c r="R886">
        <v>4</v>
      </c>
      <c r="S886">
        <v>18422.439999999999</v>
      </c>
      <c r="T886">
        <v>0</v>
      </c>
      <c r="U886">
        <v>2297.92</v>
      </c>
    </row>
    <row r="887" spans="1:21" x14ac:dyDescent="0.35">
      <c r="A887">
        <v>2024</v>
      </c>
      <c r="B887">
        <v>12</v>
      </c>
      <c r="C887">
        <v>4</v>
      </c>
      <c r="D887" s="1">
        <v>45627</v>
      </c>
      <c r="E887" s="4" t="s">
        <v>36</v>
      </c>
      <c r="F887" s="4" t="s">
        <v>24</v>
      </c>
      <c r="G887" s="4" t="s">
        <v>109</v>
      </c>
      <c r="H887">
        <v>210</v>
      </c>
      <c r="I887">
        <v>317</v>
      </c>
      <c r="J887">
        <v>13</v>
      </c>
      <c r="K887">
        <v>304</v>
      </c>
      <c r="L887">
        <v>501737.07</v>
      </c>
      <c r="M887">
        <v>20939</v>
      </c>
      <c r="N887">
        <v>480798.07</v>
      </c>
      <c r="O887">
        <v>273906.05</v>
      </c>
      <c r="P887">
        <v>206892.02</v>
      </c>
      <c r="Q887">
        <v>0.43030000000000002</v>
      </c>
      <c r="R887">
        <v>30</v>
      </c>
      <c r="S887">
        <v>68974.070000000007</v>
      </c>
      <c r="T887">
        <v>0</v>
      </c>
      <c r="U887">
        <v>2289.5100000000002</v>
      </c>
    </row>
    <row r="888" spans="1:21" x14ac:dyDescent="0.35">
      <c r="A888">
        <v>2024</v>
      </c>
      <c r="B888">
        <v>12</v>
      </c>
      <c r="C888">
        <v>4</v>
      </c>
      <c r="D888" s="1">
        <v>45627</v>
      </c>
      <c r="E888" s="4" t="s">
        <v>36</v>
      </c>
      <c r="F888" s="4" t="s">
        <v>26</v>
      </c>
      <c r="G888" s="4" t="s">
        <v>107</v>
      </c>
      <c r="H888">
        <v>2</v>
      </c>
      <c r="I888">
        <v>3</v>
      </c>
      <c r="J888">
        <v>0</v>
      </c>
      <c r="K888">
        <v>3</v>
      </c>
      <c r="L888">
        <v>1407</v>
      </c>
      <c r="M888">
        <v>0</v>
      </c>
      <c r="N888">
        <v>1407</v>
      </c>
      <c r="O888">
        <v>844.2</v>
      </c>
      <c r="P888">
        <v>562.79999999999995</v>
      </c>
      <c r="Q888">
        <v>0.4</v>
      </c>
      <c r="R888">
        <v>0</v>
      </c>
      <c r="S888">
        <v>0</v>
      </c>
      <c r="T888">
        <v>0</v>
      </c>
      <c r="U888">
        <v>703.5</v>
      </c>
    </row>
    <row r="889" spans="1:21" x14ac:dyDescent="0.35">
      <c r="A889">
        <v>2024</v>
      </c>
      <c r="B889">
        <v>12</v>
      </c>
      <c r="C889">
        <v>4</v>
      </c>
      <c r="D889" s="1">
        <v>45627</v>
      </c>
      <c r="E889" s="4" t="s">
        <v>36</v>
      </c>
      <c r="F889" s="4" t="s">
        <v>26</v>
      </c>
      <c r="G889" s="4" t="s">
        <v>109</v>
      </c>
      <c r="H889">
        <v>62</v>
      </c>
      <c r="I889">
        <v>102</v>
      </c>
      <c r="J889">
        <v>0</v>
      </c>
      <c r="K889">
        <v>102</v>
      </c>
      <c r="L889">
        <v>80228.81</v>
      </c>
      <c r="M889">
        <v>0</v>
      </c>
      <c r="N889">
        <v>80228.81</v>
      </c>
      <c r="O889">
        <v>51142.8</v>
      </c>
      <c r="P889">
        <v>29086.01</v>
      </c>
      <c r="Q889">
        <v>0.36249999999999999</v>
      </c>
      <c r="R889">
        <v>12</v>
      </c>
      <c r="S889">
        <v>15576.81</v>
      </c>
      <c r="T889">
        <v>0</v>
      </c>
      <c r="U889">
        <v>1294.01</v>
      </c>
    </row>
    <row r="890" spans="1:21" x14ac:dyDescent="0.35">
      <c r="A890">
        <v>2024</v>
      </c>
      <c r="B890">
        <v>12</v>
      </c>
      <c r="C890">
        <v>4</v>
      </c>
      <c r="D890" s="1">
        <v>45627</v>
      </c>
      <c r="E890" s="4" t="s">
        <v>23</v>
      </c>
      <c r="F890" s="4" t="s">
        <v>28</v>
      </c>
      <c r="G890" s="4" t="s">
        <v>107</v>
      </c>
      <c r="H890">
        <v>204</v>
      </c>
      <c r="I890">
        <v>309</v>
      </c>
      <c r="J890">
        <v>0</v>
      </c>
      <c r="K890">
        <v>309</v>
      </c>
      <c r="L890">
        <v>99463.26</v>
      </c>
      <c r="M890">
        <v>0</v>
      </c>
      <c r="N890">
        <v>99463.26</v>
      </c>
      <c r="O890">
        <v>36554.699999999997</v>
      </c>
      <c r="P890">
        <v>62908.56</v>
      </c>
      <c r="Q890">
        <v>0.63249999999999995</v>
      </c>
      <c r="R890">
        <v>30</v>
      </c>
      <c r="S890">
        <v>19357.259999999998</v>
      </c>
      <c r="T890">
        <v>0</v>
      </c>
      <c r="U890">
        <v>487.57</v>
      </c>
    </row>
    <row r="891" spans="1:21" x14ac:dyDescent="0.35">
      <c r="A891">
        <v>2024</v>
      </c>
      <c r="B891">
        <v>12</v>
      </c>
      <c r="C891">
        <v>4</v>
      </c>
      <c r="D891" s="1">
        <v>45627</v>
      </c>
      <c r="E891" s="4" t="s">
        <v>23</v>
      </c>
      <c r="F891" s="4" t="s">
        <v>28</v>
      </c>
      <c r="G891" s="4" t="s">
        <v>108</v>
      </c>
      <c r="H891">
        <v>77</v>
      </c>
      <c r="I891">
        <v>114</v>
      </c>
      <c r="J891">
        <v>0</v>
      </c>
      <c r="K891">
        <v>114</v>
      </c>
      <c r="L891">
        <v>76999.59</v>
      </c>
      <c r="M891">
        <v>0</v>
      </c>
      <c r="N891">
        <v>76999.59</v>
      </c>
      <c r="O891">
        <v>28049.7</v>
      </c>
      <c r="P891">
        <v>48949.89</v>
      </c>
      <c r="Q891">
        <v>0.63570000000000004</v>
      </c>
      <c r="R891">
        <v>11</v>
      </c>
      <c r="S891">
        <v>10214.59</v>
      </c>
      <c r="T891">
        <v>0</v>
      </c>
      <c r="U891">
        <v>999.99</v>
      </c>
    </row>
    <row r="892" spans="1:21" x14ac:dyDescent="0.35">
      <c r="A892">
        <v>2024</v>
      </c>
      <c r="B892">
        <v>12</v>
      </c>
      <c r="C892">
        <v>4</v>
      </c>
      <c r="D892" s="1">
        <v>45627</v>
      </c>
      <c r="E892" s="4" t="s">
        <v>23</v>
      </c>
      <c r="F892" s="4" t="s">
        <v>28</v>
      </c>
      <c r="G892" s="4" t="s">
        <v>109</v>
      </c>
      <c r="H892">
        <v>1110</v>
      </c>
      <c r="I892">
        <v>1721</v>
      </c>
      <c r="J892">
        <v>0</v>
      </c>
      <c r="K892">
        <v>1721</v>
      </c>
      <c r="L892">
        <v>815811.09</v>
      </c>
      <c r="M892">
        <v>0</v>
      </c>
      <c r="N892">
        <v>815811.09</v>
      </c>
      <c r="O892">
        <v>295261.40000000002</v>
      </c>
      <c r="P892">
        <v>520549.69</v>
      </c>
      <c r="Q892">
        <v>0.6381</v>
      </c>
      <c r="R892">
        <v>114</v>
      </c>
      <c r="S892">
        <v>101907.06</v>
      </c>
      <c r="T892">
        <v>0</v>
      </c>
      <c r="U892">
        <v>734.96</v>
      </c>
    </row>
    <row r="893" spans="1:21" x14ac:dyDescent="0.35">
      <c r="A893">
        <v>2024</v>
      </c>
      <c r="B893">
        <v>12</v>
      </c>
      <c r="C893">
        <v>4</v>
      </c>
      <c r="D893" s="1">
        <v>45627</v>
      </c>
      <c r="E893" s="4" t="s">
        <v>23</v>
      </c>
      <c r="F893" s="4" t="s">
        <v>24</v>
      </c>
      <c r="G893" s="4" t="s">
        <v>107</v>
      </c>
      <c r="H893">
        <v>105</v>
      </c>
      <c r="I893">
        <v>147</v>
      </c>
      <c r="J893">
        <v>4</v>
      </c>
      <c r="K893">
        <v>143</v>
      </c>
      <c r="L893">
        <v>226681.75</v>
      </c>
      <c r="M893">
        <v>8173.15</v>
      </c>
      <c r="N893">
        <v>218508.6</v>
      </c>
      <c r="O893">
        <v>126402.65</v>
      </c>
      <c r="P893">
        <v>92105.95</v>
      </c>
      <c r="Q893">
        <v>0.42149999999999999</v>
      </c>
      <c r="R893">
        <v>12</v>
      </c>
      <c r="S893">
        <v>32707.599999999999</v>
      </c>
      <c r="T893">
        <v>0</v>
      </c>
      <c r="U893">
        <v>2081.0300000000002</v>
      </c>
    </row>
    <row r="894" spans="1:21" x14ac:dyDescent="0.35">
      <c r="A894">
        <v>2024</v>
      </c>
      <c r="B894">
        <v>12</v>
      </c>
      <c r="C894">
        <v>4</v>
      </c>
      <c r="D894" s="1">
        <v>45627</v>
      </c>
      <c r="E894" s="4" t="s">
        <v>23</v>
      </c>
      <c r="F894" s="4" t="s">
        <v>24</v>
      </c>
      <c r="G894" s="4" t="s">
        <v>109</v>
      </c>
      <c r="H894">
        <v>252</v>
      </c>
      <c r="I894">
        <v>393</v>
      </c>
      <c r="J894">
        <v>13</v>
      </c>
      <c r="K894">
        <v>380</v>
      </c>
      <c r="L894">
        <v>419240.17</v>
      </c>
      <c r="M894">
        <v>13407</v>
      </c>
      <c r="N894">
        <v>405833.17</v>
      </c>
      <c r="O894">
        <v>231931.15</v>
      </c>
      <c r="P894">
        <v>173902.02</v>
      </c>
      <c r="Q894">
        <v>0.42849999999999999</v>
      </c>
      <c r="R894">
        <v>31</v>
      </c>
      <c r="S894">
        <v>59105.17</v>
      </c>
      <c r="T894">
        <v>0</v>
      </c>
      <c r="U894">
        <v>1610.45</v>
      </c>
    </row>
    <row r="895" spans="1:21" x14ac:dyDescent="0.35">
      <c r="A895">
        <v>2024</v>
      </c>
      <c r="B895">
        <v>12</v>
      </c>
      <c r="C895">
        <v>4</v>
      </c>
      <c r="D895" s="1">
        <v>45627</v>
      </c>
      <c r="E895" s="4" t="s">
        <v>23</v>
      </c>
      <c r="F895" s="4" t="s">
        <v>26</v>
      </c>
      <c r="G895" s="4" t="s">
        <v>107</v>
      </c>
      <c r="H895">
        <v>8</v>
      </c>
      <c r="I895">
        <v>11</v>
      </c>
      <c r="J895">
        <v>0</v>
      </c>
      <c r="K895">
        <v>11</v>
      </c>
      <c r="L895">
        <v>6208.04</v>
      </c>
      <c r="M895">
        <v>0</v>
      </c>
      <c r="N895">
        <v>6208.04</v>
      </c>
      <c r="O895">
        <v>3775.8</v>
      </c>
      <c r="P895">
        <v>2432.2399999999998</v>
      </c>
      <c r="Q895">
        <v>0.39179999999999998</v>
      </c>
      <c r="R895">
        <v>1</v>
      </c>
      <c r="S895">
        <v>977.04</v>
      </c>
      <c r="T895">
        <v>0</v>
      </c>
      <c r="U895">
        <v>776.01</v>
      </c>
    </row>
    <row r="896" spans="1:21" x14ac:dyDescent="0.35">
      <c r="A896">
        <v>2024</v>
      </c>
      <c r="B896">
        <v>12</v>
      </c>
      <c r="C896">
        <v>4</v>
      </c>
      <c r="D896" s="1">
        <v>45627</v>
      </c>
      <c r="E896" s="4" t="s">
        <v>23</v>
      </c>
      <c r="F896" s="4" t="s">
        <v>26</v>
      </c>
      <c r="G896" s="4" t="s">
        <v>109</v>
      </c>
      <c r="H896">
        <v>40</v>
      </c>
      <c r="I896">
        <v>56</v>
      </c>
      <c r="J896">
        <v>1</v>
      </c>
      <c r="K896">
        <v>55</v>
      </c>
      <c r="L896">
        <v>37230.32</v>
      </c>
      <c r="M896">
        <v>778</v>
      </c>
      <c r="N896">
        <v>36452.32</v>
      </c>
      <c r="O896">
        <v>22262.400000000001</v>
      </c>
      <c r="P896">
        <v>14189.92</v>
      </c>
      <c r="Q896">
        <v>0.38929999999999998</v>
      </c>
      <c r="R896">
        <v>6</v>
      </c>
      <c r="S896">
        <v>3535.32</v>
      </c>
      <c r="T896">
        <v>0</v>
      </c>
      <c r="U896">
        <v>911.31</v>
      </c>
    </row>
    <row r="897" spans="1:21" x14ac:dyDescent="0.35">
      <c r="A897">
        <v>2024</v>
      </c>
      <c r="B897">
        <v>12</v>
      </c>
      <c r="C897">
        <v>4</v>
      </c>
      <c r="D897" s="1">
        <v>45627</v>
      </c>
      <c r="E897" s="4" t="s">
        <v>25</v>
      </c>
      <c r="F897" s="4" t="s">
        <v>28</v>
      </c>
      <c r="G897" s="4" t="s">
        <v>107</v>
      </c>
      <c r="H897">
        <v>57</v>
      </c>
      <c r="I897">
        <v>88</v>
      </c>
      <c r="J897">
        <v>0</v>
      </c>
      <c r="K897">
        <v>88</v>
      </c>
      <c r="L897">
        <v>42796.67</v>
      </c>
      <c r="M897">
        <v>0</v>
      </c>
      <c r="N897">
        <v>42796.67</v>
      </c>
      <c r="O897">
        <v>15307.6</v>
      </c>
      <c r="P897">
        <v>27489.07</v>
      </c>
      <c r="Q897">
        <v>0.64229999999999998</v>
      </c>
      <c r="R897">
        <v>5</v>
      </c>
      <c r="S897">
        <v>3533.67</v>
      </c>
      <c r="T897">
        <v>0</v>
      </c>
      <c r="U897">
        <v>750.82</v>
      </c>
    </row>
    <row r="898" spans="1:21" x14ac:dyDescent="0.35">
      <c r="A898">
        <v>2024</v>
      </c>
      <c r="B898">
        <v>12</v>
      </c>
      <c r="C898">
        <v>4</v>
      </c>
      <c r="D898" s="1">
        <v>45627</v>
      </c>
      <c r="E898" s="4" t="s">
        <v>25</v>
      </c>
      <c r="F898" s="4" t="s">
        <v>28</v>
      </c>
      <c r="G898" s="4" t="s">
        <v>109</v>
      </c>
      <c r="H898">
        <v>1173</v>
      </c>
      <c r="I898">
        <v>1808</v>
      </c>
      <c r="J898">
        <v>0</v>
      </c>
      <c r="K898">
        <v>1808</v>
      </c>
      <c r="L898">
        <v>946171.44</v>
      </c>
      <c r="M898">
        <v>0</v>
      </c>
      <c r="N898">
        <v>946171.44</v>
      </c>
      <c r="O898">
        <v>343128.1</v>
      </c>
      <c r="P898">
        <v>603043.34</v>
      </c>
      <c r="Q898">
        <v>0.63739999999999997</v>
      </c>
      <c r="R898">
        <v>154</v>
      </c>
      <c r="S898">
        <v>137550.98000000001</v>
      </c>
      <c r="T898">
        <v>0</v>
      </c>
      <c r="U898">
        <v>806.63</v>
      </c>
    </row>
    <row r="899" spans="1:21" x14ac:dyDescent="0.35">
      <c r="A899">
        <v>2024</v>
      </c>
      <c r="B899">
        <v>12</v>
      </c>
      <c r="C899">
        <v>4</v>
      </c>
      <c r="D899" s="1">
        <v>45627</v>
      </c>
      <c r="E899" s="4" t="s">
        <v>25</v>
      </c>
      <c r="F899" s="4" t="s">
        <v>24</v>
      </c>
      <c r="G899" s="4" t="s">
        <v>107</v>
      </c>
      <c r="H899">
        <v>46</v>
      </c>
      <c r="I899">
        <v>64</v>
      </c>
      <c r="J899">
        <v>0</v>
      </c>
      <c r="K899">
        <v>64</v>
      </c>
      <c r="L899">
        <v>119227.02</v>
      </c>
      <c r="M899">
        <v>0</v>
      </c>
      <c r="N899">
        <v>119227.02</v>
      </c>
      <c r="O899">
        <v>68147.75</v>
      </c>
      <c r="P899">
        <v>51079.27</v>
      </c>
      <c r="Q899">
        <v>0.4284</v>
      </c>
      <c r="R899">
        <v>7</v>
      </c>
      <c r="S899">
        <v>19901.22</v>
      </c>
      <c r="T899">
        <v>0</v>
      </c>
      <c r="U899">
        <v>2591.89</v>
      </c>
    </row>
    <row r="900" spans="1:21" x14ac:dyDescent="0.35">
      <c r="A900">
        <v>2024</v>
      </c>
      <c r="B900">
        <v>12</v>
      </c>
      <c r="C900">
        <v>4</v>
      </c>
      <c r="D900" s="1">
        <v>45627</v>
      </c>
      <c r="E900" s="4" t="s">
        <v>25</v>
      </c>
      <c r="F900" s="4" t="s">
        <v>24</v>
      </c>
      <c r="G900" s="4" t="s">
        <v>109</v>
      </c>
      <c r="H900">
        <v>345</v>
      </c>
      <c r="I900">
        <v>511</v>
      </c>
      <c r="J900">
        <v>9</v>
      </c>
      <c r="K900">
        <v>502</v>
      </c>
      <c r="L900">
        <v>760742.17</v>
      </c>
      <c r="M900">
        <v>8815</v>
      </c>
      <c r="N900">
        <v>751927.17</v>
      </c>
      <c r="O900">
        <v>422896.1</v>
      </c>
      <c r="P900">
        <v>329031.07</v>
      </c>
      <c r="Q900">
        <v>0.43759999999999999</v>
      </c>
      <c r="R900">
        <v>25</v>
      </c>
      <c r="S900">
        <v>74958.09</v>
      </c>
      <c r="T900">
        <v>0</v>
      </c>
      <c r="U900">
        <v>2179.5</v>
      </c>
    </row>
    <row r="901" spans="1:21" x14ac:dyDescent="0.35">
      <c r="A901">
        <v>2024</v>
      </c>
      <c r="B901">
        <v>12</v>
      </c>
      <c r="C901">
        <v>4</v>
      </c>
      <c r="D901" s="1">
        <v>45627</v>
      </c>
      <c r="E901" s="4" t="s">
        <v>25</v>
      </c>
      <c r="F901" s="4" t="s">
        <v>26</v>
      </c>
      <c r="G901" s="4" t="s">
        <v>107</v>
      </c>
      <c r="H901">
        <v>16</v>
      </c>
      <c r="I901">
        <v>23</v>
      </c>
      <c r="J901">
        <v>0</v>
      </c>
      <c r="K901">
        <v>23</v>
      </c>
      <c r="L901">
        <v>21968.74</v>
      </c>
      <c r="M901">
        <v>0</v>
      </c>
      <c r="N901">
        <v>21968.74</v>
      </c>
      <c r="O901">
        <v>13749</v>
      </c>
      <c r="P901">
        <v>8219.74</v>
      </c>
      <c r="Q901">
        <v>0.37419999999999998</v>
      </c>
      <c r="R901">
        <v>2</v>
      </c>
      <c r="S901">
        <v>3589.74</v>
      </c>
      <c r="T901">
        <v>0</v>
      </c>
      <c r="U901">
        <v>1373.05</v>
      </c>
    </row>
    <row r="902" spans="1:21" x14ac:dyDescent="0.35">
      <c r="A902">
        <v>2024</v>
      </c>
      <c r="B902">
        <v>12</v>
      </c>
      <c r="C902">
        <v>4</v>
      </c>
      <c r="D902" s="1">
        <v>45627</v>
      </c>
      <c r="E902" s="4" t="s">
        <v>25</v>
      </c>
      <c r="F902" s="4" t="s">
        <v>26</v>
      </c>
      <c r="G902" s="4" t="s">
        <v>109</v>
      </c>
      <c r="H902">
        <v>52</v>
      </c>
      <c r="I902">
        <v>77</v>
      </c>
      <c r="J902">
        <v>4</v>
      </c>
      <c r="K902">
        <v>73</v>
      </c>
      <c r="L902">
        <v>55157.24</v>
      </c>
      <c r="M902">
        <v>2371</v>
      </c>
      <c r="N902">
        <v>52786.239999999998</v>
      </c>
      <c r="O902">
        <v>32181.599999999999</v>
      </c>
      <c r="P902">
        <v>20604.64</v>
      </c>
      <c r="Q902">
        <v>0.39029999999999998</v>
      </c>
      <c r="R902">
        <v>5</v>
      </c>
      <c r="S902">
        <v>4361.84</v>
      </c>
      <c r="T902">
        <v>0</v>
      </c>
      <c r="U902">
        <v>1015.12</v>
      </c>
    </row>
    <row r="903" spans="1:21" x14ac:dyDescent="0.35">
      <c r="A903">
        <v>2024</v>
      </c>
      <c r="B903">
        <v>12</v>
      </c>
      <c r="C903">
        <v>4</v>
      </c>
      <c r="D903" s="1">
        <v>45627</v>
      </c>
      <c r="E903" s="4" t="s">
        <v>29</v>
      </c>
      <c r="F903" s="4" t="s">
        <v>28</v>
      </c>
      <c r="G903" s="4" t="s">
        <v>107</v>
      </c>
      <c r="H903">
        <v>430</v>
      </c>
      <c r="I903">
        <v>658</v>
      </c>
      <c r="J903">
        <v>0</v>
      </c>
      <c r="K903">
        <v>658</v>
      </c>
      <c r="L903">
        <v>303140.59999999998</v>
      </c>
      <c r="M903">
        <v>0</v>
      </c>
      <c r="N903">
        <v>303140.59999999998</v>
      </c>
      <c r="O903">
        <v>109888.8</v>
      </c>
      <c r="P903">
        <v>193251.8</v>
      </c>
      <c r="Q903">
        <v>0.63749999999999996</v>
      </c>
      <c r="R903">
        <v>62</v>
      </c>
      <c r="S903">
        <v>51428.88</v>
      </c>
      <c r="T903">
        <v>0</v>
      </c>
      <c r="U903">
        <v>704.98</v>
      </c>
    </row>
    <row r="904" spans="1:21" x14ac:dyDescent="0.35">
      <c r="A904">
        <v>2024</v>
      </c>
      <c r="B904">
        <v>12</v>
      </c>
      <c r="C904">
        <v>4</v>
      </c>
      <c r="D904" s="1">
        <v>45627</v>
      </c>
      <c r="E904" s="4" t="s">
        <v>29</v>
      </c>
      <c r="F904" s="4" t="s">
        <v>28</v>
      </c>
      <c r="G904" s="4" t="s">
        <v>108</v>
      </c>
      <c r="H904">
        <v>62</v>
      </c>
      <c r="I904">
        <v>88</v>
      </c>
      <c r="J904">
        <v>0</v>
      </c>
      <c r="K904">
        <v>88</v>
      </c>
      <c r="L904">
        <v>50401.7</v>
      </c>
      <c r="M904">
        <v>0</v>
      </c>
      <c r="N904">
        <v>50401.7</v>
      </c>
      <c r="O904">
        <v>18726.400000000001</v>
      </c>
      <c r="P904">
        <v>31675.3</v>
      </c>
      <c r="Q904">
        <v>0.62849999999999995</v>
      </c>
      <c r="R904">
        <v>10</v>
      </c>
      <c r="S904">
        <v>9952.9599999999991</v>
      </c>
      <c r="T904">
        <v>0</v>
      </c>
      <c r="U904">
        <v>812.93</v>
      </c>
    </row>
    <row r="905" spans="1:21" x14ac:dyDescent="0.35">
      <c r="A905">
        <v>2024</v>
      </c>
      <c r="B905">
        <v>12</v>
      </c>
      <c r="C905">
        <v>4</v>
      </c>
      <c r="D905" s="1">
        <v>45627</v>
      </c>
      <c r="E905" s="4" t="s">
        <v>29</v>
      </c>
      <c r="F905" s="4" t="s">
        <v>28</v>
      </c>
      <c r="G905" s="4" t="s">
        <v>109</v>
      </c>
      <c r="H905">
        <v>1601</v>
      </c>
      <c r="I905">
        <v>2497</v>
      </c>
      <c r="J905">
        <v>0</v>
      </c>
      <c r="K905">
        <v>2497</v>
      </c>
      <c r="L905">
        <v>1209340.23</v>
      </c>
      <c r="M905">
        <v>0</v>
      </c>
      <c r="N905">
        <v>1209340.23</v>
      </c>
      <c r="O905">
        <v>438970.7</v>
      </c>
      <c r="P905">
        <v>770369.53</v>
      </c>
      <c r="Q905">
        <v>0.63700000000000001</v>
      </c>
      <c r="R905">
        <v>213</v>
      </c>
      <c r="S905">
        <v>181915.72</v>
      </c>
      <c r="T905">
        <v>0</v>
      </c>
      <c r="U905">
        <v>755.37</v>
      </c>
    </row>
    <row r="906" spans="1:21" x14ac:dyDescent="0.35">
      <c r="A906">
        <v>2024</v>
      </c>
      <c r="B906">
        <v>12</v>
      </c>
      <c r="C906">
        <v>4</v>
      </c>
      <c r="D906" s="1">
        <v>45627</v>
      </c>
      <c r="E906" s="4" t="s">
        <v>29</v>
      </c>
      <c r="F906" s="4" t="s">
        <v>24</v>
      </c>
      <c r="G906" s="4" t="s">
        <v>107</v>
      </c>
      <c r="H906">
        <v>15</v>
      </c>
      <c r="I906">
        <v>26</v>
      </c>
      <c r="J906">
        <v>1</v>
      </c>
      <c r="K906">
        <v>25</v>
      </c>
      <c r="L906">
        <v>21807.360000000001</v>
      </c>
      <c r="M906">
        <v>864</v>
      </c>
      <c r="N906">
        <v>20943.36</v>
      </c>
      <c r="O906">
        <v>11880</v>
      </c>
      <c r="P906">
        <v>9063.36</v>
      </c>
      <c r="Q906">
        <v>0.43280000000000002</v>
      </c>
      <c r="R906">
        <v>2</v>
      </c>
      <c r="S906">
        <v>2799.36</v>
      </c>
      <c r="T906">
        <v>0</v>
      </c>
      <c r="U906">
        <v>1396.22</v>
      </c>
    </row>
    <row r="907" spans="1:21" x14ac:dyDescent="0.35">
      <c r="A907">
        <v>2024</v>
      </c>
      <c r="B907">
        <v>12</v>
      </c>
      <c r="C907">
        <v>4</v>
      </c>
      <c r="D907" s="1">
        <v>45627</v>
      </c>
      <c r="E907" s="4" t="s">
        <v>29</v>
      </c>
      <c r="F907" s="4" t="s">
        <v>24</v>
      </c>
      <c r="G907" s="4" t="s">
        <v>108</v>
      </c>
      <c r="H907">
        <v>19</v>
      </c>
      <c r="I907">
        <v>23</v>
      </c>
      <c r="J907">
        <v>0</v>
      </c>
      <c r="K907">
        <v>23</v>
      </c>
      <c r="L907">
        <v>16910.18</v>
      </c>
      <c r="M907">
        <v>0</v>
      </c>
      <c r="N907">
        <v>16910.18</v>
      </c>
      <c r="O907">
        <v>9386.2999999999993</v>
      </c>
      <c r="P907">
        <v>7523.88</v>
      </c>
      <c r="Q907">
        <v>0.44490000000000002</v>
      </c>
      <c r="R907">
        <v>1</v>
      </c>
      <c r="S907">
        <v>2070.1799999999998</v>
      </c>
      <c r="T907">
        <v>0</v>
      </c>
      <c r="U907">
        <v>890.01</v>
      </c>
    </row>
    <row r="908" spans="1:21" x14ac:dyDescent="0.35">
      <c r="A908">
        <v>2024</v>
      </c>
      <c r="B908">
        <v>12</v>
      </c>
      <c r="C908">
        <v>4</v>
      </c>
      <c r="D908" s="1">
        <v>45627</v>
      </c>
      <c r="E908" s="4" t="s">
        <v>29</v>
      </c>
      <c r="F908" s="4" t="s">
        <v>24</v>
      </c>
      <c r="G908" s="4" t="s">
        <v>109</v>
      </c>
      <c r="H908">
        <v>308</v>
      </c>
      <c r="I908">
        <v>460</v>
      </c>
      <c r="J908">
        <v>8</v>
      </c>
      <c r="K908">
        <v>452</v>
      </c>
      <c r="L908">
        <v>922851.32</v>
      </c>
      <c r="M908">
        <v>17825</v>
      </c>
      <c r="N908">
        <v>905026.32</v>
      </c>
      <c r="O908">
        <v>516227.8</v>
      </c>
      <c r="P908">
        <v>388798.52</v>
      </c>
      <c r="Q908">
        <v>0.42959999999999998</v>
      </c>
      <c r="R908">
        <v>36</v>
      </c>
      <c r="S908">
        <v>127898.29</v>
      </c>
      <c r="T908">
        <v>0</v>
      </c>
      <c r="U908">
        <v>2938.4</v>
      </c>
    </row>
    <row r="909" spans="1:21" x14ac:dyDescent="0.35">
      <c r="A909">
        <v>2024</v>
      </c>
      <c r="B909">
        <v>12</v>
      </c>
      <c r="C909">
        <v>4</v>
      </c>
      <c r="D909" s="1">
        <v>45627</v>
      </c>
      <c r="E909" s="4" t="s">
        <v>29</v>
      </c>
      <c r="F909" s="4" t="s">
        <v>26</v>
      </c>
      <c r="G909" s="4" t="s">
        <v>107</v>
      </c>
      <c r="H909">
        <v>16</v>
      </c>
      <c r="I909">
        <v>21</v>
      </c>
      <c r="J909">
        <v>0</v>
      </c>
      <c r="K909">
        <v>21</v>
      </c>
      <c r="L909">
        <v>11805.8</v>
      </c>
      <c r="M909">
        <v>0</v>
      </c>
      <c r="N909">
        <v>11805.8</v>
      </c>
      <c r="O909">
        <v>7119.6</v>
      </c>
      <c r="P909">
        <v>4686.2</v>
      </c>
      <c r="Q909">
        <v>0.39689999999999998</v>
      </c>
      <c r="R909">
        <v>1</v>
      </c>
      <c r="S909">
        <v>541.79999999999995</v>
      </c>
      <c r="T909">
        <v>0</v>
      </c>
      <c r="U909">
        <v>737.86</v>
      </c>
    </row>
    <row r="910" spans="1:21" x14ac:dyDescent="0.35">
      <c r="A910">
        <v>2024</v>
      </c>
      <c r="B910">
        <v>12</v>
      </c>
      <c r="C910">
        <v>4</v>
      </c>
      <c r="D910" s="1">
        <v>45627</v>
      </c>
      <c r="E910" s="4" t="s">
        <v>29</v>
      </c>
      <c r="F910" s="4" t="s">
        <v>26</v>
      </c>
      <c r="G910" s="4" t="s">
        <v>109</v>
      </c>
      <c r="H910">
        <v>30</v>
      </c>
      <c r="I910">
        <v>44</v>
      </c>
      <c r="J910">
        <v>0</v>
      </c>
      <c r="K910">
        <v>44</v>
      </c>
      <c r="L910">
        <v>35598.89</v>
      </c>
      <c r="M910">
        <v>0</v>
      </c>
      <c r="N910">
        <v>35598.89</v>
      </c>
      <c r="O910">
        <v>21759</v>
      </c>
      <c r="P910">
        <v>13839.89</v>
      </c>
      <c r="Q910">
        <v>0.38879999999999998</v>
      </c>
      <c r="R910">
        <v>3</v>
      </c>
      <c r="S910">
        <v>2372.89</v>
      </c>
      <c r="T910">
        <v>0</v>
      </c>
      <c r="U910">
        <v>1186.6300000000001</v>
      </c>
    </row>
    <row r="911" spans="1:21" x14ac:dyDescent="0.35">
      <c r="A911">
        <v>2024</v>
      </c>
      <c r="B911">
        <v>12</v>
      </c>
      <c r="C911">
        <v>4</v>
      </c>
      <c r="D911" s="1">
        <v>45627</v>
      </c>
      <c r="E911" s="4" t="s">
        <v>31</v>
      </c>
      <c r="F911" s="4" t="s">
        <v>28</v>
      </c>
      <c r="G911" s="4" t="s">
        <v>107</v>
      </c>
      <c r="H911">
        <v>131</v>
      </c>
      <c r="I911">
        <v>190</v>
      </c>
      <c r="J911">
        <v>0</v>
      </c>
      <c r="K911">
        <v>190</v>
      </c>
      <c r="L911">
        <v>73318.86</v>
      </c>
      <c r="M911">
        <v>0</v>
      </c>
      <c r="N911">
        <v>73318.86</v>
      </c>
      <c r="O911">
        <v>26638.5</v>
      </c>
      <c r="P911">
        <v>46680.36</v>
      </c>
      <c r="Q911">
        <v>0.63670000000000004</v>
      </c>
      <c r="R911">
        <v>16</v>
      </c>
      <c r="S911">
        <v>9057.86</v>
      </c>
      <c r="T911">
        <v>0</v>
      </c>
      <c r="U911">
        <v>559.69000000000005</v>
      </c>
    </row>
    <row r="912" spans="1:21" x14ac:dyDescent="0.35">
      <c r="A912">
        <v>2024</v>
      </c>
      <c r="B912">
        <v>12</v>
      </c>
      <c r="C912">
        <v>4</v>
      </c>
      <c r="D912" s="1">
        <v>45627</v>
      </c>
      <c r="E912" s="4" t="s">
        <v>31</v>
      </c>
      <c r="F912" s="4" t="s">
        <v>28</v>
      </c>
      <c r="G912" s="4" t="s">
        <v>108</v>
      </c>
      <c r="H912">
        <v>484</v>
      </c>
      <c r="I912">
        <v>733</v>
      </c>
      <c r="J912">
        <v>0</v>
      </c>
      <c r="K912">
        <v>733</v>
      </c>
      <c r="L912">
        <v>283365.78999999998</v>
      </c>
      <c r="M912">
        <v>0</v>
      </c>
      <c r="N912">
        <v>283365.78999999998</v>
      </c>
      <c r="O912">
        <v>102994.5</v>
      </c>
      <c r="P912">
        <v>180371.29</v>
      </c>
      <c r="Q912">
        <v>0.63649999999999995</v>
      </c>
      <c r="R912">
        <v>62</v>
      </c>
      <c r="S912">
        <v>44900.37</v>
      </c>
      <c r="T912">
        <v>0</v>
      </c>
      <c r="U912">
        <v>585.47</v>
      </c>
    </row>
    <row r="913" spans="1:21" x14ac:dyDescent="0.35">
      <c r="A913">
        <v>2024</v>
      </c>
      <c r="B913">
        <v>12</v>
      </c>
      <c r="C913">
        <v>4</v>
      </c>
      <c r="D913" s="1">
        <v>45627</v>
      </c>
      <c r="E913" s="4" t="s">
        <v>31</v>
      </c>
      <c r="F913" s="4" t="s">
        <v>28</v>
      </c>
      <c r="G913" s="4" t="s">
        <v>109</v>
      </c>
      <c r="H913">
        <v>1757</v>
      </c>
      <c r="I913">
        <v>2690</v>
      </c>
      <c r="J913">
        <v>0</v>
      </c>
      <c r="K913">
        <v>2690</v>
      </c>
      <c r="L913">
        <v>1337795.74</v>
      </c>
      <c r="M913">
        <v>0</v>
      </c>
      <c r="N913">
        <v>1337795.74</v>
      </c>
      <c r="O913">
        <v>484970.5</v>
      </c>
      <c r="P913">
        <v>852825.24</v>
      </c>
      <c r="Q913">
        <v>0.63749999999999996</v>
      </c>
      <c r="R913">
        <v>228</v>
      </c>
      <c r="S913">
        <v>198602.86</v>
      </c>
      <c r="T913">
        <v>0</v>
      </c>
      <c r="U913">
        <v>761.41</v>
      </c>
    </row>
    <row r="914" spans="1:21" x14ac:dyDescent="0.35">
      <c r="A914">
        <v>2024</v>
      </c>
      <c r="B914">
        <v>12</v>
      </c>
      <c r="C914">
        <v>4</v>
      </c>
      <c r="D914" s="1">
        <v>45627</v>
      </c>
      <c r="E914" s="4" t="s">
        <v>31</v>
      </c>
      <c r="F914" s="4" t="s">
        <v>24</v>
      </c>
      <c r="G914" s="4" t="s">
        <v>107</v>
      </c>
      <c r="H914">
        <v>24</v>
      </c>
      <c r="I914">
        <v>34</v>
      </c>
      <c r="J914">
        <v>3</v>
      </c>
      <c r="K914">
        <v>31</v>
      </c>
      <c r="L914">
        <v>59983.4</v>
      </c>
      <c r="M914">
        <v>5430</v>
      </c>
      <c r="N914">
        <v>54553.4</v>
      </c>
      <c r="O914">
        <v>30860.5</v>
      </c>
      <c r="P914">
        <v>23692.9</v>
      </c>
      <c r="Q914">
        <v>0.43430000000000002</v>
      </c>
      <c r="R914">
        <v>2</v>
      </c>
      <c r="S914">
        <v>5683.4</v>
      </c>
      <c r="T914">
        <v>0</v>
      </c>
      <c r="U914">
        <v>2273.06</v>
      </c>
    </row>
    <row r="915" spans="1:21" x14ac:dyDescent="0.35">
      <c r="A915">
        <v>2024</v>
      </c>
      <c r="B915">
        <v>12</v>
      </c>
      <c r="C915">
        <v>4</v>
      </c>
      <c r="D915" s="1">
        <v>45627</v>
      </c>
      <c r="E915" s="4" t="s">
        <v>31</v>
      </c>
      <c r="F915" s="4" t="s">
        <v>24</v>
      </c>
      <c r="G915" s="4" t="s">
        <v>109</v>
      </c>
      <c r="H915">
        <v>439</v>
      </c>
      <c r="I915">
        <v>646</v>
      </c>
      <c r="J915">
        <v>18</v>
      </c>
      <c r="K915">
        <v>628</v>
      </c>
      <c r="L915">
        <v>889920.06</v>
      </c>
      <c r="M915">
        <v>28290.98</v>
      </c>
      <c r="N915">
        <v>861629.08</v>
      </c>
      <c r="O915">
        <v>492103.7</v>
      </c>
      <c r="P915">
        <v>369525.38</v>
      </c>
      <c r="Q915">
        <v>0.4289</v>
      </c>
      <c r="R915">
        <v>58</v>
      </c>
      <c r="S915">
        <v>127030.08</v>
      </c>
      <c r="T915">
        <v>0</v>
      </c>
      <c r="U915">
        <v>1962.71</v>
      </c>
    </row>
    <row r="916" spans="1:21" x14ac:dyDescent="0.35">
      <c r="A916">
        <v>2024</v>
      </c>
      <c r="B916">
        <v>12</v>
      </c>
      <c r="C916">
        <v>4</v>
      </c>
      <c r="D916" s="1">
        <v>45627</v>
      </c>
      <c r="E916" s="4" t="s">
        <v>31</v>
      </c>
      <c r="F916" s="4" t="s">
        <v>26</v>
      </c>
      <c r="G916" s="4" t="s">
        <v>107</v>
      </c>
      <c r="H916">
        <v>4</v>
      </c>
      <c r="I916">
        <v>5</v>
      </c>
      <c r="J916">
        <v>0</v>
      </c>
      <c r="K916">
        <v>5</v>
      </c>
      <c r="L916">
        <v>2344.6</v>
      </c>
      <c r="M916">
        <v>0</v>
      </c>
      <c r="N916">
        <v>2344.6</v>
      </c>
      <c r="O916">
        <v>1455.6</v>
      </c>
      <c r="P916">
        <v>889</v>
      </c>
      <c r="Q916">
        <v>0.37919999999999998</v>
      </c>
      <c r="R916">
        <v>1</v>
      </c>
      <c r="S916">
        <v>288.60000000000002</v>
      </c>
      <c r="T916">
        <v>0</v>
      </c>
      <c r="U916">
        <v>586.15</v>
      </c>
    </row>
    <row r="917" spans="1:21" x14ac:dyDescent="0.35">
      <c r="A917">
        <v>2024</v>
      </c>
      <c r="B917">
        <v>12</v>
      </c>
      <c r="C917">
        <v>4</v>
      </c>
      <c r="D917" s="1">
        <v>45627</v>
      </c>
      <c r="E917" s="4" t="s">
        <v>31</v>
      </c>
      <c r="F917" s="4" t="s">
        <v>26</v>
      </c>
      <c r="G917" s="4" t="s">
        <v>109</v>
      </c>
      <c r="H917">
        <v>40</v>
      </c>
      <c r="I917">
        <v>67</v>
      </c>
      <c r="J917">
        <v>3</v>
      </c>
      <c r="K917">
        <v>64</v>
      </c>
      <c r="L917">
        <v>52533.95</v>
      </c>
      <c r="M917">
        <v>1644</v>
      </c>
      <c r="N917">
        <v>50889.95</v>
      </c>
      <c r="O917">
        <v>32992.800000000003</v>
      </c>
      <c r="P917">
        <v>17897.150000000001</v>
      </c>
      <c r="Q917">
        <v>0.35170000000000001</v>
      </c>
      <c r="R917">
        <v>9</v>
      </c>
      <c r="S917">
        <v>12845.95</v>
      </c>
      <c r="T917">
        <v>0</v>
      </c>
      <c r="U917">
        <v>1272.25</v>
      </c>
    </row>
    <row r="918" spans="1:21" x14ac:dyDescent="0.35">
      <c r="A918">
        <v>2024</v>
      </c>
      <c r="B918">
        <v>12</v>
      </c>
      <c r="C918">
        <v>4</v>
      </c>
      <c r="D918" s="1">
        <v>45627</v>
      </c>
      <c r="E918" s="4" t="s">
        <v>30</v>
      </c>
      <c r="F918" s="4" t="s">
        <v>28</v>
      </c>
      <c r="G918" s="4" t="s">
        <v>107</v>
      </c>
      <c r="H918">
        <v>235</v>
      </c>
      <c r="I918">
        <v>358</v>
      </c>
      <c r="J918">
        <v>0</v>
      </c>
      <c r="K918">
        <v>358</v>
      </c>
      <c r="L918">
        <v>154002.97</v>
      </c>
      <c r="M918">
        <v>0</v>
      </c>
      <c r="N918">
        <v>154002.97</v>
      </c>
      <c r="O918">
        <v>56510.3</v>
      </c>
      <c r="P918">
        <v>97492.67</v>
      </c>
      <c r="Q918">
        <v>0.6331</v>
      </c>
      <c r="R918">
        <v>42</v>
      </c>
      <c r="S918">
        <v>33585.97</v>
      </c>
      <c r="T918">
        <v>0</v>
      </c>
      <c r="U918">
        <v>655.33000000000004</v>
      </c>
    </row>
    <row r="919" spans="1:21" x14ac:dyDescent="0.35">
      <c r="A919">
        <v>2024</v>
      </c>
      <c r="B919">
        <v>12</v>
      </c>
      <c r="C919">
        <v>4</v>
      </c>
      <c r="D919" s="1">
        <v>45627</v>
      </c>
      <c r="E919" s="4" t="s">
        <v>30</v>
      </c>
      <c r="F919" s="4" t="s">
        <v>28</v>
      </c>
      <c r="G919" s="4" t="s">
        <v>108</v>
      </c>
      <c r="H919">
        <v>103</v>
      </c>
      <c r="I919">
        <v>160</v>
      </c>
      <c r="J919">
        <v>0</v>
      </c>
      <c r="K919">
        <v>160</v>
      </c>
      <c r="L919">
        <v>94297.95</v>
      </c>
      <c r="M919">
        <v>0</v>
      </c>
      <c r="N919">
        <v>94297.95</v>
      </c>
      <c r="O919">
        <v>34440</v>
      </c>
      <c r="P919">
        <v>59857.95</v>
      </c>
      <c r="Q919">
        <v>0.63480000000000003</v>
      </c>
      <c r="R919">
        <v>11</v>
      </c>
      <c r="S919">
        <v>12502.95</v>
      </c>
      <c r="T919">
        <v>0</v>
      </c>
      <c r="U919">
        <v>915.51</v>
      </c>
    </row>
    <row r="920" spans="1:21" x14ac:dyDescent="0.35">
      <c r="A920">
        <v>2024</v>
      </c>
      <c r="B920">
        <v>12</v>
      </c>
      <c r="C920">
        <v>4</v>
      </c>
      <c r="D920" s="1">
        <v>45627</v>
      </c>
      <c r="E920" s="4" t="s">
        <v>30</v>
      </c>
      <c r="F920" s="4" t="s">
        <v>28</v>
      </c>
      <c r="G920" s="4" t="s">
        <v>109</v>
      </c>
      <c r="H920">
        <v>1249</v>
      </c>
      <c r="I920">
        <v>1939</v>
      </c>
      <c r="J920">
        <v>0</v>
      </c>
      <c r="K920">
        <v>1939</v>
      </c>
      <c r="L920">
        <v>774667</v>
      </c>
      <c r="M920">
        <v>0</v>
      </c>
      <c r="N920">
        <v>774667</v>
      </c>
      <c r="O920">
        <v>281178.45</v>
      </c>
      <c r="P920">
        <v>493488.55</v>
      </c>
      <c r="Q920">
        <v>0.63700000000000001</v>
      </c>
      <c r="R920">
        <v>148</v>
      </c>
      <c r="S920">
        <v>111430</v>
      </c>
      <c r="T920">
        <v>0</v>
      </c>
      <c r="U920">
        <v>620.23</v>
      </c>
    </row>
    <row r="921" spans="1:21" x14ac:dyDescent="0.35">
      <c r="A921">
        <v>2024</v>
      </c>
      <c r="B921">
        <v>12</v>
      </c>
      <c r="C921">
        <v>4</v>
      </c>
      <c r="D921" s="1">
        <v>45627</v>
      </c>
      <c r="E921" s="4" t="s">
        <v>30</v>
      </c>
      <c r="F921" s="4" t="s">
        <v>24</v>
      </c>
      <c r="G921" s="4" t="s">
        <v>107</v>
      </c>
      <c r="H921">
        <v>130</v>
      </c>
      <c r="I921">
        <v>222</v>
      </c>
      <c r="J921">
        <v>1</v>
      </c>
      <c r="K921">
        <v>221</v>
      </c>
      <c r="L921">
        <v>408467.25</v>
      </c>
      <c r="M921">
        <v>2289</v>
      </c>
      <c r="N921">
        <v>406178.25</v>
      </c>
      <c r="O921">
        <v>238529.5</v>
      </c>
      <c r="P921">
        <v>167648.75</v>
      </c>
      <c r="Q921">
        <v>0.41270000000000001</v>
      </c>
      <c r="R921">
        <v>26</v>
      </c>
      <c r="S921">
        <v>105746.25</v>
      </c>
      <c r="T921">
        <v>0</v>
      </c>
      <c r="U921">
        <v>3124.45</v>
      </c>
    </row>
    <row r="922" spans="1:21" x14ac:dyDescent="0.35">
      <c r="A922">
        <v>2024</v>
      </c>
      <c r="B922">
        <v>12</v>
      </c>
      <c r="C922">
        <v>4</v>
      </c>
      <c r="D922" s="1">
        <v>45627</v>
      </c>
      <c r="E922" s="4" t="s">
        <v>30</v>
      </c>
      <c r="F922" s="4" t="s">
        <v>24</v>
      </c>
      <c r="G922" s="4" t="s">
        <v>108</v>
      </c>
      <c r="H922">
        <v>17</v>
      </c>
      <c r="I922">
        <v>27</v>
      </c>
      <c r="J922">
        <v>1</v>
      </c>
      <c r="K922">
        <v>26</v>
      </c>
      <c r="L922">
        <v>61718.58</v>
      </c>
      <c r="M922">
        <v>2409</v>
      </c>
      <c r="N922">
        <v>59309.58</v>
      </c>
      <c r="O922">
        <v>34448.699999999997</v>
      </c>
      <c r="P922">
        <v>24860.880000000001</v>
      </c>
      <c r="Q922">
        <v>0.41920000000000002</v>
      </c>
      <c r="R922">
        <v>3</v>
      </c>
      <c r="S922">
        <v>11129.58</v>
      </c>
      <c r="T922">
        <v>0</v>
      </c>
      <c r="U922">
        <v>3488.8</v>
      </c>
    </row>
    <row r="923" spans="1:21" x14ac:dyDescent="0.35">
      <c r="A923">
        <v>2024</v>
      </c>
      <c r="B923">
        <v>12</v>
      </c>
      <c r="C923">
        <v>4</v>
      </c>
      <c r="D923" s="1">
        <v>45627</v>
      </c>
      <c r="E923" s="4" t="s">
        <v>30</v>
      </c>
      <c r="F923" s="4" t="s">
        <v>24</v>
      </c>
      <c r="G923" s="4" t="s">
        <v>109</v>
      </c>
      <c r="H923">
        <v>456</v>
      </c>
      <c r="I923">
        <v>672</v>
      </c>
      <c r="J923">
        <v>9</v>
      </c>
      <c r="K923">
        <v>663</v>
      </c>
      <c r="L923">
        <v>1185291.8999999999</v>
      </c>
      <c r="M923">
        <v>17155.8</v>
      </c>
      <c r="N923">
        <v>1168136.1000000001</v>
      </c>
      <c r="O923">
        <v>666686.35</v>
      </c>
      <c r="P923">
        <v>501449.75</v>
      </c>
      <c r="Q923">
        <v>0.42930000000000001</v>
      </c>
      <c r="R923">
        <v>60</v>
      </c>
      <c r="S923">
        <v>179882.1</v>
      </c>
      <c r="T923">
        <v>0</v>
      </c>
      <c r="U923">
        <v>2561.6999999999998</v>
      </c>
    </row>
    <row r="924" spans="1:21" x14ac:dyDescent="0.35">
      <c r="A924">
        <v>2024</v>
      </c>
      <c r="B924">
        <v>12</v>
      </c>
      <c r="C924">
        <v>4</v>
      </c>
      <c r="D924" s="1">
        <v>45627</v>
      </c>
      <c r="E924" s="4" t="s">
        <v>30</v>
      </c>
      <c r="F924" s="4" t="s">
        <v>26</v>
      </c>
      <c r="G924" s="4" t="s">
        <v>107</v>
      </c>
      <c r="H924">
        <v>2</v>
      </c>
      <c r="I924">
        <v>2</v>
      </c>
      <c r="J924">
        <v>0</v>
      </c>
      <c r="K924">
        <v>2</v>
      </c>
      <c r="L924">
        <v>1816</v>
      </c>
      <c r="M924">
        <v>0</v>
      </c>
      <c r="N924">
        <v>1816</v>
      </c>
      <c r="O924">
        <v>1089.5999999999999</v>
      </c>
      <c r="P924">
        <v>726.4</v>
      </c>
      <c r="Q924">
        <v>0.4</v>
      </c>
      <c r="R924">
        <v>0</v>
      </c>
      <c r="S924">
        <v>0</v>
      </c>
      <c r="T924">
        <v>0</v>
      </c>
      <c r="U924">
        <v>908</v>
      </c>
    </row>
    <row r="925" spans="1:21" x14ac:dyDescent="0.35">
      <c r="A925">
        <v>2024</v>
      </c>
      <c r="B925">
        <v>12</v>
      </c>
      <c r="C925">
        <v>4</v>
      </c>
      <c r="D925" s="1">
        <v>45627</v>
      </c>
      <c r="E925" s="4" t="s">
        <v>30</v>
      </c>
      <c r="F925" s="4" t="s">
        <v>26</v>
      </c>
      <c r="G925" s="4" t="s">
        <v>109</v>
      </c>
      <c r="H925">
        <v>65</v>
      </c>
      <c r="I925">
        <v>104</v>
      </c>
      <c r="J925">
        <v>1</v>
      </c>
      <c r="K925">
        <v>103</v>
      </c>
      <c r="L925">
        <v>79716.509999999995</v>
      </c>
      <c r="M925">
        <v>973</v>
      </c>
      <c r="N925">
        <v>78743.509999999995</v>
      </c>
      <c r="O925">
        <v>47844.6</v>
      </c>
      <c r="P925">
        <v>30898.91</v>
      </c>
      <c r="Q925">
        <v>0.39240000000000003</v>
      </c>
      <c r="R925">
        <v>5</v>
      </c>
      <c r="S925">
        <v>7981.51</v>
      </c>
      <c r="T925">
        <v>0</v>
      </c>
      <c r="U925">
        <v>1211.44</v>
      </c>
    </row>
    <row r="926" spans="1:21" x14ac:dyDescent="0.35">
      <c r="A926">
        <v>2024</v>
      </c>
      <c r="B926">
        <v>12</v>
      </c>
      <c r="C926">
        <v>4</v>
      </c>
      <c r="D926" s="1">
        <v>45627</v>
      </c>
      <c r="E926" s="4" t="s">
        <v>78</v>
      </c>
      <c r="F926" s="4" t="s">
        <v>78</v>
      </c>
      <c r="G926" s="4" t="s">
        <v>110</v>
      </c>
      <c r="H926">
        <v>275</v>
      </c>
      <c r="I926">
        <v>373</v>
      </c>
      <c r="J926">
        <v>0</v>
      </c>
      <c r="K926">
        <v>373</v>
      </c>
      <c r="L926">
        <v>806271.28</v>
      </c>
      <c r="M926">
        <v>0</v>
      </c>
      <c r="N926">
        <v>806271.28</v>
      </c>
      <c r="O926">
        <v>120897</v>
      </c>
      <c r="P926">
        <v>685374.28</v>
      </c>
      <c r="Q926">
        <v>0.85009999999999997</v>
      </c>
      <c r="R926">
        <v>2</v>
      </c>
      <c r="S926">
        <v>4389</v>
      </c>
      <c r="T926">
        <v>0</v>
      </c>
      <c r="U926">
        <v>2931.9</v>
      </c>
    </row>
    <row r="927" spans="1:21" x14ac:dyDescent="0.35">
      <c r="A927">
        <v>2025</v>
      </c>
      <c r="B927">
        <v>1</v>
      </c>
      <c r="C927">
        <v>1</v>
      </c>
      <c r="D927" s="1">
        <v>45658</v>
      </c>
      <c r="E927" s="4" t="s">
        <v>33</v>
      </c>
      <c r="F927" s="4" t="s">
        <v>28</v>
      </c>
      <c r="G927" s="4" t="s">
        <v>107</v>
      </c>
      <c r="H927">
        <v>82</v>
      </c>
      <c r="I927">
        <v>119</v>
      </c>
      <c r="J927">
        <v>0</v>
      </c>
      <c r="K927">
        <v>119</v>
      </c>
      <c r="L927">
        <v>38092.019999999997</v>
      </c>
      <c r="M927">
        <v>0</v>
      </c>
      <c r="N927">
        <v>38092.019999999997</v>
      </c>
      <c r="O927">
        <v>13784.4</v>
      </c>
      <c r="P927">
        <v>24307.62</v>
      </c>
      <c r="Q927">
        <v>0.6381</v>
      </c>
      <c r="R927">
        <v>8</v>
      </c>
      <c r="S927">
        <v>4159.0200000000004</v>
      </c>
      <c r="T927">
        <v>0</v>
      </c>
      <c r="U927">
        <v>464.54</v>
      </c>
    </row>
    <row r="928" spans="1:21" x14ac:dyDescent="0.35">
      <c r="A928">
        <v>2025</v>
      </c>
      <c r="B928">
        <v>1</v>
      </c>
      <c r="C928">
        <v>1</v>
      </c>
      <c r="D928" s="1">
        <v>45658</v>
      </c>
      <c r="E928" s="4" t="s">
        <v>33</v>
      </c>
      <c r="F928" s="4" t="s">
        <v>28</v>
      </c>
      <c r="G928" s="4" t="s">
        <v>108</v>
      </c>
      <c r="H928">
        <v>28</v>
      </c>
      <c r="I928">
        <v>43</v>
      </c>
      <c r="J928">
        <v>0</v>
      </c>
      <c r="K928">
        <v>43</v>
      </c>
      <c r="L928">
        <v>29540.880000000001</v>
      </c>
      <c r="M928">
        <v>0</v>
      </c>
      <c r="N928">
        <v>29540.880000000001</v>
      </c>
      <c r="O928">
        <v>10715.6</v>
      </c>
      <c r="P928">
        <v>18825.28</v>
      </c>
      <c r="Q928">
        <v>0.63729999999999998</v>
      </c>
      <c r="R928">
        <v>4</v>
      </c>
      <c r="S928">
        <v>4620.88</v>
      </c>
      <c r="T928">
        <v>0</v>
      </c>
      <c r="U928">
        <v>1055.03</v>
      </c>
    </row>
    <row r="929" spans="1:21" x14ac:dyDescent="0.35">
      <c r="A929">
        <v>2025</v>
      </c>
      <c r="B929">
        <v>1</v>
      </c>
      <c r="C929">
        <v>1</v>
      </c>
      <c r="D929" s="1">
        <v>45658</v>
      </c>
      <c r="E929" s="4" t="s">
        <v>33</v>
      </c>
      <c r="F929" s="4" t="s">
        <v>28</v>
      </c>
      <c r="G929" s="4" t="s">
        <v>109</v>
      </c>
      <c r="H929">
        <v>597</v>
      </c>
      <c r="I929">
        <v>925</v>
      </c>
      <c r="J929">
        <v>0</v>
      </c>
      <c r="K929">
        <v>925</v>
      </c>
      <c r="L929">
        <v>469607.13</v>
      </c>
      <c r="M929">
        <v>0</v>
      </c>
      <c r="N929">
        <v>469607.13</v>
      </c>
      <c r="O929">
        <v>170289.7</v>
      </c>
      <c r="P929">
        <v>299317.43</v>
      </c>
      <c r="Q929">
        <v>0.63739999999999997</v>
      </c>
      <c r="R929">
        <v>78</v>
      </c>
      <c r="S929">
        <v>70270.91</v>
      </c>
      <c r="T929">
        <v>0</v>
      </c>
      <c r="U929">
        <v>786.61</v>
      </c>
    </row>
    <row r="930" spans="1:21" x14ac:dyDescent="0.35">
      <c r="A930">
        <v>2025</v>
      </c>
      <c r="B930">
        <v>1</v>
      </c>
      <c r="C930">
        <v>1</v>
      </c>
      <c r="D930" s="1">
        <v>45658</v>
      </c>
      <c r="E930" s="4" t="s">
        <v>33</v>
      </c>
      <c r="F930" s="4" t="s">
        <v>24</v>
      </c>
      <c r="G930" s="4" t="s">
        <v>107</v>
      </c>
      <c r="H930">
        <v>11</v>
      </c>
      <c r="I930">
        <v>19</v>
      </c>
      <c r="J930">
        <v>1</v>
      </c>
      <c r="K930">
        <v>18</v>
      </c>
      <c r="L930">
        <v>28426.28</v>
      </c>
      <c r="M930">
        <v>1395</v>
      </c>
      <c r="N930">
        <v>27031.279999999999</v>
      </c>
      <c r="O930">
        <v>15891.7</v>
      </c>
      <c r="P930">
        <v>11139.58</v>
      </c>
      <c r="Q930">
        <v>0.41210000000000002</v>
      </c>
      <c r="R930">
        <v>2</v>
      </c>
      <c r="S930">
        <v>7453.28</v>
      </c>
      <c r="T930">
        <v>0</v>
      </c>
      <c r="U930">
        <v>2457.39</v>
      </c>
    </row>
    <row r="931" spans="1:21" x14ac:dyDescent="0.35">
      <c r="A931">
        <v>2025</v>
      </c>
      <c r="B931">
        <v>1</v>
      </c>
      <c r="C931">
        <v>1</v>
      </c>
      <c r="D931" s="1">
        <v>45658</v>
      </c>
      <c r="E931" s="4" t="s">
        <v>33</v>
      </c>
      <c r="F931" s="4" t="s">
        <v>24</v>
      </c>
      <c r="G931" s="4" t="s">
        <v>109</v>
      </c>
      <c r="H931">
        <v>110</v>
      </c>
      <c r="I931">
        <v>164</v>
      </c>
      <c r="J931">
        <v>2</v>
      </c>
      <c r="K931">
        <v>162</v>
      </c>
      <c r="L931">
        <v>237112.94</v>
      </c>
      <c r="M931">
        <v>1278</v>
      </c>
      <c r="N931">
        <v>235834.94</v>
      </c>
      <c r="O931">
        <v>133600.5</v>
      </c>
      <c r="P931">
        <v>102234.44</v>
      </c>
      <c r="Q931">
        <v>0.4335</v>
      </c>
      <c r="R931">
        <v>14</v>
      </c>
      <c r="S931">
        <v>29601.94</v>
      </c>
      <c r="T931">
        <v>0</v>
      </c>
      <c r="U931">
        <v>2143.9499999999998</v>
      </c>
    </row>
    <row r="932" spans="1:21" x14ac:dyDescent="0.35">
      <c r="A932">
        <v>2025</v>
      </c>
      <c r="B932">
        <v>1</v>
      </c>
      <c r="C932">
        <v>1</v>
      </c>
      <c r="D932" s="1">
        <v>45658</v>
      </c>
      <c r="E932" s="4" t="s">
        <v>33</v>
      </c>
      <c r="F932" s="4" t="s">
        <v>26</v>
      </c>
      <c r="G932" s="4" t="s">
        <v>107</v>
      </c>
      <c r="H932">
        <v>1</v>
      </c>
      <c r="I932">
        <v>5</v>
      </c>
      <c r="J932">
        <v>0</v>
      </c>
      <c r="K932">
        <v>5</v>
      </c>
      <c r="L932">
        <v>2236.85</v>
      </c>
      <c r="M932">
        <v>0</v>
      </c>
      <c r="N932">
        <v>2236.85</v>
      </c>
      <c r="O932">
        <v>1743</v>
      </c>
      <c r="P932">
        <v>493.85</v>
      </c>
      <c r="Q932">
        <v>0.2208</v>
      </c>
      <c r="R932">
        <v>1</v>
      </c>
      <c r="S932">
        <v>2236.85</v>
      </c>
      <c r="T932">
        <v>0</v>
      </c>
      <c r="U932">
        <v>2236.85</v>
      </c>
    </row>
    <row r="933" spans="1:21" x14ac:dyDescent="0.35">
      <c r="A933">
        <v>2025</v>
      </c>
      <c r="B933">
        <v>1</v>
      </c>
      <c r="C933">
        <v>1</v>
      </c>
      <c r="D933" s="1">
        <v>45658</v>
      </c>
      <c r="E933" s="4" t="s">
        <v>33</v>
      </c>
      <c r="F933" s="4" t="s">
        <v>26</v>
      </c>
      <c r="G933" s="4" t="s">
        <v>108</v>
      </c>
      <c r="H933">
        <v>6</v>
      </c>
      <c r="I933">
        <v>8</v>
      </c>
      <c r="J933">
        <v>0</v>
      </c>
      <c r="K933">
        <v>8</v>
      </c>
      <c r="L933">
        <v>6478</v>
      </c>
      <c r="M933">
        <v>0</v>
      </c>
      <c r="N933">
        <v>6478</v>
      </c>
      <c r="O933">
        <v>3886.8</v>
      </c>
      <c r="P933">
        <v>2591.1999999999998</v>
      </c>
      <c r="Q933">
        <v>0.4</v>
      </c>
      <c r="R933">
        <v>0</v>
      </c>
      <c r="S933">
        <v>0</v>
      </c>
      <c r="T933">
        <v>0</v>
      </c>
      <c r="U933">
        <v>1079.67</v>
      </c>
    </row>
    <row r="934" spans="1:21" x14ac:dyDescent="0.35">
      <c r="A934">
        <v>2025</v>
      </c>
      <c r="B934">
        <v>1</v>
      </c>
      <c r="C934">
        <v>1</v>
      </c>
      <c r="D934" s="1">
        <v>45658</v>
      </c>
      <c r="E934" s="4" t="s">
        <v>33</v>
      </c>
      <c r="F934" s="4" t="s">
        <v>26</v>
      </c>
      <c r="G934" s="4" t="s">
        <v>109</v>
      </c>
      <c r="H934">
        <v>36</v>
      </c>
      <c r="I934">
        <v>50</v>
      </c>
      <c r="J934">
        <v>3</v>
      </c>
      <c r="K934">
        <v>47</v>
      </c>
      <c r="L934">
        <v>40215.08</v>
      </c>
      <c r="M934">
        <v>2423</v>
      </c>
      <c r="N934">
        <v>37792.080000000002</v>
      </c>
      <c r="O934">
        <v>22914</v>
      </c>
      <c r="P934">
        <v>14878.08</v>
      </c>
      <c r="Q934">
        <v>0.39369999999999999</v>
      </c>
      <c r="R934">
        <v>1</v>
      </c>
      <c r="S934">
        <v>2089.08</v>
      </c>
      <c r="T934">
        <v>0</v>
      </c>
      <c r="U934">
        <v>1049.78</v>
      </c>
    </row>
    <row r="935" spans="1:21" x14ac:dyDescent="0.35">
      <c r="A935">
        <v>2025</v>
      </c>
      <c r="B935">
        <v>1</v>
      </c>
      <c r="C935">
        <v>1</v>
      </c>
      <c r="D935" s="1">
        <v>45658</v>
      </c>
      <c r="E935" s="4" t="s">
        <v>32</v>
      </c>
      <c r="F935" s="4" t="s">
        <v>28</v>
      </c>
      <c r="G935" s="4" t="s">
        <v>107</v>
      </c>
      <c r="H935">
        <v>26</v>
      </c>
      <c r="I935">
        <v>37</v>
      </c>
      <c r="J935">
        <v>0</v>
      </c>
      <c r="K935">
        <v>37</v>
      </c>
      <c r="L935">
        <v>15386.06</v>
      </c>
      <c r="M935">
        <v>0</v>
      </c>
      <c r="N935">
        <v>15386.06</v>
      </c>
      <c r="O935">
        <v>5879.3</v>
      </c>
      <c r="P935">
        <v>9506.76</v>
      </c>
      <c r="Q935">
        <v>0.6179</v>
      </c>
      <c r="R935">
        <v>6</v>
      </c>
      <c r="S935">
        <v>4036.06</v>
      </c>
      <c r="T935">
        <v>0</v>
      </c>
      <c r="U935">
        <v>591.77</v>
      </c>
    </row>
    <row r="936" spans="1:21" x14ac:dyDescent="0.35">
      <c r="A936">
        <v>2025</v>
      </c>
      <c r="B936">
        <v>1</v>
      </c>
      <c r="C936">
        <v>1</v>
      </c>
      <c r="D936" s="1">
        <v>45658</v>
      </c>
      <c r="E936" s="4" t="s">
        <v>32</v>
      </c>
      <c r="F936" s="4" t="s">
        <v>28</v>
      </c>
      <c r="G936" s="4" t="s">
        <v>109</v>
      </c>
      <c r="H936">
        <v>385</v>
      </c>
      <c r="I936">
        <v>582</v>
      </c>
      <c r="J936">
        <v>0</v>
      </c>
      <c r="K936">
        <v>582</v>
      </c>
      <c r="L936">
        <v>205700.68</v>
      </c>
      <c r="M936">
        <v>0</v>
      </c>
      <c r="N936">
        <v>205700.68</v>
      </c>
      <c r="O936">
        <v>75004.649999999994</v>
      </c>
      <c r="P936">
        <v>130696.03</v>
      </c>
      <c r="Q936">
        <v>0.63539999999999996</v>
      </c>
      <c r="R936">
        <v>55</v>
      </c>
      <c r="S936">
        <v>38370.78</v>
      </c>
      <c r="T936">
        <v>0</v>
      </c>
      <c r="U936">
        <v>534.29</v>
      </c>
    </row>
    <row r="937" spans="1:21" x14ac:dyDescent="0.35">
      <c r="A937">
        <v>2025</v>
      </c>
      <c r="B937">
        <v>1</v>
      </c>
      <c r="C937">
        <v>1</v>
      </c>
      <c r="D937" s="1">
        <v>45658</v>
      </c>
      <c r="E937" s="4" t="s">
        <v>32</v>
      </c>
      <c r="F937" s="4" t="s">
        <v>35</v>
      </c>
      <c r="G937" s="4" t="s">
        <v>109</v>
      </c>
      <c r="H937">
        <v>1</v>
      </c>
      <c r="I937">
        <v>2</v>
      </c>
      <c r="J937">
        <v>0</v>
      </c>
      <c r="K937">
        <v>2</v>
      </c>
      <c r="L937">
        <v>526</v>
      </c>
      <c r="M937">
        <v>0</v>
      </c>
      <c r="N937">
        <v>526</v>
      </c>
      <c r="O937">
        <v>105.2</v>
      </c>
      <c r="P937">
        <v>420.8</v>
      </c>
      <c r="Q937">
        <v>0.8</v>
      </c>
      <c r="R937">
        <v>0</v>
      </c>
      <c r="S937">
        <v>0</v>
      </c>
      <c r="T937">
        <v>0</v>
      </c>
      <c r="U937">
        <v>526</v>
      </c>
    </row>
    <row r="938" spans="1:21" x14ac:dyDescent="0.35">
      <c r="A938">
        <v>2025</v>
      </c>
      <c r="B938">
        <v>1</v>
      </c>
      <c r="C938">
        <v>1</v>
      </c>
      <c r="D938" s="1">
        <v>45658</v>
      </c>
      <c r="E938" s="4" t="s">
        <v>32</v>
      </c>
      <c r="F938" s="4" t="s">
        <v>24</v>
      </c>
      <c r="G938" s="4" t="s">
        <v>107</v>
      </c>
      <c r="H938">
        <v>37</v>
      </c>
      <c r="I938">
        <v>55</v>
      </c>
      <c r="J938">
        <v>0</v>
      </c>
      <c r="K938">
        <v>55</v>
      </c>
      <c r="L938">
        <v>75481.740000000005</v>
      </c>
      <c r="M938">
        <v>0</v>
      </c>
      <c r="N938">
        <v>75481.740000000005</v>
      </c>
      <c r="O938">
        <v>45487.199999999997</v>
      </c>
      <c r="P938">
        <v>29994.54</v>
      </c>
      <c r="Q938">
        <v>0.39739999999999998</v>
      </c>
      <c r="R938">
        <v>7</v>
      </c>
      <c r="S938">
        <v>18985.740000000002</v>
      </c>
      <c r="T938">
        <v>0</v>
      </c>
      <c r="U938">
        <v>2040.05</v>
      </c>
    </row>
    <row r="939" spans="1:21" x14ac:dyDescent="0.35">
      <c r="A939">
        <v>2025</v>
      </c>
      <c r="B939">
        <v>1</v>
      </c>
      <c r="C939">
        <v>1</v>
      </c>
      <c r="D939" s="1">
        <v>45658</v>
      </c>
      <c r="E939" s="4" t="s">
        <v>32</v>
      </c>
      <c r="F939" s="4" t="s">
        <v>24</v>
      </c>
      <c r="G939" s="4" t="s">
        <v>109</v>
      </c>
      <c r="H939">
        <v>155</v>
      </c>
      <c r="I939">
        <v>224</v>
      </c>
      <c r="J939">
        <v>13</v>
      </c>
      <c r="K939">
        <v>211</v>
      </c>
      <c r="L939">
        <v>303844.21000000002</v>
      </c>
      <c r="M939">
        <v>12108.36</v>
      </c>
      <c r="N939">
        <v>291735.84999999998</v>
      </c>
      <c r="O939">
        <v>166218.79999999999</v>
      </c>
      <c r="P939">
        <v>125517.05</v>
      </c>
      <c r="Q939">
        <v>0.43020000000000003</v>
      </c>
      <c r="R939">
        <v>18</v>
      </c>
      <c r="S939">
        <v>34374.85</v>
      </c>
      <c r="T939">
        <v>0</v>
      </c>
      <c r="U939">
        <v>1882.17</v>
      </c>
    </row>
    <row r="940" spans="1:21" x14ac:dyDescent="0.35">
      <c r="A940">
        <v>2025</v>
      </c>
      <c r="B940">
        <v>1</v>
      </c>
      <c r="C940">
        <v>1</v>
      </c>
      <c r="D940" s="1">
        <v>45658</v>
      </c>
      <c r="E940" s="4" t="s">
        <v>32</v>
      </c>
      <c r="F940" s="4" t="s">
        <v>26</v>
      </c>
      <c r="G940" s="4" t="s">
        <v>108</v>
      </c>
      <c r="H940">
        <v>6</v>
      </c>
      <c r="I940">
        <v>8</v>
      </c>
      <c r="J940">
        <v>0</v>
      </c>
      <c r="K940">
        <v>8</v>
      </c>
      <c r="L940">
        <v>2520</v>
      </c>
      <c r="M940">
        <v>0</v>
      </c>
      <c r="N940">
        <v>2520</v>
      </c>
      <c r="O940">
        <v>1512</v>
      </c>
      <c r="P940">
        <v>1008</v>
      </c>
      <c r="Q940">
        <v>0.4</v>
      </c>
      <c r="R940">
        <v>0</v>
      </c>
      <c r="S940">
        <v>0</v>
      </c>
      <c r="T940">
        <v>0</v>
      </c>
      <c r="U940">
        <v>420</v>
      </c>
    </row>
    <row r="941" spans="1:21" x14ac:dyDescent="0.35">
      <c r="A941">
        <v>2025</v>
      </c>
      <c r="B941">
        <v>1</v>
      </c>
      <c r="C941">
        <v>1</v>
      </c>
      <c r="D941" s="1">
        <v>45658</v>
      </c>
      <c r="E941" s="4" t="s">
        <v>32</v>
      </c>
      <c r="F941" s="4" t="s">
        <v>26</v>
      </c>
      <c r="G941" s="4" t="s">
        <v>109</v>
      </c>
      <c r="H941">
        <v>29</v>
      </c>
      <c r="I941">
        <v>41</v>
      </c>
      <c r="J941">
        <v>0</v>
      </c>
      <c r="K941">
        <v>41</v>
      </c>
      <c r="L941">
        <v>30891.24</v>
      </c>
      <c r="M941">
        <v>0</v>
      </c>
      <c r="N941">
        <v>30891.24</v>
      </c>
      <c r="O941">
        <v>18906</v>
      </c>
      <c r="P941">
        <v>11985.24</v>
      </c>
      <c r="Q941">
        <v>0.38800000000000001</v>
      </c>
      <c r="R941">
        <v>3</v>
      </c>
      <c r="S941">
        <v>4363.24</v>
      </c>
      <c r="T941">
        <v>0</v>
      </c>
      <c r="U941">
        <v>1065.22</v>
      </c>
    </row>
    <row r="942" spans="1:21" x14ac:dyDescent="0.35">
      <c r="A942">
        <v>2025</v>
      </c>
      <c r="B942">
        <v>1</v>
      </c>
      <c r="C942">
        <v>1</v>
      </c>
      <c r="D942" s="1">
        <v>45658</v>
      </c>
      <c r="E942" s="4" t="s">
        <v>27</v>
      </c>
      <c r="F942" s="4" t="s">
        <v>28</v>
      </c>
      <c r="G942" s="4" t="s">
        <v>107</v>
      </c>
      <c r="H942">
        <v>203</v>
      </c>
      <c r="I942">
        <v>309</v>
      </c>
      <c r="J942">
        <v>0</v>
      </c>
      <c r="K942">
        <v>309</v>
      </c>
      <c r="L942">
        <v>137543.79</v>
      </c>
      <c r="M942">
        <v>0</v>
      </c>
      <c r="N942">
        <v>137543.79</v>
      </c>
      <c r="O942">
        <v>50317.05</v>
      </c>
      <c r="P942">
        <v>87226.74</v>
      </c>
      <c r="Q942">
        <v>0.63419999999999999</v>
      </c>
      <c r="R942">
        <v>31</v>
      </c>
      <c r="S942">
        <v>24578.79</v>
      </c>
      <c r="T942">
        <v>0</v>
      </c>
      <c r="U942">
        <v>677.56</v>
      </c>
    </row>
    <row r="943" spans="1:21" x14ac:dyDescent="0.35">
      <c r="A943">
        <v>2025</v>
      </c>
      <c r="B943">
        <v>1</v>
      </c>
      <c r="C943">
        <v>1</v>
      </c>
      <c r="D943" s="1">
        <v>45658</v>
      </c>
      <c r="E943" s="4" t="s">
        <v>27</v>
      </c>
      <c r="F943" s="4" t="s">
        <v>28</v>
      </c>
      <c r="G943" s="4" t="s">
        <v>109</v>
      </c>
      <c r="H943">
        <v>598</v>
      </c>
      <c r="I943">
        <v>903</v>
      </c>
      <c r="J943">
        <v>0</v>
      </c>
      <c r="K943">
        <v>903</v>
      </c>
      <c r="L943">
        <v>489288.23</v>
      </c>
      <c r="M943">
        <v>0</v>
      </c>
      <c r="N943">
        <v>489288.23</v>
      </c>
      <c r="O943">
        <v>177047.85</v>
      </c>
      <c r="P943">
        <v>312240.38</v>
      </c>
      <c r="Q943">
        <v>0.63819999999999999</v>
      </c>
      <c r="R943">
        <v>70</v>
      </c>
      <c r="S943">
        <v>66055.05</v>
      </c>
      <c r="T943">
        <v>0</v>
      </c>
      <c r="U943">
        <v>818.21</v>
      </c>
    </row>
    <row r="944" spans="1:21" x14ac:dyDescent="0.35">
      <c r="A944">
        <v>2025</v>
      </c>
      <c r="B944">
        <v>1</v>
      </c>
      <c r="C944">
        <v>1</v>
      </c>
      <c r="D944" s="1">
        <v>45658</v>
      </c>
      <c r="E944" s="4" t="s">
        <v>27</v>
      </c>
      <c r="F944" s="4" t="s">
        <v>35</v>
      </c>
      <c r="G944" s="4" t="s">
        <v>108</v>
      </c>
      <c r="H944">
        <v>1</v>
      </c>
      <c r="I944">
        <v>1</v>
      </c>
      <c r="J944">
        <v>0</v>
      </c>
      <c r="K944">
        <v>1</v>
      </c>
      <c r="L944">
        <v>348</v>
      </c>
      <c r="M944">
        <v>0</v>
      </c>
      <c r="N944">
        <v>348</v>
      </c>
      <c r="O944">
        <v>69.599999999999994</v>
      </c>
      <c r="P944">
        <v>278.39999999999998</v>
      </c>
      <c r="Q944">
        <v>0.8</v>
      </c>
      <c r="R944">
        <v>0</v>
      </c>
      <c r="S944">
        <v>0</v>
      </c>
      <c r="T944">
        <v>0</v>
      </c>
      <c r="U944">
        <v>348</v>
      </c>
    </row>
    <row r="945" spans="1:21" x14ac:dyDescent="0.35">
      <c r="A945">
        <v>2025</v>
      </c>
      <c r="B945">
        <v>1</v>
      </c>
      <c r="C945">
        <v>1</v>
      </c>
      <c r="D945" s="1">
        <v>45658</v>
      </c>
      <c r="E945" s="4" t="s">
        <v>27</v>
      </c>
      <c r="F945" s="4" t="s">
        <v>24</v>
      </c>
      <c r="G945" s="4" t="s">
        <v>107</v>
      </c>
      <c r="H945">
        <v>45</v>
      </c>
      <c r="I945">
        <v>73</v>
      </c>
      <c r="J945">
        <v>4</v>
      </c>
      <c r="K945">
        <v>69</v>
      </c>
      <c r="L945">
        <v>132469.57999999999</v>
      </c>
      <c r="M945">
        <v>6991</v>
      </c>
      <c r="N945">
        <v>125478.58</v>
      </c>
      <c r="O945">
        <v>71898.2</v>
      </c>
      <c r="P945">
        <v>53580.38</v>
      </c>
      <c r="Q945">
        <v>0.42699999999999999</v>
      </c>
      <c r="R945">
        <v>8</v>
      </c>
      <c r="S945">
        <v>24729.58</v>
      </c>
      <c r="T945">
        <v>0</v>
      </c>
      <c r="U945">
        <v>2788.41</v>
      </c>
    </row>
    <row r="946" spans="1:21" x14ac:dyDescent="0.35">
      <c r="A946">
        <v>2025</v>
      </c>
      <c r="B946">
        <v>1</v>
      </c>
      <c r="C946">
        <v>1</v>
      </c>
      <c r="D946" s="1">
        <v>45658</v>
      </c>
      <c r="E946" s="4" t="s">
        <v>27</v>
      </c>
      <c r="F946" s="4" t="s">
        <v>24</v>
      </c>
      <c r="G946" s="4" t="s">
        <v>109</v>
      </c>
      <c r="H946">
        <v>225</v>
      </c>
      <c r="I946">
        <v>339</v>
      </c>
      <c r="J946">
        <v>4</v>
      </c>
      <c r="K946">
        <v>335</v>
      </c>
      <c r="L946">
        <v>549973.87</v>
      </c>
      <c r="M946">
        <v>5847</v>
      </c>
      <c r="N946">
        <v>544126.87</v>
      </c>
      <c r="O946">
        <v>307996.7</v>
      </c>
      <c r="P946">
        <v>236130.17</v>
      </c>
      <c r="Q946">
        <v>0.434</v>
      </c>
      <c r="R946">
        <v>25</v>
      </c>
      <c r="S946">
        <v>75593.87</v>
      </c>
      <c r="T946">
        <v>0</v>
      </c>
      <c r="U946">
        <v>2418.34</v>
      </c>
    </row>
    <row r="947" spans="1:21" x14ac:dyDescent="0.35">
      <c r="A947">
        <v>2025</v>
      </c>
      <c r="B947">
        <v>1</v>
      </c>
      <c r="C947">
        <v>1</v>
      </c>
      <c r="D947" s="1">
        <v>45658</v>
      </c>
      <c r="E947" s="4" t="s">
        <v>27</v>
      </c>
      <c r="F947" s="4" t="s">
        <v>26</v>
      </c>
      <c r="G947" s="4" t="s">
        <v>107</v>
      </c>
      <c r="H947">
        <v>3</v>
      </c>
      <c r="I947">
        <v>3</v>
      </c>
      <c r="J947">
        <v>0</v>
      </c>
      <c r="K947">
        <v>3</v>
      </c>
      <c r="L947">
        <v>3117</v>
      </c>
      <c r="M947">
        <v>0</v>
      </c>
      <c r="N947">
        <v>3117</v>
      </c>
      <c r="O947">
        <v>1870.2</v>
      </c>
      <c r="P947">
        <v>1246.8</v>
      </c>
      <c r="Q947">
        <v>0.4</v>
      </c>
      <c r="R947">
        <v>0</v>
      </c>
      <c r="S947">
        <v>0</v>
      </c>
      <c r="T947">
        <v>0</v>
      </c>
      <c r="U947">
        <v>1039</v>
      </c>
    </row>
    <row r="948" spans="1:21" x14ac:dyDescent="0.35">
      <c r="A948">
        <v>2025</v>
      </c>
      <c r="B948">
        <v>1</v>
      </c>
      <c r="C948">
        <v>1</v>
      </c>
      <c r="D948" s="1">
        <v>45658</v>
      </c>
      <c r="E948" s="4" t="s">
        <v>27</v>
      </c>
      <c r="F948" s="4" t="s">
        <v>26</v>
      </c>
      <c r="G948" s="4" t="s">
        <v>109</v>
      </c>
      <c r="H948">
        <v>41</v>
      </c>
      <c r="I948">
        <v>61</v>
      </c>
      <c r="J948">
        <v>1</v>
      </c>
      <c r="K948">
        <v>60</v>
      </c>
      <c r="L948">
        <v>35032.54</v>
      </c>
      <c r="M948">
        <v>579</v>
      </c>
      <c r="N948">
        <v>34453.54</v>
      </c>
      <c r="O948">
        <v>22114.799999999999</v>
      </c>
      <c r="P948">
        <v>12338.74</v>
      </c>
      <c r="Q948">
        <v>0.35809999999999997</v>
      </c>
      <c r="R948">
        <v>4</v>
      </c>
      <c r="S948">
        <v>5627.54</v>
      </c>
      <c r="T948">
        <v>0</v>
      </c>
      <c r="U948">
        <v>840.33</v>
      </c>
    </row>
    <row r="949" spans="1:21" x14ac:dyDescent="0.35">
      <c r="A949">
        <v>2025</v>
      </c>
      <c r="B949">
        <v>1</v>
      </c>
      <c r="C949">
        <v>1</v>
      </c>
      <c r="D949" s="1">
        <v>45658</v>
      </c>
      <c r="E949" s="4" t="s">
        <v>34</v>
      </c>
      <c r="F949" s="4" t="s">
        <v>28</v>
      </c>
      <c r="G949" s="4" t="s">
        <v>107</v>
      </c>
      <c r="H949">
        <v>124</v>
      </c>
      <c r="I949">
        <v>186</v>
      </c>
      <c r="J949">
        <v>0</v>
      </c>
      <c r="K949">
        <v>186</v>
      </c>
      <c r="L949">
        <v>121750.25</v>
      </c>
      <c r="M949">
        <v>0</v>
      </c>
      <c r="N949">
        <v>121750.25</v>
      </c>
      <c r="O949">
        <v>44515.8</v>
      </c>
      <c r="P949">
        <v>77234.45</v>
      </c>
      <c r="Q949">
        <v>0.63439999999999996</v>
      </c>
      <c r="R949">
        <v>16</v>
      </c>
      <c r="S949">
        <v>19512.25</v>
      </c>
      <c r="T949">
        <v>0</v>
      </c>
      <c r="U949">
        <v>981.86</v>
      </c>
    </row>
    <row r="950" spans="1:21" x14ac:dyDescent="0.35">
      <c r="A950">
        <v>2025</v>
      </c>
      <c r="B950">
        <v>1</v>
      </c>
      <c r="C950">
        <v>1</v>
      </c>
      <c r="D950" s="1">
        <v>45658</v>
      </c>
      <c r="E950" s="4" t="s">
        <v>34</v>
      </c>
      <c r="F950" s="4" t="s">
        <v>28</v>
      </c>
      <c r="G950" s="4" t="s">
        <v>108</v>
      </c>
      <c r="H950">
        <v>44</v>
      </c>
      <c r="I950">
        <v>64</v>
      </c>
      <c r="J950">
        <v>0</v>
      </c>
      <c r="K950">
        <v>64</v>
      </c>
      <c r="L950">
        <v>25943.4</v>
      </c>
      <c r="M950">
        <v>0</v>
      </c>
      <c r="N950">
        <v>25943.4</v>
      </c>
      <c r="O950">
        <v>9542.4</v>
      </c>
      <c r="P950">
        <v>16401</v>
      </c>
      <c r="Q950">
        <v>0.63219999999999998</v>
      </c>
      <c r="R950">
        <v>5</v>
      </c>
      <c r="S950">
        <v>4217.3999999999996</v>
      </c>
      <c r="T950">
        <v>0</v>
      </c>
      <c r="U950">
        <v>589.62</v>
      </c>
    </row>
    <row r="951" spans="1:21" x14ac:dyDescent="0.35">
      <c r="A951">
        <v>2025</v>
      </c>
      <c r="B951">
        <v>1</v>
      </c>
      <c r="C951">
        <v>1</v>
      </c>
      <c r="D951" s="1">
        <v>45658</v>
      </c>
      <c r="E951" s="4" t="s">
        <v>34</v>
      </c>
      <c r="F951" s="4" t="s">
        <v>28</v>
      </c>
      <c r="G951" s="4" t="s">
        <v>109</v>
      </c>
      <c r="H951">
        <v>498</v>
      </c>
      <c r="I951">
        <v>739</v>
      </c>
      <c r="J951">
        <v>0</v>
      </c>
      <c r="K951">
        <v>739</v>
      </c>
      <c r="L951">
        <v>359618.76</v>
      </c>
      <c r="M951">
        <v>0</v>
      </c>
      <c r="N951">
        <v>359618.76</v>
      </c>
      <c r="O951">
        <v>130123.35</v>
      </c>
      <c r="P951">
        <v>229495.41</v>
      </c>
      <c r="Q951">
        <v>0.63819999999999999</v>
      </c>
      <c r="R951">
        <v>61</v>
      </c>
      <c r="S951">
        <v>53159.08</v>
      </c>
      <c r="T951">
        <v>0</v>
      </c>
      <c r="U951">
        <v>722.13</v>
      </c>
    </row>
    <row r="952" spans="1:21" x14ac:dyDescent="0.35">
      <c r="A952">
        <v>2025</v>
      </c>
      <c r="B952">
        <v>1</v>
      </c>
      <c r="C952">
        <v>1</v>
      </c>
      <c r="D952" s="1">
        <v>45658</v>
      </c>
      <c r="E952" s="4" t="s">
        <v>34</v>
      </c>
      <c r="F952" s="4" t="s">
        <v>24</v>
      </c>
      <c r="G952" s="4" t="s">
        <v>107</v>
      </c>
      <c r="H952">
        <v>77</v>
      </c>
      <c r="I952">
        <v>120</v>
      </c>
      <c r="J952">
        <v>5</v>
      </c>
      <c r="K952">
        <v>115</v>
      </c>
      <c r="L952">
        <v>203518.06</v>
      </c>
      <c r="M952">
        <v>7700</v>
      </c>
      <c r="N952">
        <v>195818.06</v>
      </c>
      <c r="O952">
        <v>109654.05</v>
      </c>
      <c r="P952">
        <v>86164.01</v>
      </c>
      <c r="Q952">
        <v>0.44</v>
      </c>
      <c r="R952">
        <v>6</v>
      </c>
      <c r="S952">
        <v>11861.06</v>
      </c>
      <c r="T952">
        <v>0</v>
      </c>
      <c r="U952">
        <v>2543.09</v>
      </c>
    </row>
    <row r="953" spans="1:21" x14ac:dyDescent="0.35">
      <c r="A953">
        <v>2025</v>
      </c>
      <c r="B953">
        <v>1</v>
      </c>
      <c r="C953">
        <v>1</v>
      </c>
      <c r="D953" s="1">
        <v>45658</v>
      </c>
      <c r="E953" s="4" t="s">
        <v>34</v>
      </c>
      <c r="F953" s="4" t="s">
        <v>24</v>
      </c>
      <c r="G953" s="4" t="s">
        <v>108</v>
      </c>
      <c r="H953">
        <v>16</v>
      </c>
      <c r="I953">
        <v>26</v>
      </c>
      <c r="J953">
        <v>0</v>
      </c>
      <c r="K953">
        <v>26</v>
      </c>
      <c r="L953">
        <v>33385.589999999997</v>
      </c>
      <c r="M953">
        <v>0</v>
      </c>
      <c r="N953">
        <v>33385.589999999997</v>
      </c>
      <c r="O953">
        <v>19719.7</v>
      </c>
      <c r="P953">
        <v>13665.89</v>
      </c>
      <c r="Q953">
        <v>0.4093</v>
      </c>
      <c r="R953">
        <v>4</v>
      </c>
      <c r="S953">
        <v>9942.59</v>
      </c>
      <c r="T953">
        <v>0</v>
      </c>
      <c r="U953">
        <v>2086.6</v>
      </c>
    </row>
    <row r="954" spans="1:21" x14ac:dyDescent="0.35">
      <c r="A954">
        <v>2025</v>
      </c>
      <c r="B954">
        <v>1</v>
      </c>
      <c r="C954">
        <v>1</v>
      </c>
      <c r="D954" s="1">
        <v>45658</v>
      </c>
      <c r="E954" s="4" t="s">
        <v>34</v>
      </c>
      <c r="F954" s="4" t="s">
        <v>24</v>
      </c>
      <c r="G954" s="4" t="s">
        <v>109</v>
      </c>
      <c r="H954">
        <v>142</v>
      </c>
      <c r="I954">
        <v>206</v>
      </c>
      <c r="J954">
        <v>7</v>
      </c>
      <c r="K954">
        <v>199</v>
      </c>
      <c r="L954">
        <v>360870.5</v>
      </c>
      <c r="M954">
        <v>11857</v>
      </c>
      <c r="N954">
        <v>349013.5</v>
      </c>
      <c r="O954">
        <v>199925.55</v>
      </c>
      <c r="P954">
        <v>149087.95000000001</v>
      </c>
      <c r="Q954">
        <v>0.42720000000000002</v>
      </c>
      <c r="R954">
        <v>18</v>
      </c>
      <c r="S954">
        <v>60463.5</v>
      </c>
      <c r="T954">
        <v>0</v>
      </c>
      <c r="U954">
        <v>2457.84</v>
      </c>
    </row>
    <row r="955" spans="1:21" x14ac:dyDescent="0.35">
      <c r="A955">
        <v>2025</v>
      </c>
      <c r="B955">
        <v>1</v>
      </c>
      <c r="C955">
        <v>1</v>
      </c>
      <c r="D955" s="1">
        <v>45658</v>
      </c>
      <c r="E955" s="4" t="s">
        <v>34</v>
      </c>
      <c r="F955" s="4" t="s">
        <v>26</v>
      </c>
      <c r="G955" s="4" t="s">
        <v>107</v>
      </c>
      <c r="H955">
        <v>4</v>
      </c>
      <c r="I955">
        <v>7</v>
      </c>
      <c r="J955">
        <v>0</v>
      </c>
      <c r="K955">
        <v>7</v>
      </c>
      <c r="L955">
        <v>3424.4</v>
      </c>
      <c r="M955">
        <v>0</v>
      </c>
      <c r="N955">
        <v>3424.4</v>
      </c>
      <c r="O955">
        <v>2157.6</v>
      </c>
      <c r="P955">
        <v>1266.8</v>
      </c>
      <c r="Q955">
        <v>0.36990000000000001</v>
      </c>
      <c r="R955">
        <v>1</v>
      </c>
      <c r="S955">
        <v>972.4</v>
      </c>
      <c r="T955">
        <v>0</v>
      </c>
      <c r="U955">
        <v>856.1</v>
      </c>
    </row>
    <row r="956" spans="1:21" x14ac:dyDescent="0.35">
      <c r="A956">
        <v>2025</v>
      </c>
      <c r="B956">
        <v>1</v>
      </c>
      <c r="C956">
        <v>1</v>
      </c>
      <c r="D956" s="1">
        <v>45658</v>
      </c>
      <c r="E956" s="4" t="s">
        <v>34</v>
      </c>
      <c r="F956" s="4" t="s">
        <v>26</v>
      </c>
      <c r="G956" s="4" t="s">
        <v>108</v>
      </c>
      <c r="H956">
        <v>2</v>
      </c>
      <c r="I956">
        <v>2</v>
      </c>
      <c r="J956">
        <v>0</v>
      </c>
      <c r="K956">
        <v>2</v>
      </c>
      <c r="L956">
        <v>732</v>
      </c>
      <c r="M956">
        <v>0</v>
      </c>
      <c r="N956">
        <v>732</v>
      </c>
      <c r="O956">
        <v>439.2</v>
      </c>
      <c r="P956">
        <v>292.8</v>
      </c>
      <c r="Q956">
        <v>0.4</v>
      </c>
      <c r="R956">
        <v>0</v>
      </c>
      <c r="S956">
        <v>0</v>
      </c>
      <c r="T956">
        <v>0</v>
      </c>
      <c r="U956">
        <v>366</v>
      </c>
    </row>
    <row r="957" spans="1:21" x14ac:dyDescent="0.35">
      <c r="A957">
        <v>2025</v>
      </c>
      <c r="B957">
        <v>1</v>
      </c>
      <c r="C957">
        <v>1</v>
      </c>
      <c r="D957" s="1">
        <v>45658</v>
      </c>
      <c r="E957" s="4" t="s">
        <v>34</v>
      </c>
      <c r="F957" s="4" t="s">
        <v>26</v>
      </c>
      <c r="G957" s="4" t="s">
        <v>109</v>
      </c>
      <c r="H957">
        <v>49</v>
      </c>
      <c r="I957">
        <v>72</v>
      </c>
      <c r="J957">
        <v>2</v>
      </c>
      <c r="K957">
        <v>70</v>
      </c>
      <c r="L957">
        <v>52511.62</v>
      </c>
      <c r="M957">
        <v>1844</v>
      </c>
      <c r="N957">
        <v>50667.62</v>
      </c>
      <c r="O957">
        <v>31488</v>
      </c>
      <c r="P957">
        <v>19179.62</v>
      </c>
      <c r="Q957">
        <v>0.3785</v>
      </c>
      <c r="R957">
        <v>4</v>
      </c>
      <c r="S957">
        <v>5578.62</v>
      </c>
      <c r="T957">
        <v>0</v>
      </c>
      <c r="U957">
        <v>1034.03</v>
      </c>
    </row>
    <row r="958" spans="1:21" x14ac:dyDescent="0.35">
      <c r="A958">
        <v>2025</v>
      </c>
      <c r="B958">
        <v>1</v>
      </c>
      <c r="C958">
        <v>1</v>
      </c>
      <c r="D958" s="1">
        <v>45658</v>
      </c>
      <c r="E958" s="4" t="s">
        <v>36</v>
      </c>
      <c r="F958" s="4" t="s">
        <v>28</v>
      </c>
      <c r="G958" s="4" t="s">
        <v>107</v>
      </c>
      <c r="H958">
        <v>63</v>
      </c>
      <c r="I958">
        <v>96</v>
      </c>
      <c r="J958">
        <v>0</v>
      </c>
      <c r="K958">
        <v>96</v>
      </c>
      <c r="L958">
        <v>62588.12</v>
      </c>
      <c r="M958">
        <v>0</v>
      </c>
      <c r="N958">
        <v>62588.12</v>
      </c>
      <c r="O958">
        <v>23004.45</v>
      </c>
      <c r="P958">
        <v>39583.67</v>
      </c>
      <c r="Q958">
        <v>0.63239999999999996</v>
      </c>
      <c r="R958">
        <v>7</v>
      </c>
      <c r="S958">
        <v>9087.23</v>
      </c>
      <c r="T958">
        <v>0</v>
      </c>
      <c r="U958">
        <v>993.46</v>
      </c>
    </row>
    <row r="959" spans="1:21" x14ac:dyDescent="0.35">
      <c r="A959">
        <v>2025</v>
      </c>
      <c r="B959">
        <v>1</v>
      </c>
      <c r="C959">
        <v>1</v>
      </c>
      <c r="D959" s="1">
        <v>45658</v>
      </c>
      <c r="E959" s="4" t="s">
        <v>36</v>
      </c>
      <c r="F959" s="4" t="s">
        <v>28</v>
      </c>
      <c r="G959" s="4" t="s">
        <v>108</v>
      </c>
      <c r="H959">
        <v>107</v>
      </c>
      <c r="I959">
        <v>152</v>
      </c>
      <c r="J959">
        <v>0</v>
      </c>
      <c r="K959">
        <v>152</v>
      </c>
      <c r="L959">
        <v>49286.89</v>
      </c>
      <c r="M959">
        <v>0</v>
      </c>
      <c r="N959">
        <v>49286.89</v>
      </c>
      <c r="O959">
        <v>17874.5</v>
      </c>
      <c r="P959">
        <v>31412.39</v>
      </c>
      <c r="Q959">
        <v>0.63729999999999998</v>
      </c>
      <c r="R959">
        <v>16</v>
      </c>
      <c r="S959">
        <v>8244.89</v>
      </c>
      <c r="T959">
        <v>0</v>
      </c>
      <c r="U959">
        <v>460.63</v>
      </c>
    </row>
    <row r="960" spans="1:21" x14ac:dyDescent="0.35">
      <c r="A960">
        <v>2025</v>
      </c>
      <c r="B960">
        <v>1</v>
      </c>
      <c r="C960">
        <v>1</v>
      </c>
      <c r="D960" s="1">
        <v>45658</v>
      </c>
      <c r="E960" s="4" t="s">
        <v>36</v>
      </c>
      <c r="F960" s="4" t="s">
        <v>28</v>
      </c>
      <c r="G960" s="4" t="s">
        <v>109</v>
      </c>
      <c r="H960">
        <v>569</v>
      </c>
      <c r="I960">
        <v>866</v>
      </c>
      <c r="J960">
        <v>0</v>
      </c>
      <c r="K960">
        <v>866</v>
      </c>
      <c r="L960">
        <v>415475.13</v>
      </c>
      <c r="M960">
        <v>0</v>
      </c>
      <c r="N960">
        <v>415475.13</v>
      </c>
      <c r="O960">
        <v>150965.5</v>
      </c>
      <c r="P960">
        <v>264509.63</v>
      </c>
      <c r="Q960">
        <v>0.63660000000000005</v>
      </c>
      <c r="R960">
        <v>76</v>
      </c>
      <c r="S960">
        <v>62647.89</v>
      </c>
      <c r="T960">
        <v>0</v>
      </c>
      <c r="U960">
        <v>730.18</v>
      </c>
    </row>
    <row r="961" spans="1:21" x14ac:dyDescent="0.35">
      <c r="A961">
        <v>2025</v>
      </c>
      <c r="B961">
        <v>1</v>
      </c>
      <c r="C961">
        <v>1</v>
      </c>
      <c r="D961" s="1">
        <v>45658</v>
      </c>
      <c r="E961" s="4" t="s">
        <v>36</v>
      </c>
      <c r="F961" s="4" t="s">
        <v>24</v>
      </c>
      <c r="G961" s="4" t="s">
        <v>107</v>
      </c>
      <c r="H961">
        <v>42</v>
      </c>
      <c r="I961">
        <v>61</v>
      </c>
      <c r="J961">
        <v>2</v>
      </c>
      <c r="K961">
        <v>59</v>
      </c>
      <c r="L961">
        <v>78693.48</v>
      </c>
      <c r="M961">
        <v>3044</v>
      </c>
      <c r="N961">
        <v>75649.48</v>
      </c>
      <c r="O961">
        <v>42495.75</v>
      </c>
      <c r="P961">
        <v>33153.730000000003</v>
      </c>
      <c r="Q961">
        <v>0.43830000000000002</v>
      </c>
      <c r="R961">
        <v>5</v>
      </c>
      <c r="S961">
        <v>9389.48</v>
      </c>
      <c r="T961">
        <v>0</v>
      </c>
      <c r="U961">
        <v>1801.18</v>
      </c>
    </row>
    <row r="962" spans="1:21" x14ac:dyDescent="0.35">
      <c r="A962">
        <v>2025</v>
      </c>
      <c r="B962">
        <v>1</v>
      </c>
      <c r="C962">
        <v>1</v>
      </c>
      <c r="D962" s="1">
        <v>45658</v>
      </c>
      <c r="E962" s="4" t="s">
        <v>36</v>
      </c>
      <c r="F962" s="4" t="s">
        <v>24</v>
      </c>
      <c r="G962" s="4" t="s">
        <v>108</v>
      </c>
      <c r="H962">
        <v>24</v>
      </c>
      <c r="I962">
        <v>31</v>
      </c>
      <c r="J962">
        <v>0</v>
      </c>
      <c r="K962">
        <v>31</v>
      </c>
      <c r="L962">
        <v>53196.08</v>
      </c>
      <c r="M962">
        <v>0</v>
      </c>
      <c r="N962">
        <v>53196.08</v>
      </c>
      <c r="O962">
        <v>30412.799999999999</v>
      </c>
      <c r="P962">
        <v>22783.279999999999</v>
      </c>
      <c r="Q962">
        <v>0.42830000000000001</v>
      </c>
      <c r="R962">
        <v>3</v>
      </c>
      <c r="S962">
        <v>7324.08</v>
      </c>
      <c r="T962">
        <v>0</v>
      </c>
      <c r="U962">
        <v>2216.5</v>
      </c>
    </row>
    <row r="963" spans="1:21" x14ac:dyDescent="0.35">
      <c r="A963">
        <v>2025</v>
      </c>
      <c r="B963">
        <v>1</v>
      </c>
      <c r="C963">
        <v>1</v>
      </c>
      <c r="D963" s="1">
        <v>45658</v>
      </c>
      <c r="E963" s="4" t="s">
        <v>36</v>
      </c>
      <c r="F963" s="4" t="s">
        <v>24</v>
      </c>
      <c r="G963" s="4" t="s">
        <v>109</v>
      </c>
      <c r="H963">
        <v>106</v>
      </c>
      <c r="I963">
        <v>165</v>
      </c>
      <c r="J963">
        <v>3</v>
      </c>
      <c r="K963">
        <v>162</v>
      </c>
      <c r="L963">
        <v>260708.84</v>
      </c>
      <c r="M963">
        <v>5187</v>
      </c>
      <c r="N963">
        <v>255521.84</v>
      </c>
      <c r="O963">
        <v>147262.5</v>
      </c>
      <c r="P963">
        <v>108259.34</v>
      </c>
      <c r="Q963">
        <v>0.42370000000000002</v>
      </c>
      <c r="R963">
        <v>12</v>
      </c>
      <c r="S963">
        <v>47698.84</v>
      </c>
      <c r="T963">
        <v>0</v>
      </c>
      <c r="U963">
        <v>2410.58</v>
      </c>
    </row>
    <row r="964" spans="1:21" x14ac:dyDescent="0.35">
      <c r="A964">
        <v>2025</v>
      </c>
      <c r="B964">
        <v>1</v>
      </c>
      <c r="C964">
        <v>1</v>
      </c>
      <c r="D964" s="1">
        <v>45658</v>
      </c>
      <c r="E964" s="4" t="s">
        <v>36</v>
      </c>
      <c r="F964" s="4" t="s">
        <v>26</v>
      </c>
      <c r="G964" s="4" t="s">
        <v>107</v>
      </c>
      <c r="H964">
        <v>1</v>
      </c>
      <c r="I964">
        <v>3</v>
      </c>
      <c r="J964">
        <v>0</v>
      </c>
      <c r="K964">
        <v>3</v>
      </c>
      <c r="L964">
        <v>1407</v>
      </c>
      <c r="M964">
        <v>0</v>
      </c>
      <c r="N964">
        <v>1407</v>
      </c>
      <c r="O964">
        <v>844.2</v>
      </c>
      <c r="P964">
        <v>562.79999999999995</v>
      </c>
      <c r="Q964">
        <v>0.4</v>
      </c>
      <c r="R964">
        <v>0</v>
      </c>
      <c r="S964">
        <v>0</v>
      </c>
      <c r="T964">
        <v>0</v>
      </c>
      <c r="U964">
        <v>1407</v>
      </c>
    </row>
    <row r="965" spans="1:21" x14ac:dyDescent="0.35">
      <c r="A965">
        <v>2025</v>
      </c>
      <c r="B965">
        <v>1</v>
      </c>
      <c r="C965">
        <v>1</v>
      </c>
      <c r="D965" s="1">
        <v>45658</v>
      </c>
      <c r="E965" s="4" t="s">
        <v>36</v>
      </c>
      <c r="F965" s="4" t="s">
        <v>26</v>
      </c>
      <c r="G965" s="4" t="s">
        <v>109</v>
      </c>
      <c r="H965">
        <v>47</v>
      </c>
      <c r="I965">
        <v>73</v>
      </c>
      <c r="J965">
        <v>5</v>
      </c>
      <c r="K965">
        <v>68</v>
      </c>
      <c r="L965">
        <v>60352.4</v>
      </c>
      <c r="M965">
        <v>4116.45</v>
      </c>
      <c r="N965">
        <v>56235.95</v>
      </c>
      <c r="O965">
        <v>35180.400000000001</v>
      </c>
      <c r="P965">
        <v>21055.55</v>
      </c>
      <c r="Q965">
        <v>0.37440000000000001</v>
      </c>
      <c r="R965">
        <v>7</v>
      </c>
      <c r="S965">
        <v>10186.950000000001</v>
      </c>
      <c r="T965">
        <v>0</v>
      </c>
      <c r="U965">
        <v>1196.51</v>
      </c>
    </row>
    <row r="966" spans="1:21" x14ac:dyDescent="0.35">
      <c r="A966">
        <v>2025</v>
      </c>
      <c r="B966">
        <v>1</v>
      </c>
      <c r="C966">
        <v>1</v>
      </c>
      <c r="D966" s="1">
        <v>45658</v>
      </c>
      <c r="E966" s="4" t="s">
        <v>23</v>
      </c>
      <c r="F966" s="4" t="s">
        <v>28</v>
      </c>
      <c r="G966" s="4" t="s">
        <v>107</v>
      </c>
      <c r="H966">
        <v>88</v>
      </c>
      <c r="I966">
        <v>143</v>
      </c>
      <c r="J966">
        <v>0</v>
      </c>
      <c r="K966">
        <v>143</v>
      </c>
      <c r="L966">
        <v>46245.16</v>
      </c>
      <c r="M966">
        <v>0</v>
      </c>
      <c r="N966">
        <v>46245.16</v>
      </c>
      <c r="O966">
        <v>16916.900000000001</v>
      </c>
      <c r="P966">
        <v>29328.26</v>
      </c>
      <c r="Q966">
        <v>0.63419999999999999</v>
      </c>
      <c r="R966">
        <v>11</v>
      </c>
      <c r="S966">
        <v>8389.16</v>
      </c>
      <c r="T966">
        <v>0</v>
      </c>
      <c r="U966">
        <v>525.51</v>
      </c>
    </row>
    <row r="967" spans="1:21" x14ac:dyDescent="0.35">
      <c r="A967">
        <v>2025</v>
      </c>
      <c r="B967">
        <v>1</v>
      </c>
      <c r="C967">
        <v>1</v>
      </c>
      <c r="D967" s="1">
        <v>45658</v>
      </c>
      <c r="E967" s="4" t="s">
        <v>23</v>
      </c>
      <c r="F967" s="4" t="s">
        <v>28</v>
      </c>
      <c r="G967" s="4" t="s">
        <v>108</v>
      </c>
      <c r="H967">
        <v>36</v>
      </c>
      <c r="I967">
        <v>53</v>
      </c>
      <c r="J967">
        <v>0</v>
      </c>
      <c r="K967">
        <v>53</v>
      </c>
      <c r="L967">
        <v>36345.1</v>
      </c>
      <c r="M967">
        <v>0</v>
      </c>
      <c r="N967">
        <v>36345.1</v>
      </c>
      <c r="O967">
        <v>13040.65</v>
      </c>
      <c r="P967">
        <v>23304.45</v>
      </c>
      <c r="Q967">
        <v>0.64119999999999999</v>
      </c>
      <c r="R967">
        <v>3</v>
      </c>
      <c r="S967">
        <v>5413.1</v>
      </c>
      <c r="T967">
        <v>0</v>
      </c>
      <c r="U967">
        <v>1009.59</v>
      </c>
    </row>
    <row r="968" spans="1:21" x14ac:dyDescent="0.35">
      <c r="A968">
        <v>2025</v>
      </c>
      <c r="B968">
        <v>1</v>
      </c>
      <c r="C968">
        <v>1</v>
      </c>
      <c r="D968" s="1">
        <v>45658</v>
      </c>
      <c r="E968" s="4" t="s">
        <v>23</v>
      </c>
      <c r="F968" s="4" t="s">
        <v>28</v>
      </c>
      <c r="G968" s="4" t="s">
        <v>109</v>
      </c>
      <c r="H968">
        <v>461</v>
      </c>
      <c r="I968">
        <v>702</v>
      </c>
      <c r="J968">
        <v>0</v>
      </c>
      <c r="K968">
        <v>702</v>
      </c>
      <c r="L968">
        <v>327141.8</v>
      </c>
      <c r="M968">
        <v>0</v>
      </c>
      <c r="N968">
        <v>327141.8</v>
      </c>
      <c r="O968">
        <v>119110.25</v>
      </c>
      <c r="P968">
        <v>208031.55</v>
      </c>
      <c r="Q968">
        <v>0.63590000000000002</v>
      </c>
      <c r="R968">
        <v>58</v>
      </c>
      <c r="S968">
        <v>50072.62</v>
      </c>
      <c r="T968">
        <v>0</v>
      </c>
      <c r="U968">
        <v>709.64</v>
      </c>
    </row>
    <row r="969" spans="1:21" x14ac:dyDescent="0.35">
      <c r="A969">
        <v>2025</v>
      </c>
      <c r="B969">
        <v>1</v>
      </c>
      <c r="C969">
        <v>1</v>
      </c>
      <c r="D969" s="1">
        <v>45658</v>
      </c>
      <c r="E969" s="4" t="s">
        <v>23</v>
      </c>
      <c r="F969" s="4" t="s">
        <v>24</v>
      </c>
      <c r="G969" s="4" t="s">
        <v>107</v>
      </c>
      <c r="H969">
        <v>49</v>
      </c>
      <c r="I969">
        <v>71</v>
      </c>
      <c r="J969">
        <v>0</v>
      </c>
      <c r="K969">
        <v>71</v>
      </c>
      <c r="L969">
        <v>121397.45</v>
      </c>
      <c r="M969">
        <v>0</v>
      </c>
      <c r="N969">
        <v>121397.45</v>
      </c>
      <c r="O969">
        <v>69403.95</v>
      </c>
      <c r="P969">
        <v>51993.5</v>
      </c>
      <c r="Q969">
        <v>0.42830000000000001</v>
      </c>
      <c r="R969">
        <v>5</v>
      </c>
      <c r="S969">
        <v>21307.45</v>
      </c>
      <c r="T969">
        <v>0</v>
      </c>
      <c r="U969">
        <v>2477.5</v>
      </c>
    </row>
    <row r="970" spans="1:21" x14ac:dyDescent="0.35">
      <c r="A970">
        <v>2025</v>
      </c>
      <c r="B970">
        <v>1</v>
      </c>
      <c r="C970">
        <v>1</v>
      </c>
      <c r="D970" s="1">
        <v>45658</v>
      </c>
      <c r="E970" s="4" t="s">
        <v>23</v>
      </c>
      <c r="F970" s="4" t="s">
        <v>24</v>
      </c>
      <c r="G970" s="4" t="s">
        <v>109</v>
      </c>
      <c r="H970">
        <v>109</v>
      </c>
      <c r="I970">
        <v>158</v>
      </c>
      <c r="J970">
        <v>1</v>
      </c>
      <c r="K970">
        <v>157</v>
      </c>
      <c r="L970">
        <v>171856.15</v>
      </c>
      <c r="M970">
        <v>1036</v>
      </c>
      <c r="N970">
        <v>170820.15</v>
      </c>
      <c r="O970">
        <v>98136.5</v>
      </c>
      <c r="P970">
        <v>72683.649999999994</v>
      </c>
      <c r="Q970">
        <v>0.42549999999999999</v>
      </c>
      <c r="R970">
        <v>14</v>
      </c>
      <c r="S970">
        <v>24777.88</v>
      </c>
      <c r="T970">
        <v>0</v>
      </c>
      <c r="U970">
        <v>1567.16</v>
      </c>
    </row>
    <row r="971" spans="1:21" x14ac:dyDescent="0.35">
      <c r="A971">
        <v>2025</v>
      </c>
      <c r="B971">
        <v>1</v>
      </c>
      <c r="C971">
        <v>1</v>
      </c>
      <c r="D971" s="1">
        <v>45658</v>
      </c>
      <c r="E971" s="4" t="s">
        <v>23</v>
      </c>
      <c r="F971" s="4" t="s">
        <v>26</v>
      </c>
      <c r="G971" s="4" t="s">
        <v>107</v>
      </c>
      <c r="H971">
        <v>4</v>
      </c>
      <c r="I971">
        <v>5</v>
      </c>
      <c r="J971">
        <v>0</v>
      </c>
      <c r="K971">
        <v>5</v>
      </c>
      <c r="L971">
        <v>2655</v>
      </c>
      <c r="M971">
        <v>0</v>
      </c>
      <c r="N971">
        <v>2655</v>
      </c>
      <c r="O971">
        <v>1593</v>
      </c>
      <c r="P971">
        <v>1062</v>
      </c>
      <c r="Q971">
        <v>0.4</v>
      </c>
      <c r="R971">
        <v>0</v>
      </c>
      <c r="S971">
        <v>0</v>
      </c>
      <c r="T971">
        <v>0</v>
      </c>
      <c r="U971">
        <v>663.75</v>
      </c>
    </row>
    <row r="972" spans="1:21" x14ac:dyDescent="0.35">
      <c r="A972">
        <v>2025</v>
      </c>
      <c r="B972">
        <v>1</v>
      </c>
      <c r="C972">
        <v>1</v>
      </c>
      <c r="D972" s="1">
        <v>45658</v>
      </c>
      <c r="E972" s="4" t="s">
        <v>23</v>
      </c>
      <c r="F972" s="4" t="s">
        <v>26</v>
      </c>
      <c r="G972" s="4" t="s">
        <v>109</v>
      </c>
      <c r="H972">
        <v>33</v>
      </c>
      <c r="I972">
        <v>49</v>
      </c>
      <c r="J972">
        <v>4</v>
      </c>
      <c r="K972">
        <v>45</v>
      </c>
      <c r="L972">
        <v>27275.22</v>
      </c>
      <c r="M972">
        <v>1368</v>
      </c>
      <c r="N972">
        <v>25907.22</v>
      </c>
      <c r="O972">
        <v>16415.400000000001</v>
      </c>
      <c r="P972">
        <v>9491.82</v>
      </c>
      <c r="Q972">
        <v>0.3664</v>
      </c>
      <c r="R972">
        <v>4</v>
      </c>
      <c r="S972">
        <v>3824.22</v>
      </c>
      <c r="T972">
        <v>0</v>
      </c>
      <c r="U972">
        <v>785.07</v>
      </c>
    </row>
    <row r="973" spans="1:21" x14ac:dyDescent="0.35">
      <c r="A973">
        <v>2025</v>
      </c>
      <c r="B973">
        <v>1</v>
      </c>
      <c r="C973">
        <v>1</v>
      </c>
      <c r="D973" s="1">
        <v>45658</v>
      </c>
      <c r="E973" s="4" t="s">
        <v>25</v>
      </c>
      <c r="F973" s="4" t="s">
        <v>28</v>
      </c>
      <c r="G973" s="4" t="s">
        <v>107</v>
      </c>
      <c r="H973">
        <v>20</v>
      </c>
      <c r="I973">
        <v>27</v>
      </c>
      <c r="J973">
        <v>0</v>
      </c>
      <c r="K973">
        <v>27</v>
      </c>
      <c r="L973">
        <v>13076.07</v>
      </c>
      <c r="M973">
        <v>0</v>
      </c>
      <c r="N973">
        <v>13076.07</v>
      </c>
      <c r="O973">
        <v>4696.6499999999996</v>
      </c>
      <c r="P973">
        <v>8379.42</v>
      </c>
      <c r="Q973">
        <v>0.64080000000000004</v>
      </c>
      <c r="R973">
        <v>1</v>
      </c>
      <c r="S973">
        <v>1148.07</v>
      </c>
      <c r="T973">
        <v>0</v>
      </c>
      <c r="U973">
        <v>653.79999999999995</v>
      </c>
    </row>
    <row r="974" spans="1:21" x14ac:dyDescent="0.35">
      <c r="A974">
        <v>2025</v>
      </c>
      <c r="B974">
        <v>1</v>
      </c>
      <c r="C974">
        <v>1</v>
      </c>
      <c r="D974" s="1">
        <v>45658</v>
      </c>
      <c r="E974" s="4" t="s">
        <v>25</v>
      </c>
      <c r="F974" s="4" t="s">
        <v>28</v>
      </c>
      <c r="G974" s="4" t="s">
        <v>109</v>
      </c>
      <c r="H974">
        <v>545</v>
      </c>
      <c r="I974">
        <v>803</v>
      </c>
      <c r="J974">
        <v>0</v>
      </c>
      <c r="K974">
        <v>803</v>
      </c>
      <c r="L974">
        <v>416894.8</v>
      </c>
      <c r="M974">
        <v>0</v>
      </c>
      <c r="N974">
        <v>416894.8</v>
      </c>
      <c r="O974">
        <v>148962.1</v>
      </c>
      <c r="P974">
        <v>267932.7</v>
      </c>
      <c r="Q974">
        <v>0.64270000000000005</v>
      </c>
      <c r="R974">
        <v>48</v>
      </c>
      <c r="S974">
        <v>40507.760000000002</v>
      </c>
      <c r="T974">
        <v>0</v>
      </c>
      <c r="U974">
        <v>764.94</v>
      </c>
    </row>
    <row r="975" spans="1:21" x14ac:dyDescent="0.35">
      <c r="A975">
        <v>2025</v>
      </c>
      <c r="B975">
        <v>1</v>
      </c>
      <c r="C975">
        <v>1</v>
      </c>
      <c r="D975" s="1">
        <v>45658</v>
      </c>
      <c r="E975" s="4" t="s">
        <v>25</v>
      </c>
      <c r="F975" s="4" t="s">
        <v>24</v>
      </c>
      <c r="G975" s="4" t="s">
        <v>107</v>
      </c>
      <c r="H975">
        <v>16</v>
      </c>
      <c r="I975">
        <v>20</v>
      </c>
      <c r="J975">
        <v>2</v>
      </c>
      <c r="K975">
        <v>18</v>
      </c>
      <c r="L975">
        <v>35828.36</v>
      </c>
      <c r="M975">
        <v>3670</v>
      </c>
      <c r="N975">
        <v>32158.36</v>
      </c>
      <c r="O975">
        <v>19231.3</v>
      </c>
      <c r="P975">
        <v>12927.06</v>
      </c>
      <c r="Q975">
        <v>0.40200000000000002</v>
      </c>
      <c r="R975">
        <v>3</v>
      </c>
      <c r="S975">
        <v>8688.36</v>
      </c>
      <c r="T975">
        <v>0</v>
      </c>
      <c r="U975">
        <v>2009.9</v>
      </c>
    </row>
    <row r="976" spans="1:21" x14ac:dyDescent="0.35">
      <c r="A976">
        <v>2025</v>
      </c>
      <c r="B976">
        <v>1</v>
      </c>
      <c r="C976">
        <v>1</v>
      </c>
      <c r="D976" s="1">
        <v>45658</v>
      </c>
      <c r="E976" s="4" t="s">
        <v>25</v>
      </c>
      <c r="F976" s="4" t="s">
        <v>24</v>
      </c>
      <c r="G976" s="4" t="s">
        <v>109</v>
      </c>
      <c r="H976">
        <v>163</v>
      </c>
      <c r="I976">
        <v>253</v>
      </c>
      <c r="J976">
        <v>5</v>
      </c>
      <c r="K976">
        <v>248</v>
      </c>
      <c r="L976">
        <v>393091.83</v>
      </c>
      <c r="M976">
        <v>6835</v>
      </c>
      <c r="N976">
        <v>386256.83</v>
      </c>
      <c r="O976">
        <v>221684.1</v>
      </c>
      <c r="P976">
        <v>164572.73000000001</v>
      </c>
      <c r="Q976">
        <v>0.42609999999999998</v>
      </c>
      <c r="R976">
        <v>20</v>
      </c>
      <c r="S976">
        <v>59402.83</v>
      </c>
      <c r="T976">
        <v>0</v>
      </c>
      <c r="U976">
        <v>2369.67</v>
      </c>
    </row>
    <row r="977" spans="1:21" x14ac:dyDescent="0.35">
      <c r="A977">
        <v>2025</v>
      </c>
      <c r="B977">
        <v>1</v>
      </c>
      <c r="C977">
        <v>1</v>
      </c>
      <c r="D977" s="1">
        <v>45658</v>
      </c>
      <c r="E977" s="4" t="s">
        <v>25</v>
      </c>
      <c r="F977" s="4" t="s">
        <v>26</v>
      </c>
      <c r="G977" s="4" t="s">
        <v>107</v>
      </c>
      <c r="H977">
        <v>10</v>
      </c>
      <c r="I977">
        <v>12</v>
      </c>
      <c r="J977">
        <v>0</v>
      </c>
      <c r="K977">
        <v>12</v>
      </c>
      <c r="L977">
        <v>12190</v>
      </c>
      <c r="M977">
        <v>0</v>
      </c>
      <c r="N977">
        <v>12190</v>
      </c>
      <c r="O977">
        <v>7314</v>
      </c>
      <c r="P977">
        <v>4876</v>
      </c>
      <c r="Q977">
        <v>0.4</v>
      </c>
      <c r="R977">
        <v>0</v>
      </c>
      <c r="S977">
        <v>0</v>
      </c>
      <c r="T977">
        <v>0</v>
      </c>
      <c r="U977">
        <v>1219</v>
      </c>
    </row>
    <row r="978" spans="1:21" x14ac:dyDescent="0.35">
      <c r="A978">
        <v>2025</v>
      </c>
      <c r="B978">
        <v>1</v>
      </c>
      <c r="C978">
        <v>1</v>
      </c>
      <c r="D978" s="1">
        <v>45658</v>
      </c>
      <c r="E978" s="4" t="s">
        <v>25</v>
      </c>
      <c r="F978" s="4" t="s">
        <v>26</v>
      </c>
      <c r="G978" s="4" t="s">
        <v>109</v>
      </c>
      <c r="H978">
        <v>35</v>
      </c>
      <c r="I978">
        <v>53</v>
      </c>
      <c r="J978">
        <v>0</v>
      </c>
      <c r="K978">
        <v>53</v>
      </c>
      <c r="L978">
        <v>37478.160000000003</v>
      </c>
      <c r="M978">
        <v>0</v>
      </c>
      <c r="N978">
        <v>37478.160000000003</v>
      </c>
      <c r="O978">
        <v>22636.799999999999</v>
      </c>
      <c r="P978">
        <v>14841.36</v>
      </c>
      <c r="Q978">
        <v>0.39600000000000002</v>
      </c>
      <c r="R978">
        <v>2</v>
      </c>
      <c r="S978">
        <v>1846.16</v>
      </c>
      <c r="T978">
        <v>0</v>
      </c>
      <c r="U978">
        <v>1070.8</v>
      </c>
    </row>
    <row r="979" spans="1:21" x14ac:dyDescent="0.35">
      <c r="A979">
        <v>2025</v>
      </c>
      <c r="B979">
        <v>1</v>
      </c>
      <c r="C979">
        <v>1</v>
      </c>
      <c r="D979" s="1">
        <v>45658</v>
      </c>
      <c r="E979" s="4" t="s">
        <v>29</v>
      </c>
      <c r="F979" s="4" t="s">
        <v>28</v>
      </c>
      <c r="G979" s="4" t="s">
        <v>107</v>
      </c>
      <c r="H979">
        <v>173</v>
      </c>
      <c r="I979">
        <v>250</v>
      </c>
      <c r="J979">
        <v>0</v>
      </c>
      <c r="K979">
        <v>250</v>
      </c>
      <c r="L979">
        <v>117425.28</v>
      </c>
      <c r="M979">
        <v>0</v>
      </c>
      <c r="N979">
        <v>117425.28</v>
      </c>
      <c r="O979">
        <v>42168</v>
      </c>
      <c r="P979">
        <v>75257.279999999999</v>
      </c>
      <c r="Q979">
        <v>0.64090000000000003</v>
      </c>
      <c r="R979">
        <v>21</v>
      </c>
      <c r="S979">
        <v>14573.28</v>
      </c>
      <c r="T979">
        <v>0</v>
      </c>
      <c r="U979">
        <v>678.76</v>
      </c>
    </row>
    <row r="980" spans="1:21" x14ac:dyDescent="0.35">
      <c r="A980">
        <v>2025</v>
      </c>
      <c r="B980">
        <v>1</v>
      </c>
      <c r="C980">
        <v>1</v>
      </c>
      <c r="D980" s="1">
        <v>45658</v>
      </c>
      <c r="E980" s="4" t="s">
        <v>29</v>
      </c>
      <c r="F980" s="4" t="s">
        <v>28</v>
      </c>
      <c r="G980" s="4" t="s">
        <v>108</v>
      </c>
      <c r="H980">
        <v>25</v>
      </c>
      <c r="I980">
        <v>35</v>
      </c>
      <c r="J980">
        <v>0</v>
      </c>
      <c r="K980">
        <v>35</v>
      </c>
      <c r="L980">
        <v>20355.84</v>
      </c>
      <c r="M980">
        <v>0</v>
      </c>
      <c r="N980">
        <v>20355.84</v>
      </c>
      <c r="O980">
        <v>7448</v>
      </c>
      <c r="P980">
        <v>12907.84</v>
      </c>
      <c r="Q980">
        <v>0.6341</v>
      </c>
      <c r="R980">
        <v>4</v>
      </c>
      <c r="S980">
        <v>2115.84</v>
      </c>
      <c r="T980">
        <v>0</v>
      </c>
      <c r="U980">
        <v>814.23</v>
      </c>
    </row>
    <row r="981" spans="1:21" x14ac:dyDescent="0.35">
      <c r="A981">
        <v>2025</v>
      </c>
      <c r="B981">
        <v>1</v>
      </c>
      <c r="C981">
        <v>1</v>
      </c>
      <c r="D981" s="1">
        <v>45658</v>
      </c>
      <c r="E981" s="4" t="s">
        <v>29</v>
      </c>
      <c r="F981" s="4" t="s">
        <v>28</v>
      </c>
      <c r="G981" s="4" t="s">
        <v>109</v>
      </c>
      <c r="H981">
        <v>696</v>
      </c>
      <c r="I981">
        <v>1062</v>
      </c>
      <c r="J981">
        <v>0</v>
      </c>
      <c r="K981">
        <v>1062</v>
      </c>
      <c r="L981">
        <v>511271.79</v>
      </c>
      <c r="M981">
        <v>0</v>
      </c>
      <c r="N981">
        <v>511271.79</v>
      </c>
      <c r="O981">
        <v>185970.75</v>
      </c>
      <c r="P981">
        <v>325301.03999999998</v>
      </c>
      <c r="Q981">
        <v>0.63629999999999998</v>
      </c>
      <c r="R981">
        <v>86</v>
      </c>
      <c r="S981">
        <v>76821.789999999994</v>
      </c>
      <c r="T981">
        <v>0</v>
      </c>
      <c r="U981">
        <v>734.59</v>
      </c>
    </row>
    <row r="982" spans="1:21" x14ac:dyDescent="0.35">
      <c r="A982">
        <v>2025</v>
      </c>
      <c r="B982">
        <v>1</v>
      </c>
      <c r="C982">
        <v>1</v>
      </c>
      <c r="D982" s="1">
        <v>45658</v>
      </c>
      <c r="E982" s="4" t="s">
        <v>29</v>
      </c>
      <c r="F982" s="4" t="s">
        <v>24</v>
      </c>
      <c r="G982" s="4" t="s">
        <v>107</v>
      </c>
      <c r="H982">
        <v>5</v>
      </c>
      <c r="I982">
        <v>6</v>
      </c>
      <c r="J982">
        <v>0</v>
      </c>
      <c r="K982">
        <v>6</v>
      </c>
      <c r="L982">
        <v>5184</v>
      </c>
      <c r="M982">
        <v>0</v>
      </c>
      <c r="N982">
        <v>5184</v>
      </c>
      <c r="O982">
        <v>2851.2</v>
      </c>
      <c r="P982">
        <v>2332.8000000000002</v>
      </c>
      <c r="Q982">
        <v>0.45</v>
      </c>
      <c r="R982">
        <v>0</v>
      </c>
      <c r="S982">
        <v>0</v>
      </c>
      <c r="T982">
        <v>0</v>
      </c>
      <c r="U982">
        <v>1036.8</v>
      </c>
    </row>
    <row r="983" spans="1:21" x14ac:dyDescent="0.35">
      <c r="A983">
        <v>2025</v>
      </c>
      <c r="B983">
        <v>1</v>
      </c>
      <c r="C983">
        <v>1</v>
      </c>
      <c r="D983" s="1">
        <v>45658</v>
      </c>
      <c r="E983" s="4" t="s">
        <v>29</v>
      </c>
      <c r="F983" s="4" t="s">
        <v>24</v>
      </c>
      <c r="G983" s="4" t="s">
        <v>108</v>
      </c>
      <c r="H983">
        <v>14</v>
      </c>
      <c r="I983">
        <v>20</v>
      </c>
      <c r="J983">
        <v>0</v>
      </c>
      <c r="K983">
        <v>20</v>
      </c>
      <c r="L983">
        <v>14008.96</v>
      </c>
      <c r="M983">
        <v>0</v>
      </c>
      <c r="N983">
        <v>14008.96</v>
      </c>
      <c r="O983">
        <v>8162</v>
      </c>
      <c r="P983">
        <v>5846.96</v>
      </c>
      <c r="Q983">
        <v>0.41739999999999999</v>
      </c>
      <c r="R983">
        <v>2</v>
      </c>
      <c r="S983">
        <v>2878.96</v>
      </c>
      <c r="T983">
        <v>0</v>
      </c>
      <c r="U983">
        <v>1000.64</v>
      </c>
    </row>
    <row r="984" spans="1:21" x14ac:dyDescent="0.35">
      <c r="A984">
        <v>2025</v>
      </c>
      <c r="B984">
        <v>1</v>
      </c>
      <c r="C984">
        <v>1</v>
      </c>
      <c r="D984" s="1">
        <v>45658</v>
      </c>
      <c r="E984" s="4" t="s">
        <v>29</v>
      </c>
      <c r="F984" s="4" t="s">
        <v>24</v>
      </c>
      <c r="G984" s="4" t="s">
        <v>109</v>
      </c>
      <c r="H984">
        <v>139</v>
      </c>
      <c r="I984">
        <v>211</v>
      </c>
      <c r="J984">
        <v>12</v>
      </c>
      <c r="K984">
        <v>199</v>
      </c>
      <c r="L984">
        <v>386392.88</v>
      </c>
      <c r="M984">
        <v>22296</v>
      </c>
      <c r="N984">
        <v>364096.88</v>
      </c>
      <c r="O984">
        <v>206698.25</v>
      </c>
      <c r="P984">
        <v>157398.63</v>
      </c>
      <c r="Q984">
        <v>0.43230000000000002</v>
      </c>
      <c r="R984">
        <v>15</v>
      </c>
      <c r="S984">
        <v>57759.88</v>
      </c>
      <c r="T984">
        <v>0</v>
      </c>
      <c r="U984">
        <v>2619.4</v>
      </c>
    </row>
    <row r="985" spans="1:21" x14ac:dyDescent="0.35">
      <c r="A985">
        <v>2025</v>
      </c>
      <c r="B985">
        <v>1</v>
      </c>
      <c r="C985">
        <v>1</v>
      </c>
      <c r="D985" s="1">
        <v>45658</v>
      </c>
      <c r="E985" s="4" t="s">
        <v>29</v>
      </c>
      <c r="F985" s="4" t="s">
        <v>26</v>
      </c>
      <c r="G985" s="4" t="s">
        <v>107</v>
      </c>
      <c r="H985">
        <v>21</v>
      </c>
      <c r="I985">
        <v>34</v>
      </c>
      <c r="J985">
        <v>1</v>
      </c>
      <c r="K985">
        <v>33</v>
      </c>
      <c r="L985">
        <v>22040.57</v>
      </c>
      <c r="M985">
        <v>301</v>
      </c>
      <c r="N985">
        <v>21739.57</v>
      </c>
      <c r="O985">
        <v>13583.4</v>
      </c>
      <c r="P985">
        <v>8156.17</v>
      </c>
      <c r="Q985">
        <v>0.37519999999999998</v>
      </c>
      <c r="R985">
        <v>2</v>
      </c>
      <c r="S985">
        <v>3064.57</v>
      </c>
      <c r="T985">
        <v>0</v>
      </c>
      <c r="U985">
        <v>1035.22</v>
      </c>
    </row>
    <row r="986" spans="1:21" x14ac:dyDescent="0.35">
      <c r="A986">
        <v>2025</v>
      </c>
      <c r="B986">
        <v>1</v>
      </c>
      <c r="C986">
        <v>1</v>
      </c>
      <c r="D986" s="1">
        <v>45658</v>
      </c>
      <c r="E986" s="4" t="s">
        <v>29</v>
      </c>
      <c r="F986" s="4" t="s">
        <v>26</v>
      </c>
      <c r="G986" s="4" t="s">
        <v>109</v>
      </c>
      <c r="H986">
        <v>22</v>
      </c>
      <c r="I986">
        <v>33</v>
      </c>
      <c r="J986">
        <v>1</v>
      </c>
      <c r="K986">
        <v>32</v>
      </c>
      <c r="L986">
        <v>25608.41</v>
      </c>
      <c r="M986">
        <v>944</v>
      </c>
      <c r="N986">
        <v>24664.41</v>
      </c>
      <c r="O986">
        <v>15475.8</v>
      </c>
      <c r="P986">
        <v>9188.61</v>
      </c>
      <c r="Q986">
        <v>0.3725</v>
      </c>
      <c r="R986">
        <v>4</v>
      </c>
      <c r="S986">
        <v>6061.41</v>
      </c>
      <c r="T986">
        <v>0</v>
      </c>
      <c r="U986">
        <v>1121.1099999999999</v>
      </c>
    </row>
    <row r="987" spans="1:21" x14ac:dyDescent="0.35">
      <c r="A987">
        <v>2025</v>
      </c>
      <c r="B987">
        <v>1</v>
      </c>
      <c r="C987">
        <v>1</v>
      </c>
      <c r="D987" s="1">
        <v>45658</v>
      </c>
      <c r="E987" s="4" t="s">
        <v>31</v>
      </c>
      <c r="F987" s="4" t="s">
        <v>28</v>
      </c>
      <c r="G987" s="4" t="s">
        <v>107</v>
      </c>
      <c r="H987">
        <v>64</v>
      </c>
      <c r="I987">
        <v>98</v>
      </c>
      <c r="J987">
        <v>0</v>
      </c>
      <c r="K987">
        <v>98</v>
      </c>
      <c r="L987">
        <v>37182.39</v>
      </c>
      <c r="M987">
        <v>0</v>
      </c>
      <c r="N987">
        <v>37182.39</v>
      </c>
      <c r="O987">
        <v>13830.95</v>
      </c>
      <c r="P987">
        <v>23351.439999999999</v>
      </c>
      <c r="Q987">
        <v>0.628</v>
      </c>
      <c r="R987">
        <v>9</v>
      </c>
      <c r="S987">
        <v>6738.39</v>
      </c>
      <c r="T987">
        <v>0</v>
      </c>
      <c r="U987">
        <v>580.97</v>
      </c>
    </row>
    <row r="988" spans="1:21" x14ac:dyDescent="0.35">
      <c r="A988">
        <v>2025</v>
      </c>
      <c r="B988">
        <v>1</v>
      </c>
      <c r="C988">
        <v>1</v>
      </c>
      <c r="D988" s="1">
        <v>45658</v>
      </c>
      <c r="E988" s="4" t="s">
        <v>31</v>
      </c>
      <c r="F988" s="4" t="s">
        <v>28</v>
      </c>
      <c r="G988" s="4" t="s">
        <v>108</v>
      </c>
      <c r="H988">
        <v>237</v>
      </c>
      <c r="I988">
        <v>342</v>
      </c>
      <c r="J988">
        <v>0</v>
      </c>
      <c r="K988">
        <v>342</v>
      </c>
      <c r="L988">
        <v>131413.98000000001</v>
      </c>
      <c r="M988">
        <v>0</v>
      </c>
      <c r="N988">
        <v>131413.98000000001</v>
      </c>
      <c r="O988">
        <v>47237.4</v>
      </c>
      <c r="P988">
        <v>84176.58</v>
      </c>
      <c r="Q988">
        <v>0.64049999999999996</v>
      </c>
      <c r="R988">
        <v>26</v>
      </c>
      <c r="S988">
        <v>15677.48</v>
      </c>
      <c r="T988">
        <v>0</v>
      </c>
      <c r="U988">
        <v>554.49</v>
      </c>
    </row>
    <row r="989" spans="1:21" x14ac:dyDescent="0.35">
      <c r="A989">
        <v>2025</v>
      </c>
      <c r="B989">
        <v>1</v>
      </c>
      <c r="C989">
        <v>1</v>
      </c>
      <c r="D989" s="1">
        <v>45658</v>
      </c>
      <c r="E989" s="4" t="s">
        <v>31</v>
      </c>
      <c r="F989" s="4" t="s">
        <v>28</v>
      </c>
      <c r="G989" s="4" t="s">
        <v>109</v>
      </c>
      <c r="H989">
        <v>781</v>
      </c>
      <c r="I989">
        <v>1212</v>
      </c>
      <c r="J989">
        <v>0</v>
      </c>
      <c r="K989">
        <v>1212</v>
      </c>
      <c r="L989">
        <v>586298.13</v>
      </c>
      <c r="M989">
        <v>0</v>
      </c>
      <c r="N989">
        <v>586298.13</v>
      </c>
      <c r="O989">
        <v>212815.4</v>
      </c>
      <c r="P989">
        <v>373482.73</v>
      </c>
      <c r="Q989">
        <v>0.63700000000000001</v>
      </c>
      <c r="R989">
        <v>102</v>
      </c>
      <c r="S989">
        <v>85189.34</v>
      </c>
      <c r="T989">
        <v>0</v>
      </c>
      <c r="U989">
        <v>750.7</v>
      </c>
    </row>
    <row r="990" spans="1:21" x14ac:dyDescent="0.35">
      <c r="A990">
        <v>2025</v>
      </c>
      <c r="B990">
        <v>1</v>
      </c>
      <c r="C990">
        <v>1</v>
      </c>
      <c r="D990" s="1">
        <v>45658</v>
      </c>
      <c r="E990" s="4" t="s">
        <v>31</v>
      </c>
      <c r="F990" s="4" t="s">
        <v>24</v>
      </c>
      <c r="G990" s="4" t="s">
        <v>107</v>
      </c>
      <c r="H990">
        <v>10</v>
      </c>
      <c r="I990">
        <v>17</v>
      </c>
      <c r="J990">
        <v>0</v>
      </c>
      <c r="K990">
        <v>17</v>
      </c>
      <c r="L990">
        <v>30770</v>
      </c>
      <c r="M990">
        <v>0</v>
      </c>
      <c r="N990">
        <v>30770</v>
      </c>
      <c r="O990">
        <v>16923.5</v>
      </c>
      <c r="P990">
        <v>13846.5</v>
      </c>
      <c r="Q990">
        <v>0.45</v>
      </c>
      <c r="R990">
        <v>0</v>
      </c>
      <c r="S990">
        <v>0</v>
      </c>
      <c r="T990">
        <v>0</v>
      </c>
      <c r="U990">
        <v>3077</v>
      </c>
    </row>
    <row r="991" spans="1:21" x14ac:dyDescent="0.35">
      <c r="A991">
        <v>2025</v>
      </c>
      <c r="B991">
        <v>1</v>
      </c>
      <c r="C991">
        <v>1</v>
      </c>
      <c r="D991" s="1">
        <v>45658</v>
      </c>
      <c r="E991" s="4" t="s">
        <v>31</v>
      </c>
      <c r="F991" s="4" t="s">
        <v>24</v>
      </c>
      <c r="G991" s="4" t="s">
        <v>109</v>
      </c>
      <c r="H991">
        <v>209</v>
      </c>
      <c r="I991">
        <v>305</v>
      </c>
      <c r="J991">
        <v>10</v>
      </c>
      <c r="K991">
        <v>295</v>
      </c>
      <c r="L991">
        <v>425291.16</v>
      </c>
      <c r="M991">
        <v>13161.08</v>
      </c>
      <c r="N991">
        <v>412130.08</v>
      </c>
      <c r="O991">
        <v>232591.7</v>
      </c>
      <c r="P991">
        <v>179538.38</v>
      </c>
      <c r="Q991">
        <v>0.43559999999999999</v>
      </c>
      <c r="R991">
        <v>18</v>
      </c>
      <c r="S991">
        <v>38724.080000000002</v>
      </c>
      <c r="T991">
        <v>0</v>
      </c>
      <c r="U991">
        <v>1971.91</v>
      </c>
    </row>
    <row r="992" spans="1:21" x14ac:dyDescent="0.35">
      <c r="A992">
        <v>2025</v>
      </c>
      <c r="B992">
        <v>1</v>
      </c>
      <c r="C992">
        <v>1</v>
      </c>
      <c r="D992" s="1">
        <v>45658</v>
      </c>
      <c r="E992" s="4" t="s">
        <v>31</v>
      </c>
      <c r="F992" s="4" t="s">
        <v>26</v>
      </c>
      <c r="G992" s="4" t="s">
        <v>107</v>
      </c>
      <c r="H992">
        <v>5</v>
      </c>
      <c r="I992">
        <v>6</v>
      </c>
      <c r="J992">
        <v>0</v>
      </c>
      <c r="K992">
        <v>6</v>
      </c>
      <c r="L992">
        <v>2940</v>
      </c>
      <c r="M992">
        <v>0</v>
      </c>
      <c r="N992">
        <v>2940</v>
      </c>
      <c r="O992">
        <v>1764</v>
      </c>
      <c r="P992">
        <v>1176</v>
      </c>
      <c r="Q992">
        <v>0.4</v>
      </c>
      <c r="R992">
        <v>0</v>
      </c>
      <c r="S992">
        <v>0</v>
      </c>
      <c r="T992">
        <v>0</v>
      </c>
      <c r="U992">
        <v>588</v>
      </c>
    </row>
    <row r="993" spans="1:21" x14ac:dyDescent="0.35">
      <c r="A993">
        <v>2025</v>
      </c>
      <c r="B993">
        <v>1</v>
      </c>
      <c r="C993">
        <v>1</v>
      </c>
      <c r="D993" s="1">
        <v>45658</v>
      </c>
      <c r="E993" s="4" t="s">
        <v>31</v>
      </c>
      <c r="F993" s="4" t="s">
        <v>26</v>
      </c>
      <c r="G993" s="4" t="s">
        <v>108</v>
      </c>
      <c r="H993">
        <v>1</v>
      </c>
      <c r="I993">
        <v>1</v>
      </c>
      <c r="J993">
        <v>0</v>
      </c>
      <c r="K993">
        <v>1</v>
      </c>
      <c r="L993">
        <v>726</v>
      </c>
      <c r="M993">
        <v>0</v>
      </c>
      <c r="N993">
        <v>726</v>
      </c>
      <c r="O993">
        <v>435.6</v>
      </c>
      <c r="P993">
        <v>290.39999999999998</v>
      </c>
      <c r="Q993">
        <v>0.4</v>
      </c>
      <c r="R993">
        <v>0</v>
      </c>
      <c r="S993">
        <v>0</v>
      </c>
      <c r="T993">
        <v>0</v>
      </c>
      <c r="U993">
        <v>726</v>
      </c>
    </row>
    <row r="994" spans="1:21" x14ac:dyDescent="0.35">
      <c r="A994">
        <v>2025</v>
      </c>
      <c r="B994">
        <v>1</v>
      </c>
      <c r="C994">
        <v>1</v>
      </c>
      <c r="D994" s="1">
        <v>45658</v>
      </c>
      <c r="E994" s="4" t="s">
        <v>31</v>
      </c>
      <c r="F994" s="4" t="s">
        <v>26</v>
      </c>
      <c r="G994" s="4" t="s">
        <v>109</v>
      </c>
      <c r="H994">
        <v>26</v>
      </c>
      <c r="I994">
        <v>41</v>
      </c>
      <c r="J994">
        <v>0</v>
      </c>
      <c r="K994">
        <v>41</v>
      </c>
      <c r="L994">
        <v>32924.300000000003</v>
      </c>
      <c r="M994">
        <v>0</v>
      </c>
      <c r="N994">
        <v>32924.300000000003</v>
      </c>
      <c r="O994">
        <v>21318</v>
      </c>
      <c r="P994">
        <v>11606.3</v>
      </c>
      <c r="Q994">
        <v>0.35249999999999998</v>
      </c>
      <c r="R994">
        <v>8</v>
      </c>
      <c r="S994">
        <v>13421.3</v>
      </c>
      <c r="T994">
        <v>0</v>
      </c>
      <c r="U994">
        <v>1266.32</v>
      </c>
    </row>
    <row r="995" spans="1:21" x14ac:dyDescent="0.35">
      <c r="A995">
        <v>2025</v>
      </c>
      <c r="B995">
        <v>1</v>
      </c>
      <c r="C995">
        <v>1</v>
      </c>
      <c r="D995" s="1">
        <v>45658</v>
      </c>
      <c r="E995" s="4" t="s">
        <v>30</v>
      </c>
      <c r="F995" s="4" t="s">
        <v>28</v>
      </c>
      <c r="G995" s="4" t="s">
        <v>107</v>
      </c>
      <c r="H995">
        <v>102</v>
      </c>
      <c r="I995">
        <v>150</v>
      </c>
      <c r="J995">
        <v>0</v>
      </c>
      <c r="K995">
        <v>150</v>
      </c>
      <c r="L995">
        <v>65058.79</v>
      </c>
      <c r="M995">
        <v>0</v>
      </c>
      <c r="N995">
        <v>65058.79</v>
      </c>
      <c r="O995">
        <v>23677.5</v>
      </c>
      <c r="P995">
        <v>41381.29</v>
      </c>
      <c r="Q995">
        <v>0.6361</v>
      </c>
      <c r="R995">
        <v>15</v>
      </c>
      <c r="S995">
        <v>11825.22</v>
      </c>
      <c r="T995">
        <v>0</v>
      </c>
      <c r="U995">
        <v>637.83000000000004</v>
      </c>
    </row>
    <row r="996" spans="1:21" x14ac:dyDescent="0.35">
      <c r="A996">
        <v>2025</v>
      </c>
      <c r="B996">
        <v>1</v>
      </c>
      <c r="C996">
        <v>1</v>
      </c>
      <c r="D996" s="1">
        <v>45658</v>
      </c>
      <c r="E996" s="4" t="s">
        <v>30</v>
      </c>
      <c r="F996" s="4" t="s">
        <v>28</v>
      </c>
      <c r="G996" s="4" t="s">
        <v>108</v>
      </c>
      <c r="H996">
        <v>36</v>
      </c>
      <c r="I996">
        <v>49</v>
      </c>
      <c r="J996">
        <v>0</v>
      </c>
      <c r="K996">
        <v>49</v>
      </c>
      <c r="L996">
        <v>29353.95</v>
      </c>
      <c r="M996">
        <v>0</v>
      </c>
      <c r="N996">
        <v>29353.95</v>
      </c>
      <c r="O996">
        <v>10547.25</v>
      </c>
      <c r="P996">
        <v>18806.7</v>
      </c>
      <c r="Q996">
        <v>0.64070000000000005</v>
      </c>
      <c r="R996">
        <v>4</v>
      </c>
      <c r="S996">
        <v>5368.95</v>
      </c>
      <c r="T996">
        <v>0</v>
      </c>
      <c r="U996">
        <v>815.39</v>
      </c>
    </row>
    <row r="997" spans="1:21" x14ac:dyDescent="0.35">
      <c r="A997">
        <v>2025</v>
      </c>
      <c r="B997">
        <v>1</v>
      </c>
      <c r="C997">
        <v>1</v>
      </c>
      <c r="D997" s="1">
        <v>45658</v>
      </c>
      <c r="E997" s="4" t="s">
        <v>30</v>
      </c>
      <c r="F997" s="4" t="s">
        <v>28</v>
      </c>
      <c r="G997" s="4" t="s">
        <v>109</v>
      </c>
      <c r="H997">
        <v>543</v>
      </c>
      <c r="I997">
        <v>841</v>
      </c>
      <c r="J997">
        <v>0</v>
      </c>
      <c r="K997">
        <v>841</v>
      </c>
      <c r="L997">
        <v>344823.77</v>
      </c>
      <c r="M997">
        <v>0</v>
      </c>
      <c r="N997">
        <v>344823.77</v>
      </c>
      <c r="O997">
        <v>125204.1</v>
      </c>
      <c r="P997">
        <v>219619.67</v>
      </c>
      <c r="Q997">
        <v>0.63690000000000002</v>
      </c>
      <c r="R997">
        <v>68</v>
      </c>
      <c r="S997">
        <v>53586.7</v>
      </c>
      <c r="T997">
        <v>0</v>
      </c>
      <c r="U997">
        <v>635.03</v>
      </c>
    </row>
    <row r="998" spans="1:21" x14ac:dyDescent="0.35">
      <c r="A998">
        <v>2025</v>
      </c>
      <c r="B998">
        <v>1</v>
      </c>
      <c r="C998">
        <v>1</v>
      </c>
      <c r="D998" s="1">
        <v>45658</v>
      </c>
      <c r="E998" s="4" t="s">
        <v>30</v>
      </c>
      <c r="F998" s="4" t="s">
        <v>35</v>
      </c>
      <c r="G998" s="4" t="s">
        <v>109</v>
      </c>
      <c r="H998">
        <v>1</v>
      </c>
      <c r="I998">
        <v>1</v>
      </c>
      <c r="J998">
        <v>0</v>
      </c>
      <c r="K998">
        <v>1</v>
      </c>
      <c r="L998">
        <v>428</v>
      </c>
      <c r="M998">
        <v>0</v>
      </c>
      <c r="N998">
        <v>428</v>
      </c>
      <c r="O998">
        <v>85.6</v>
      </c>
      <c r="P998">
        <v>342.4</v>
      </c>
      <c r="Q998">
        <v>0.8</v>
      </c>
      <c r="R998">
        <v>0</v>
      </c>
      <c r="S998">
        <v>0</v>
      </c>
      <c r="T998">
        <v>0</v>
      </c>
      <c r="U998">
        <v>428</v>
      </c>
    </row>
    <row r="999" spans="1:21" x14ac:dyDescent="0.35">
      <c r="A999">
        <v>2025</v>
      </c>
      <c r="B999">
        <v>1</v>
      </c>
      <c r="C999">
        <v>1</v>
      </c>
      <c r="D999" s="1">
        <v>45658</v>
      </c>
      <c r="E999" s="4" t="s">
        <v>30</v>
      </c>
      <c r="F999" s="4" t="s">
        <v>24</v>
      </c>
      <c r="G999" s="4" t="s">
        <v>107</v>
      </c>
      <c r="H999">
        <v>58</v>
      </c>
      <c r="I999">
        <v>95</v>
      </c>
      <c r="J999">
        <v>7</v>
      </c>
      <c r="K999">
        <v>88</v>
      </c>
      <c r="L999">
        <v>174928.67</v>
      </c>
      <c r="M999">
        <v>11269.1</v>
      </c>
      <c r="N999">
        <v>163659.57</v>
      </c>
      <c r="O999">
        <v>93489.55</v>
      </c>
      <c r="P999">
        <v>70170.02</v>
      </c>
      <c r="Q999">
        <v>0.42880000000000001</v>
      </c>
      <c r="R999">
        <v>10</v>
      </c>
      <c r="S999">
        <v>23965.57</v>
      </c>
      <c r="T999">
        <v>0</v>
      </c>
      <c r="U999">
        <v>2821.72</v>
      </c>
    </row>
    <row r="1000" spans="1:21" x14ac:dyDescent="0.35">
      <c r="A1000">
        <v>2025</v>
      </c>
      <c r="B1000">
        <v>1</v>
      </c>
      <c r="C1000">
        <v>1</v>
      </c>
      <c r="D1000" s="1">
        <v>45658</v>
      </c>
      <c r="E1000" s="4" t="s">
        <v>30</v>
      </c>
      <c r="F1000" s="4" t="s">
        <v>24</v>
      </c>
      <c r="G1000" s="4" t="s">
        <v>108</v>
      </c>
      <c r="H1000">
        <v>5</v>
      </c>
      <c r="I1000">
        <v>7</v>
      </c>
      <c r="J1000">
        <v>0</v>
      </c>
      <c r="K1000">
        <v>7</v>
      </c>
      <c r="L1000">
        <v>16863</v>
      </c>
      <c r="M1000">
        <v>0</v>
      </c>
      <c r="N1000">
        <v>16863</v>
      </c>
      <c r="O1000">
        <v>9274.65</v>
      </c>
      <c r="P1000">
        <v>7588.35</v>
      </c>
      <c r="Q1000">
        <v>0.45</v>
      </c>
      <c r="R1000">
        <v>0</v>
      </c>
      <c r="S1000">
        <v>0</v>
      </c>
      <c r="T1000">
        <v>0</v>
      </c>
      <c r="U1000">
        <v>3372.6</v>
      </c>
    </row>
    <row r="1001" spans="1:21" x14ac:dyDescent="0.35">
      <c r="A1001">
        <v>2025</v>
      </c>
      <c r="B1001">
        <v>1</v>
      </c>
      <c r="C1001">
        <v>1</v>
      </c>
      <c r="D1001" s="1">
        <v>45658</v>
      </c>
      <c r="E1001" s="4" t="s">
        <v>30</v>
      </c>
      <c r="F1001" s="4" t="s">
        <v>24</v>
      </c>
      <c r="G1001" s="4" t="s">
        <v>109</v>
      </c>
      <c r="H1001">
        <v>181</v>
      </c>
      <c r="I1001">
        <v>263</v>
      </c>
      <c r="J1001">
        <v>15</v>
      </c>
      <c r="K1001">
        <v>248</v>
      </c>
      <c r="L1001">
        <v>449138.45</v>
      </c>
      <c r="M1001">
        <v>22139.279999999999</v>
      </c>
      <c r="N1001">
        <v>426999.17</v>
      </c>
      <c r="O1001">
        <v>244344.1</v>
      </c>
      <c r="P1001">
        <v>182655.07</v>
      </c>
      <c r="Q1001">
        <v>0.42780000000000001</v>
      </c>
      <c r="R1001">
        <v>27</v>
      </c>
      <c r="S1001">
        <v>91795.5</v>
      </c>
      <c r="T1001">
        <v>0</v>
      </c>
      <c r="U1001">
        <v>2359.11</v>
      </c>
    </row>
    <row r="1002" spans="1:21" x14ac:dyDescent="0.35">
      <c r="A1002">
        <v>2025</v>
      </c>
      <c r="B1002">
        <v>1</v>
      </c>
      <c r="C1002">
        <v>1</v>
      </c>
      <c r="D1002" s="1">
        <v>45658</v>
      </c>
      <c r="E1002" s="4" t="s">
        <v>30</v>
      </c>
      <c r="F1002" s="4" t="s">
        <v>26</v>
      </c>
      <c r="G1002" s="4" t="s">
        <v>107</v>
      </c>
      <c r="H1002">
        <v>2</v>
      </c>
      <c r="I1002">
        <v>4</v>
      </c>
      <c r="J1002">
        <v>0</v>
      </c>
      <c r="K1002">
        <v>4</v>
      </c>
      <c r="L1002">
        <v>2799.41</v>
      </c>
      <c r="M1002">
        <v>0</v>
      </c>
      <c r="N1002">
        <v>2799.41</v>
      </c>
      <c r="O1002">
        <v>2238.6</v>
      </c>
      <c r="P1002">
        <v>560.80999999999995</v>
      </c>
      <c r="Q1002">
        <v>0.20030000000000001</v>
      </c>
      <c r="R1002">
        <v>1</v>
      </c>
      <c r="S1002">
        <v>1891.41</v>
      </c>
      <c r="T1002">
        <v>0</v>
      </c>
      <c r="U1002">
        <v>1399.71</v>
      </c>
    </row>
    <row r="1003" spans="1:21" x14ac:dyDescent="0.35">
      <c r="A1003">
        <v>2025</v>
      </c>
      <c r="B1003">
        <v>1</v>
      </c>
      <c r="C1003">
        <v>1</v>
      </c>
      <c r="D1003" s="1">
        <v>45658</v>
      </c>
      <c r="E1003" s="4" t="s">
        <v>30</v>
      </c>
      <c r="F1003" s="4" t="s">
        <v>26</v>
      </c>
      <c r="G1003" s="4" t="s">
        <v>109</v>
      </c>
      <c r="H1003">
        <v>40</v>
      </c>
      <c r="I1003">
        <v>67</v>
      </c>
      <c r="J1003">
        <v>0</v>
      </c>
      <c r="K1003">
        <v>67</v>
      </c>
      <c r="L1003">
        <v>52923.63</v>
      </c>
      <c r="M1003">
        <v>0</v>
      </c>
      <c r="N1003">
        <v>52923.63</v>
      </c>
      <c r="O1003">
        <v>32195.4</v>
      </c>
      <c r="P1003">
        <v>20728.23</v>
      </c>
      <c r="Q1003">
        <v>0.39169999999999999</v>
      </c>
      <c r="R1003">
        <v>3</v>
      </c>
      <c r="S1003">
        <v>2953.63</v>
      </c>
      <c r="T1003">
        <v>0</v>
      </c>
      <c r="U1003">
        <v>1323.09</v>
      </c>
    </row>
    <row r="1004" spans="1:21" x14ac:dyDescent="0.35">
      <c r="A1004">
        <v>2025</v>
      </c>
      <c r="B1004">
        <v>1</v>
      </c>
      <c r="C1004">
        <v>1</v>
      </c>
      <c r="D1004" s="1">
        <v>45658</v>
      </c>
      <c r="E1004" s="4" t="s">
        <v>78</v>
      </c>
      <c r="F1004" s="4" t="s">
        <v>78</v>
      </c>
      <c r="G1004" s="4" t="s">
        <v>110</v>
      </c>
      <c r="H1004">
        <v>193</v>
      </c>
      <c r="I1004">
        <v>260</v>
      </c>
      <c r="J1004">
        <v>0</v>
      </c>
      <c r="K1004">
        <v>260</v>
      </c>
      <c r="L1004">
        <v>630249.26</v>
      </c>
      <c r="M1004">
        <v>0</v>
      </c>
      <c r="N1004">
        <v>630249.26</v>
      </c>
      <c r="O1004">
        <v>94742.55</v>
      </c>
      <c r="P1004">
        <v>535506.71</v>
      </c>
      <c r="Q1004">
        <v>0.84970000000000001</v>
      </c>
      <c r="R1004">
        <v>0</v>
      </c>
      <c r="S1004">
        <v>0</v>
      </c>
      <c r="T1004">
        <v>0</v>
      </c>
      <c r="U1004">
        <v>3265.54</v>
      </c>
    </row>
    <row r="1005" spans="1:21" x14ac:dyDescent="0.35">
      <c r="A1005">
        <v>2025</v>
      </c>
      <c r="B1005">
        <v>2</v>
      </c>
      <c r="C1005">
        <v>1</v>
      </c>
      <c r="D1005" s="1">
        <v>45689</v>
      </c>
      <c r="E1005" s="4" t="s">
        <v>33</v>
      </c>
      <c r="F1005" s="4" t="s">
        <v>28</v>
      </c>
      <c r="G1005" s="4" t="s">
        <v>107</v>
      </c>
      <c r="H1005">
        <v>107</v>
      </c>
      <c r="I1005">
        <v>167</v>
      </c>
      <c r="J1005">
        <v>0</v>
      </c>
      <c r="K1005">
        <v>167</v>
      </c>
      <c r="L1005">
        <v>52833.33</v>
      </c>
      <c r="M1005">
        <v>0</v>
      </c>
      <c r="N1005">
        <v>52833.33</v>
      </c>
      <c r="O1005">
        <v>19371.45</v>
      </c>
      <c r="P1005">
        <v>33461.879999999997</v>
      </c>
      <c r="Q1005">
        <v>0.63329999999999997</v>
      </c>
      <c r="R1005">
        <v>17</v>
      </c>
      <c r="S1005">
        <v>11286.33</v>
      </c>
      <c r="T1005">
        <v>0</v>
      </c>
      <c r="U1005">
        <v>493.77</v>
      </c>
    </row>
    <row r="1006" spans="1:21" x14ac:dyDescent="0.35">
      <c r="A1006">
        <v>2025</v>
      </c>
      <c r="B1006">
        <v>2</v>
      </c>
      <c r="C1006">
        <v>1</v>
      </c>
      <c r="D1006" s="1">
        <v>45689</v>
      </c>
      <c r="E1006" s="4" t="s">
        <v>33</v>
      </c>
      <c r="F1006" s="4" t="s">
        <v>28</v>
      </c>
      <c r="G1006" s="4" t="s">
        <v>108</v>
      </c>
      <c r="H1006">
        <v>33</v>
      </c>
      <c r="I1006">
        <v>50</v>
      </c>
      <c r="J1006">
        <v>0</v>
      </c>
      <c r="K1006">
        <v>50</v>
      </c>
      <c r="L1006">
        <v>34062.080000000002</v>
      </c>
      <c r="M1006">
        <v>0</v>
      </c>
      <c r="N1006">
        <v>34062.080000000002</v>
      </c>
      <c r="O1006">
        <v>12460</v>
      </c>
      <c r="P1006">
        <v>21602.080000000002</v>
      </c>
      <c r="Q1006">
        <v>0.63419999999999999</v>
      </c>
      <c r="R1006">
        <v>6</v>
      </c>
      <c r="S1006">
        <v>8430.08</v>
      </c>
      <c r="T1006">
        <v>0</v>
      </c>
      <c r="U1006">
        <v>1032.18</v>
      </c>
    </row>
    <row r="1007" spans="1:21" x14ac:dyDescent="0.35">
      <c r="A1007">
        <v>2025</v>
      </c>
      <c r="B1007">
        <v>2</v>
      </c>
      <c r="C1007">
        <v>1</v>
      </c>
      <c r="D1007" s="1">
        <v>45689</v>
      </c>
      <c r="E1007" s="4" t="s">
        <v>33</v>
      </c>
      <c r="F1007" s="4" t="s">
        <v>28</v>
      </c>
      <c r="G1007" s="4" t="s">
        <v>109</v>
      </c>
      <c r="H1007">
        <v>658</v>
      </c>
      <c r="I1007">
        <v>998</v>
      </c>
      <c r="J1007">
        <v>0</v>
      </c>
      <c r="K1007">
        <v>998</v>
      </c>
      <c r="L1007">
        <v>522859.34</v>
      </c>
      <c r="M1007">
        <v>0</v>
      </c>
      <c r="N1007">
        <v>522859.34</v>
      </c>
      <c r="O1007">
        <v>187909.05</v>
      </c>
      <c r="P1007">
        <v>334950.28999999998</v>
      </c>
      <c r="Q1007">
        <v>0.64059999999999995</v>
      </c>
      <c r="R1007">
        <v>64</v>
      </c>
      <c r="S1007">
        <v>66620.649999999994</v>
      </c>
      <c r="T1007">
        <v>0</v>
      </c>
      <c r="U1007">
        <v>794.62</v>
      </c>
    </row>
    <row r="1008" spans="1:21" x14ac:dyDescent="0.35">
      <c r="A1008">
        <v>2025</v>
      </c>
      <c r="B1008">
        <v>2</v>
      </c>
      <c r="C1008">
        <v>1</v>
      </c>
      <c r="D1008" s="1">
        <v>45689</v>
      </c>
      <c r="E1008" s="4" t="s">
        <v>33</v>
      </c>
      <c r="F1008" s="4" t="s">
        <v>24</v>
      </c>
      <c r="G1008" s="4" t="s">
        <v>107</v>
      </c>
      <c r="H1008">
        <v>14</v>
      </c>
      <c r="I1008">
        <v>22</v>
      </c>
      <c r="J1008">
        <v>0</v>
      </c>
      <c r="K1008">
        <v>22</v>
      </c>
      <c r="L1008">
        <v>34162.58</v>
      </c>
      <c r="M1008">
        <v>0</v>
      </c>
      <c r="N1008">
        <v>34162.58</v>
      </c>
      <c r="O1008">
        <v>19481</v>
      </c>
      <c r="P1008">
        <v>14681.58</v>
      </c>
      <c r="Q1008">
        <v>0.42980000000000002</v>
      </c>
      <c r="R1008">
        <v>2</v>
      </c>
      <c r="S1008">
        <v>7136.58</v>
      </c>
      <c r="T1008">
        <v>0</v>
      </c>
      <c r="U1008">
        <v>2440.1799999999998</v>
      </c>
    </row>
    <row r="1009" spans="1:21" x14ac:dyDescent="0.35">
      <c r="A1009">
        <v>2025</v>
      </c>
      <c r="B1009">
        <v>2</v>
      </c>
      <c r="C1009">
        <v>1</v>
      </c>
      <c r="D1009" s="1">
        <v>45689</v>
      </c>
      <c r="E1009" s="4" t="s">
        <v>33</v>
      </c>
      <c r="F1009" s="4" t="s">
        <v>24</v>
      </c>
      <c r="G1009" s="4" t="s">
        <v>109</v>
      </c>
      <c r="H1009">
        <v>139</v>
      </c>
      <c r="I1009">
        <v>225</v>
      </c>
      <c r="J1009">
        <v>3</v>
      </c>
      <c r="K1009">
        <v>222</v>
      </c>
      <c r="L1009">
        <v>344600.72</v>
      </c>
      <c r="M1009">
        <v>5629</v>
      </c>
      <c r="N1009">
        <v>338971.72</v>
      </c>
      <c r="O1009">
        <v>192358.65</v>
      </c>
      <c r="P1009">
        <v>146613.07</v>
      </c>
      <c r="Q1009">
        <v>0.4325</v>
      </c>
      <c r="R1009">
        <v>20</v>
      </c>
      <c r="S1009">
        <v>53509.72</v>
      </c>
      <c r="T1009">
        <v>0</v>
      </c>
      <c r="U1009">
        <v>2438.65</v>
      </c>
    </row>
    <row r="1010" spans="1:21" x14ac:dyDescent="0.35">
      <c r="A1010">
        <v>2025</v>
      </c>
      <c r="B1010">
        <v>2</v>
      </c>
      <c r="C1010">
        <v>1</v>
      </c>
      <c r="D1010" s="1">
        <v>45689</v>
      </c>
      <c r="E1010" s="4" t="s">
        <v>33</v>
      </c>
      <c r="F1010" s="4" t="s">
        <v>26</v>
      </c>
      <c r="G1010" s="4" t="s">
        <v>107</v>
      </c>
      <c r="H1010">
        <v>6</v>
      </c>
      <c r="I1010">
        <v>8</v>
      </c>
      <c r="J1010">
        <v>0</v>
      </c>
      <c r="K1010">
        <v>8</v>
      </c>
      <c r="L1010">
        <v>4697</v>
      </c>
      <c r="M1010">
        <v>0</v>
      </c>
      <c r="N1010">
        <v>4697</v>
      </c>
      <c r="O1010">
        <v>2818.2</v>
      </c>
      <c r="P1010">
        <v>1878.8</v>
      </c>
      <c r="Q1010">
        <v>0.4</v>
      </c>
      <c r="R1010">
        <v>0</v>
      </c>
      <c r="S1010">
        <v>0</v>
      </c>
      <c r="T1010">
        <v>0</v>
      </c>
      <c r="U1010">
        <v>782.83</v>
      </c>
    </row>
    <row r="1011" spans="1:21" x14ac:dyDescent="0.35">
      <c r="A1011">
        <v>2025</v>
      </c>
      <c r="B1011">
        <v>2</v>
      </c>
      <c r="C1011">
        <v>1</v>
      </c>
      <c r="D1011" s="1">
        <v>45689</v>
      </c>
      <c r="E1011" s="4" t="s">
        <v>33</v>
      </c>
      <c r="F1011" s="4" t="s">
        <v>26</v>
      </c>
      <c r="G1011" s="4" t="s">
        <v>108</v>
      </c>
      <c r="H1011">
        <v>11</v>
      </c>
      <c r="I1011">
        <v>19</v>
      </c>
      <c r="J1011">
        <v>0</v>
      </c>
      <c r="K1011">
        <v>19</v>
      </c>
      <c r="L1011">
        <v>14793.5</v>
      </c>
      <c r="M1011">
        <v>0</v>
      </c>
      <c r="N1011">
        <v>14793.5</v>
      </c>
      <c r="O1011">
        <v>9348.6</v>
      </c>
      <c r="P1011">
        <v>5444.9</v>
      </c>
      <c r="Q1011">
        <v>0.36809999999999998</v>
      </c>
      <c r="R1011">
        <v>2</v>
      </c>
      <c r="S1011">
        <v>2712.5</v>
      </c>
      <c r="T1011">
        <v>0</v>
      </c>
      <c r="U1011">
        <v>1344.86</v>
      </c>
    </row>
    <row r="1012" spans="1:21" x14ac:dyDescent="0.35">
      <c r="A1012">
        <v>2025</v>
      </c>
      <c r="B1012">
        <v>2</v>
      </c>
      <c r="C1012">
        <v>1</v>
      </c>
      <c r="D1012" s="1">
        <v>45689</v>
      </c>
      <c r="E1012" s="4" t="s">
        <v>33</v>
      </c>
      <c r="F1012" s="4" t="s">
        <v>26</v>
      </c>
      <c r="G1012" s="4" t="s">
        <v>109</v>
      </c>
      <c r="H1012">
        <v>50</v>
      </c>
      <c r="I1012">
        <v>65</v>
      </c>
      <c r="J1012">
        <v>1</v>
      </c>
      <c r="K1012">
        <v>64</v>
      </c>
      <c r="L1012">
        <v>50331.16</v>
      </c>
      <c r="M1012">
        <v>595</v>
      </c>
      <c r="N1012">
        <v>49736.160000000003</v>
      </c>
      <c r="O1012">
        <v>30004.2</v>
      </c>
      <c r="P1012">
        <v>19731.96</v>
      </c>
      <c r="Q1012">
        <v>0.3967</v>
      </c>
      <c r="R1012">
        <v>2</v>
      </c>
      <c r="S1012">
        <v>1139.1600000000001</v>
      </c>
      <c r="T1012">
        <v>0</v>
      </c>
      <c r="U1012">
        <v>994.72</v>
      </c>
    </row>
    <row r="1013" spans="1:21" x14ac:dyDescent="0.35">
      <c r="A1013">
        <v>2025</v>
      </c>
      <c r="B1013">
        <v>2</v>
      </c>
      <c r="C1013">
        <v>1</v>
      </c>
      <c r="D1013" s="1">
        <v>45689</v>
      </c>
      <c r="E1013" s="4" t="s">
        <v>32</v>
      </c>
      <c r="F1013" s="4" t="s">
        <v>28</v>
      </c>
      <c r="G1013" s="4" t="s">
        <v>107</v>
      </c>
      <c r="H1013">
        <v>20</v>
      </c>
      <c r="I1013">
        <v>31</v>
      </c>
      <c r="J1013">
        <v>0</v>
      </c>
      <c r="K1013">
        <v>31</v>
      </c>
      <c r="L1013">
        <v>13776.44</v>
      </c>
      <c r="M1013">
        <v>0</v>
      </c>
      <c r="N1013">
        <v>13776.44</v>
      </c>
      <c r="O1013">
        <v>4925.8999999999996</v>
      </c>
      <c r="P1013">
        <v>8850.5400000000009</v>
      </c>
      <c r="Q1013">
        <v>0.64239999999999997</v>
      </c>
      <c r="R1013">
        <v>2</v>
      </c>
      <c r="S1013">
        <v>1212.18</v>
      </c>
      <c r="T1013">
        <v>0</v>
      </c>
      <c r="U1013">
        <v>688.82</v>
      </c>
    </row>
    <row r="1014" spans="1:21" x14ac:dyDescent="0.35">
      <c r="A1014">
        <v>2025</v>
      </c>
      <c r="B1014">
        <v>2</v>
      </c>
      <c r="C1014">
        <v>1</v>
      </c>
      <c r="D1014" s="1">
        <v>45689</v>
      </c>
      <c r="E1014" s="4" t="s">
        <v>32</v>
      </c>
      <c r="F1014" s="4" t="s">
        <v>28</v>
      </c>
      <c r="G1014" s="4" t="s">
        <v>109</v>
      </c>
      <c r="H1014">
        <v>490</v>
      </c>
      <c r="I1014">
        <v>767</v>
      </c>
      <c r="J1014">
        <v>0</v>
      </c>
      <c r="K1014">
        <v>767</v>
      </c>
      <c r="L1014">
        <v>275134.05</v>
      </c>
      <c r="M1014">
        <v>0</v>
      </c>
      <c r="N1014">
        <v>275134.05</v>
      </c>
      <c r="O1014">
        <v>99534.05</v>
      </c>
      <c r="P1014">
        <v>175600</v>
      </c>
      <c r="Q1014">
        <v>0.63819999999999999</v>
      </c>
      <c r="R1014">
        <v>59</v>
      </c>
      <c r="S1014">
        <v>43172.43</v>
      </c>
      <c r="T1014">
        <v>0</v>
      </c>
      <c r="U1014">
        <v>561.5</v>
      </c>
    </row>
    <row r="1015" spans="1:21" x14ac:dyDescent="0.35">
      <c r="A1015">
        <v>2025</v>
      </c>
      <c r="B1015">
        <v>2</v>
      </c>
      <c r="C1015">
        <v>1</v>
      </c>
      <c r="D1015" s="1">
        <v>45689</v>
      </c>
      <c r="E1015" s="4" t="s">
        <v>32</v>
      </c>
      <c r="F1015" s="4" t="s">
        <v>24</v>
      </c>
      <c r="G1015" s="4" t="s">
        <v>107</v>
      </c>
      <c r="H1015">
        <v>25</v>
      </c>
      <c r="I1015">
        <v>35</v>
      </c>
      <c r="J1015">
        <v>3</v>
      </c>
      <c r="K1015">
        <v>32</v>
      </c>
      <c r="L1015">
        <v>47841.599999999999</v>
      </c>
      <c r="M1015">
        <v>3267</v>
      </c>
      <c r="N1015">
        <v>44574.6</v>
      </c>
      <c r="O1015">
        <v>25474.35</v>
      </c>
      <c r="P1015">
        <v>19100.25</v>
      </c>
      <c r="Q1015">
        <v>0.42849999999999999</v>
      </c>
      <c r="R1015">
        <v>3</v>
      </c>
      <c r="S1015">
        <v>5187.6000000000004</v>
      </c>
      <c r="T1015">
        <v>0</v>
      </c>
      <c r="U1015">
        <v>1782.98</v>
      </c>
    </row>
    <row r="1016" spans="1:21" x14ac:dyDescent="0.35">
      <c r="A1016">
        <v>2025</v>
      </c>
      <c r="B1016">
        <v>2</v>
      </c>
      <c r="C1016">
        <v>1</v>
      </c>
      <c r="D1016" s="1">
        <v>45689</v>
      </c>
      <c r="E1016" s="4" t="s">
        <v>32</v>
      </c>
      <c r="F1016" s="4" t="s">
        <v>24</v>
      </c>
      <c r="G1016" s="4" t="s">
        <v>109</v>
      </c>
      <c r="H1016">
        <v>193</v>
      </c>
      <c r="I1016">
        <v>280</v>
      </c>
      <c r="J1016">
        <v>10</v>
      </c>
      <c r="K1016">
        <v>270</v>
      </c>
      <c r="L1016">
        <v>373877.41</v>
      </c>
      <c r="M1016">
        <v>21190</v>
      </c>
      <c r="N1016">
        <v>352687.41</v>
      </c>
      <c r="O1016">
        <v>199485</v>
      </c>
      <c r="P1016">
        <v>153202.41</v>
      </c>
      <c r="Q1016">
        <v>0.43440000000000001</v>
      </c>
      <c r="R1016">
        <v>21</v>
      </c>
      <c r="S1016">
        <v>42827.41</v>
      </c>
      <c r="T1016">
        <v>0</v>
      </c>
      <c r="U1016">
        <v>1827.4</v>
      </c>
    </row>
    <row r="1017" spans="1:21" x14ac:dyDescent="0.35">
      <c r="A1017">
        <v>2025</v>
      </c>
      <c r="B1017">
        <v>2</v>
      </c>
      <c r="C1017">
        <v>1</v>
      </c>
      <c r="D1017" s="1">
        <v>45689</v>
      </c>
      <c r="E1017" s="4" t="s">
        <v>32</v>
      </c>
      <c r="F1017" s="4" t="s">
        <v>26</v>
      </c>
      <c r="G1017" s="4" t="s">
        <v>107</v>
      </c>
      <c r="H1017">
        <v>1</v>
      </c>
      <c r="I1017">
        <v>3</v>
      </c>
      <c r="J1017">
        <v>0</v>
      </c>
      <c r="K1017">
        <v>3</v>
      </c>
      <c r="L1017">
        <v>2239.08</v>
      </c>
      <c r="M1017">
        <v>0</v>
      </c>
      <c r="N1017">
        <v>2239.08</v>
      </c>
      <c r="O1017">
        <v>1429.2</v>
      </c>
      <c r="P1017">
        <v>809.88</v>
      </c>
      <c r="Q1017">
        <v>0.36170000000000002</v>
      </c>
      <c r="R1017">
        <v>1</v>
      </c>
      <c r="S1017">
        <v>2239.08</v>
      </c>
      <c r="T1017">
        <v>0</v>
      </c>
      <c r="U1017">
        <v>2239.08</v>
      </c>
    </row>
    <row r="1018" spans="1:21" x14ac:dyDescent="0.35">
      <c r="A1018">
        <v>2025</v>
      </c>
      <c r="B1018">
        <v>2</v>
      </c>
      <c r="C1018">
        <v>1</v>
      </c>
      <c r="D1018" s="1">
        <v>45689</v>
      </c>
      <c r="E1018" s="4" t="s">
        <v>32</v>
      </c>
      <c r="F1018" s="4" t="s">
        <v>26</v>
      </c>
      <c r="G1018" s="4" t="s">
        <v>108</v>
      </c>
      <c r="H1018">
        <v>3</v>
      </c>
      <c r="I1018">
        <v>5</v>
      </c>
      <c r="J1018">
        <v>0</v>
      </c>
      <c r="K1018">
        <v>5</v>
      </c>
      <c r="L1018">
        <v>1575</v>
      </c>
      <c r="M1018">
        <v>0</v>
      </c>
      <c r="N1018">
        <v>1575</v>
      </c>
      <c r="O1018">
        <v>945</v>
      </c>
      <c r="P1018">
        <v>630</v>
      </c>
      <c r="Q1018">
        <v>0.4</v>
      </c>
      <c r="R1018">
        <v>0</v>
      </c>
      <c r="S1018">
        <v>0</v>
      </c>
      <c r="T1018">
        <v>0</v>
      </c>
      <c r="U1018">
        <v>525</v>
      </c>
    </row>
    <row r="1019" spans="1:21" x14ac:dyDescent="0.35">
      <c r="A1019">
        <v>2025</v>
      </c>
      <c r="B1019">
        <v>2</v>
      </c>
      <c r="C1019">
        <v>1</v>
      </c>
      <c r="D1019" s="1">
        <v>45689</v>
      </c>
      <c r="E1019" s="4" t="s">
        <v>32</v>
      </c>
      <c r="F1019" s="4" t="s">
        <v>26</v>
      </c>
      <c r="G1019" s="4" t="s">
        <v>109</v>
      </c>
      <c r="H1019">
        <v>43</v>
      </c>
      <c r="I1019">
        <v>75</v>
      </c>
      <c r="J1019">
        <v>1</v>
      </c>
      <c r="K1019">
        <v>74</v>
      </c>
      <c r="L1019">
        <v>49183.73</v>
      </c>
      <c r="M1019">
        <v>1049</v>
      </c>
      <c r="N1019">
        <v>48134.73</v>
      </c>
      <c r="O1019">
        <v>30199.8</v>
      </c>
      <c r="P1019">
        <v>17934.93</v>
      </c>
      <c r="Q1019">
        <v>0.37259999999999999</v>
      </c>
      <c r="R1019">
        <v>8</v>
      </c>
      <c r="S1019">
        <v>10250.73</v>
      </c>
      <c r="T1019">
        <v>0</v>
      </c>
      <c r="U1019">
        <v>1119.4100000000001</v>
      </c>
    </row>
    <row r="1020" spans="1:21" x14ac:dyDescent="0.35">
      <c r="A1020">
        <v>2025</v>
      </c>
      <c r="B1020">
        <v>2</v>
      </c>
      <c r="C1020">
        <v>1</v>
      </c>
      <c r="D1020" s="1">
        <v>45689</v>
      </c>
      <c r="E1020" s="4" t="s">
        <v>27</v>
      </c>
      <c r="F1020" s="4" t="s">
        <v>28</v>
      </c>
      <c r="G1020" s="4" t="s">
        <v>107</v>
      </c>
      <c r="H1020">
        <v>215</v>
      </c>
      <c r="I1020">
        <v>322</v>
      </c>
      <c r="J1020">
        <v>0</v>
      </c>
      <c r="K1020">
        <v>322</v>
      </c>
      <c r="L1020">
        <v>146275.10999999999</v>
      </c>
      <c r="M1020">
        <v>0</v>
      </c>
      <c r="N1020">
        <v>146275.10999999999</v>
      </c>
      <c r="O1020">
        <v>52212.65</v>
      </c>
      <c r="P1020">
        <v>94062.46</v>
      </c>
      <c r="Q1020">
        <v>0.6431</v>
      </c>
      <c r="R1020">
        <v>19</v>
      </c>
      <c r="S1020">
        <v>13652.11</v>
      </c>
      <c r="T1020">
        <v>0</v>
      </c>
      <c r="U1020">
        <v>680.35</v>
      </c>
    </row>
    <row r="1021" spans="1:21" x14ac:dyDescent="0.35">
      <c r="A1021">
        <v>2025</v>
      </c>
      <c r="B1021">
        <v>2</v>
      </c>
      <c r="C1021">
        <v>1</v>
      </c>
      <c r="D1021" s="1">
        <v>45689</v>
      </c>
      <c r="E1021" s="4" t="s">
        <v>27</v>
      </c>
      <c r="F1021" s="4" t="s">
        <v>28</v>
      </c>
      <c r="G1021" s="4" t="s">
        <v>109</v>
      </c>
      <c r="H1021">
        <v>697</v>
      </c>
      <c r="I1021">
        <v>1054</v>
      </c>
      <c r="J1021">
        <v>0</v>
      </c>
      <c r="K1021">
        <v>1054</v>
      </c>
      <c r="L1021">
        <v>566375.47</v>
      </c>
      <c r="M1021">
        <v>0</v>
      </c>
      <c r="N1021">
        <v>566375.47</v>
      </c>
      <c r="O1021">
        <v>205941.05</v>
      </c>
      <c r="P1021">
        <v>360434.42</v>
      </c>
      <c r="Q1021">
        <v>0.63639999999999997</v>
      </c>
      <c r="R1021">
        <v>92</v>
      </c>
      <c r="S1021">
        <v>81429.47</v>
      </c>
      <c r="T1021">
        <v>0</v>
      </c>
      <c r="U1021">
        <v>812.59</v>
      </c>
    </row>
    <row r="1022" spans="1:21" x14ac:dyDescent="0.35">
      <c r="A1022">
        <v>2025</v>
      </c>
      <c r="B1022">
        <v>2</v>
      </c>
      <c r="C1022">
        <v>1</v>
      </c>
      <c r="D1022" s="1">
        <v>45689</v>
      </c>
      <c r="E1022" s="4" t="s">
        <v>27</v>
      </c>
      <c r="F1022" s="4" t="s">
        <v>24</v>
      </c>
      <c r="G1022" s="4" t="s">
        <v>107</v>
      </c>
      <c r="H1022">
        <v>49</v>
      </c>
      <c r="I1022">
        <v>71</v>
      </c>
      <c r="J1022">
        <v>2</v>
      </c>
      <c r="K1022">
        <v>69</v>
      </c>
      <c r="L1022">
        <v>128379.84</v>
      </c>
      <c r="M1022">
        <v>3228</v>
      </c>
      <c r="N1022">
        <v>125151.84</v>
      </c>
      <c r="O1022">
        <v>69498.55</v>
      </c>
      <c r="P1022">
        <v>55653.29</v>
      </c>
      <c r="Q1022">
        <v>0.44469999999999998</v>
      </c>
      <c r="R1022">
        <v>3</v>
      </c>
      <c r="S1022">
        <v>9936.84</v>
      </c>
      <c r="T1022">
        <v>0</v>
      </c>
      <c r="U1022">
        <v>2554.12</v>
      </c>
    </row>
    <row r="1023" spans="1:21" x14ac:dyDescent="0.35">
      <c r="A1023">
        <v>2025</v>
      </c>
      <c r="B1023">
        <v>2</v>
      </c>
      <c r="C1023">
        <v>1</v>
      </c>
      <c r="D1023" s="1">
        <v>45689</v>
      </c>
      <c r="E1023" s="4" t="s">
        <v>27</v>
      </c>
      <c r="F1023" s="4" t="s">
        <v>24</v>
      </c>
      <c r="G1023" s="4" t="s">
        <v>109</v>
      </c>
      <c r="H1023">
        <v>219</v>
      </c>
      <c r="I1023">
        <v>317</v>
      </c>
      <c r="J1023">
        <v>0</v>
      </c>
      <c r="K1023">
        <v>317</v>
      </c>
      <c r="L1023">
        <v>510298.33</v>
      </c>
      <c r="M1023">
        <v>0</v>
      </c>
      <c r="N1023">
        <v>510298.33</v>
      </c>
      <c r="O1023">
        <v>288943.05</v>
      </c>
      <c r="P1023">
        <v>221355.28</v>
      </c>
      <c r="Q1023">
        <v>0.43380000000000002</v>
      </c>
      <c r="R1023">
        <v>21</v>
      </c>
      <c r="S1023">
        <v>68571.78</v>
      </c>
      <c r="T1023">
        <v>0</v>
      </c>
      <c r="U1023">
        <v>2330.13</v>
      </c>
    </row>
    <row r="1024" spans="1:21" x14ac:dyDescent="0.35">
      <c r="A1024">
        <v>2025</v>
      </c>
      <c r="B1024">
        <v>2</v>
      </c>
      <c r="C1024">
        <v>1</v>
      </c>
      <c r="D1024" s="1">
        <v>45689</v>
      </c>
      <c r="E1024" s="4" t="s">
        <v>27</v>
      </c>
      <c r="F1024" s="4" t="s">
        <v>26</v>
      </c>
      <c r="G1024" s="4" t="s">
        <v>107</v>
      </c>
      <c r="H1024">
        <v>4</v>
      </c>
      <c r="I1024">
        <v>5</v>
      </c>
      <c r="J1024">
        <v>0</v>
      </c>
      <c r="K1024">
        <v>5</v>
      </c>
      <c r="L1024">
        <v>5127</v>
      </c>
      <c r="M1024">
        <v>0</v>
      </c>
      <c r="N1024">
        <v>5127</v>
      </c>
      <c r="O1024">
        <v>3076.2</v>
      </c>
      <c r="P1024">
        <v>2050.8000000000002</v>
      </c>
      <c r="Q1024">
        <v>0.4</v>
      </c>
      <c r="R1024">
        <v>0</v>
      </c>
      <c r="S1024">
        <v>0</v>
      </c>
      <c r="T1024">
        <v>0</v>
      </c>
      <c r="U1024">
        <v>1281.75</v>
      </c>
    </row>
    <row r="1025" spans="1:21" x14ac:dyDescent="0.35">
      <c r="A1025">
        <v>2025</v>
      </c>
      <c r="B1025">
        <v>2</v>
      </c>
      <c r="C1025">
        <v>1</v>
      </c>
      <c r="D1025" s="1">
        <v>45689</v>
      </c>
      <c r="E1025" s="4" t="s">
        <v>27</v>
      </c>
      <c r="F1025" s="4" t="s">
        <v>26</v>
      </c>
      <c r="G1025" s="4" t="s">
        <v>109</v>
      </c>
      <c r="H1025">
        <v>34</v>
      </c>
      <c r="I1025">
        <v>55</v>
      </c>
      <c r="J1025">
        <v>0</v>
      </c>
      <c r="K1025">
        <v>55</v>
      </c>
      <c r="L1025">
        <v>34528.879999999997</v>
      </c>
      <c r="M1025">
        <v>0</v>
      </c>
      <c r="N1025">
        <v>34528.879999999997</v>
      </c>
      <c r="O1025">
        <v>21768</v>
      </c>
      <c r="P1025">
        <v>12760.88</v>
      </c>
      <c r="Q1025">
        <v>0.36959999999999998</v>
      </c>
      <c r="R1025">
        <v>4</v>
      </c>
      <c r="S1025">
        <v>6749.88</v>
      </c>
      <c r="T1025">
        <v>0</v>
      </c>
      <c r="U1025">
        <v>1015.56</v>
      </c>
    </row>
    <row r="1026" spans="1:21" x14ac:dyDescent="0.35">
      <c r="A1026">
        <v>2025</v>
      </c>
      <c r="B1026">
        <v>2</v>
      </c>
      <c r="C1026">
        <v>1</v>
      </c>
      <c r="D1026" s="1">
        <v>45689</v>
      </c>
      <c r="E1026" s="4" t="s">
        <v>34</v>
      </c>
      <c r="F1026" s="4" t="s">
        <v>28</v>
      </c>
      <c r="G1026" s="4" t="s">
        <v>107</v>
      </c>
      <c r="H1026">
        <v>145</v>
      </c>
      <c r="I1026">
        <v>203</v>
      </c>
      <c r="J1026">
        <v>0</v>
      </c>
      <c r="K1026">
        <v>203</v>
      </c>
      <c r="L1026">
        <v>133474.72</v>
      </c>
      <c r="M1026">
        <v>0</v>
      </c>
      <c r="N1026">
        <v>133474.72</v>
      </c>
      <c r="O1026">
        <v>48228.25</v>
      </c>
      <c r="P1026">
        <v>85246.47</v>
      </c>
      <c r="Q1026">
        <v>0.63870000000000005</v>
      </c>
      <c r="R1026">
        <v>20</v>
      </c>
      <c r="S1026">
        <v>19131.36</v>
      </c>
      <c r="T1026">
        <v>0</v>
      </c>
      <c r="U1026">
        <v>920.52</v>
      </c>
    </row>
    <row r="1027" spans="1:21" x14ac:dyDescent="0.35">
      <c r="A1027">
        <v>2025</v>
      </c>
      <c r="B1027">
        <v>2</v>
      </c>
      <c r="C1027">
        <v>1</v>
      </c>
      <c r="D1027" s="1">
        <v>45689</v>
      </c>
      <c r="E1027" s="4" t="s">
        <v>34</v>
      </c>
      <c r="F1027" s="4" t="s">
        <v>28</v>
      </c>
      <c r="G1027" s="4" t="s">
        <v>108</v>
      </c>
      <c r="H1027">
        <v>54</v>
      </c>
      <c r="I1027">
        <v>76</v>
      </c>
      <c r="J1027">
        <v>0</v>
      </c>
      <c r="K1027">
        <v>76</v>
      </c>
      <c r="L1027">
        <v>31136.34</v>
      </c>
      <c r="M1027">
        <v>0</v>
      </c>
      <c r="N1027">
        <v>31136.34</v>
      </c>
      <c r="O1027">
        <v>11331.6</v>
      </c>
      <c r="P1027">
        <v>19804.740000000002</v>
      </c>
      <c r="Q1027">
        <v>0.6361</v>
      </c>
      <c r="R1027">
        <v>5</v>
      </c>
      <c r="S1027">
        <v>3872.34</v>
      </c>
      <c r="T1027">
        <v>0</v>
      </c>
      <c r="U1027">
        <v>576.6</v>
      </c>
    </row>
    <row r="1028" spans="1:21" x14ac:dyDescent="0.35">
      <c r="A1028">
        <v>2025</v>
      </c>
      <c r="B1028">
        <v>2</v>
      </c>
      <c r="C1028">
        <v>1</v>
      </c>
      <c r="D1028" s="1">
        <v>45689</v>
      </c>
      <c r="E1028" s="4" t="s">
        <v>34</v>
      </c>
      <c r="F1028" s="4" t="s">
        <v>28</v>
      </c>
      <c r="G1028" s="4" t="s">
        <v>109</v>
      </c>
      <c r="H1028">
        <v>602</v>
      </c>
      <c r="I1028">
        <v>919</v>
      </c>
      <c r="J1028">
        <v>0</v>
      </c>
      <c r="K1028">
        <v>919</v>
      </c>
      <c r="L1028">
        <v>446010.97</v>
      </c>
      <c r="M1028">
        <v>0</v>
      </c>
      <c r="N1028">
        <v>446010.97</v>
      </c>
      <c r="O1028">
        <v>161742</v>
      </c>
      <c r="P1028">
        <v>284268.96999999997</v>
      </c>
      <c r="Q1028">
        <v>0.63739999999999997</v>
      </c>
      <c r="R1028">
        <v>68</v>
      </c>
      <c r="S1028">
        <v>62096.97</v>
      </c>
      <c r="T1028">
        <v>0</v>
      </c>
      <c r="U1028">
        <v>740.88</v>
      </c>
    </row>
    <row r="1029" spans="1:21" x14ac:dyDescent="0.35">
      <c r="A1029">
        <v>2025</v>
      </c>
      <c r="B1029">
        <v>2</v>
      </c>
      <c r="C1029">
        <v>1</v>
      </c>
      <c r="D1029" s="1">
        <v>45689</v>
      </c>
      <c r="E1029" s="4" t="s">
        <v>34</v>
      </c>
      <c r="F1029" s="4" t="s">
        <v>35</v>
      </c>
      <c r="G1029" s="4" t="s">
        <v>107</v>
      </c>
      <c r="H1029">
        <v>1</v>
      </c>
      <c r="I1029">
        <v>1</v>
      </c>
      <c r="J1029">
        <v>0</v>
      </c>
      <c r="K1029">
        <v>1</v>
      </c>
      <c r="L1029">
        <v>469</v>
      </c>
      <c r="M1029">
        <v>0</v>
      </c>
      <c r="N1029">
        <v>469</v>
      </c>
      <c r="O1029">
        <v>93.8</v>
      </c>
      <c r="P1029">
        <v>375.2</v>
      </c>
      <c r="Q1029">
        <v>0.8</v>
      </c>
      <c r="R1029">
        <v>0</v>
      </c>
      <c r="S1029">
        <v>0</v>
      </c>
      <c r="T1029">
        <v>0</v>
      </c>
      <c r="U1029">
        <v>469</v>
      </c>
    </row>
    <row r="1030" spans="1:21" x14ac:dyDescent="0.35">
      <c r="A1030">
        <v>2025</v>
      </c>
      <c r="B1030">
        <v>2</v>
      </c>
      <c r="C1030">
        <v>1</v>
      </c>
      <c r="D1030" s="1">
        <v>45689</v>
      </c>
      <c r="E1030" s="4" t="s">
        <v>34</v>
      </c>
      <c r="F1030" s="4" t="s">
        <v>24</v>
      </c>
      <c r="G1030" s="4" t="s">
        <v>107</v>
      </c>
      <c r="H1030">
        <v>79</v>
      </c>
      <c r="I1030">
        <v>105</v>
      </c>
      <c r="J1030">
        <v>0</v>
      </c>
      <c r="K1030">
        <v>105</v>
      </c>
      <c r="L1030">
        <v>190749.87</v>
      </c>
      <c r="M1030">
        <v>0</v>
      </c>
      <c r="N1030">
        <v>190749.87</v>
      </c>
      <c r="O1030">
        <v>105920.65</v>
      </c>
      <c r="P1030">
        <v>84829.22</v>
      </c>
      <c r="Q1030">
        <v>0.44469999999999998</v>
      </c>
      <c r="R1030">
        <v>6</v>
      </c>
      <c r="S1030">
        <v>11142.87</v>
      </c>
      <c r="T1030">
        <v>0</v>
      </c>
      <c r="U1030">
        <v>2414.56</v>
      </c>
    </row>
    <row r="1031" spans="1:21" x14ac:dyDescent="0.35">
      <c r="A1031">
        <v>2025</v>
      </c>
      <c r="B1031">
        <v>2</v>
      </c>
      <c r="C1031">
        <v>1</v>
      </c>
      <c r="D1031" s="1">
        <v>45689</v>
      </c>
      <c r="E1031" s="4" t="s">
        <v>34</v>
      </c>
      <c r="F1031" s="4" t="s">
        <v>24</v>
      </c>
      <c r="G1031" s="4" t="s">
        <v>108</v>
      </c>
      <c r="H1031">
        <v>19</v>
      </c>
      <c r="I1031">
        <v>31</v>
      </c>
      <c r="J1031">
        <v>0</v>
      </c>
      <c r="K1031">
        <v>31</v>
      </c>
      <c r="L1031">
        <v>40790.82</v>
      </c>
      <c r="M1031">
        <v>0</v>
      </c>
      <c r="N1031">
        <v>40790.82</v>
      </c>
      <c r="O1031">
        <v>23511.95</v>
      </c>
      <c r="P1031">
        <v>17278.87</v>
      </c>
      <c r="Q1031">
        <v>0.42359999999999998</v>
      </c>
      <c r="R1031">
        <v>3</v>
      </c>
      <c r="S1031">
        <v>6315.82</v>
      </c>
      <c r="T1031">
        <v>0</v>
      </c>
      <c r="U1031">
        <v>2146.89</v>
      </c>
    </row>
    <row r="1032" spans="1:21" x14ac:dyDescent="0.35">
      <c r="A1032">
        <v>2025</v>
      </c>
      <c r="B1032">
        <v>2</v>
      </c>
      <c r="C1032">
        <v>1</v>
      </c>
      <c r="D1032" s="1">
        <v>45689</v>
      </c>
      <c r="E1032" s="4" t="s">
        <v>34</v>
      </c>
      <c r="F1032" s="4" t="s">
        <v>24</v>
      </c>
      <c r="G1032" s="4" t="s">
        <v>109</v>
      </c>
      <c r="H1032">
        <v>173</v>
      </c>
      <c r="I1032">
        <v>251</v>
      </c>
      <c r="J1032">
        <v>7</v>
      </c>
      <c r="K1032">
        <v>244</v>
      </c>
      <c r="L1032">
        <v>437883.49</v>
      </c>
      <c r="M1032">
        <v>11047.7</v>
      </c>
      <c r="N1032">
        <v>426835.79</v>
      </c>
      <c r="O1032">
        <v>243187.45</v>
      </c>
      <c r="P1032">
        <v>183648.34</v>
      </c>
      <c r="Q1032">
        <v>0.43030000000000002</v>
      </c>
      <c r="R1032">
        <v>22</v>
      </c>
      <c r="S1032">
        <v>61682.79</v>
      </c>
      <c r="T1032">
        <v>0</v>
      </c>
      <c r="U1032">
        <v>2467.2600000000002</v>
      </c>
    </row>
    <row r="1033" spans="1:21" x14ac:dyDescent="0.35">
      <c r="A1033">
        <v>2025</v>
      </c>
      <c r="B1033">
        <v>2</v>
      </c>
      <c r="C1033">
        <v>1</v>
      </c>
      <c r="D1033" s="1">
        <v>45689</v>
      </c>
      <c r="E1033" s="4" t="s">
        <v>34</v>
      </c>
      <c r="F1033" s="4" t="s">
        <v>26</v>
      </c>
      <c r="G1033" s="4" t="s">
        <v>107</v>
      </c>
      <c r="H1033">
        <v>3</v>
      </c>
      <c r="I1033">
        <v>5</v>
      </c>
      <c r="J1033">
        <v>0</v>
      </c>
      <c r="K1033">
        <v>5</v>
      </c>
      <c r="L1033">
        <v>2394.1999999999998</v>
      </c>
      <c r="M1033">
        <v>0</v>
      </c>
      <c r="N1033">
        <v>2394.1999999999998</v>
      </c>
      <c r="O1033">
        <v>1532.4</v>
      </c>
      <c r="P1033">
        <v>861.8</v>
      </c>
      <c r="Q1033">
        <v>0.36</v>
      </c>
      <c r="R1033">
        <v>1</v>
      </c>
      <c r="S1033">
        <v>310.2</v>
      </c>
      <c r="T1033">
        <v>0</v>
      </c>
      <c r="U1033">
        <v>798.07</v>
      </c>
    </row>
    <row r="1034" spans="1:21" x14ac:dyDescent="0.35">
      <c r="A1034">
        <v>2025</v>
      </c>
      <c r="B1034">
        <v>2</v>
      </c>
      <c r="C1034">
        <v>1</v>
      </c>
      <c r="D1034" s="1">
        <v>45689</v>
      </c>
      <c r="E1034" s="4" t="s">
        <v>34</v>
      </c>
      <c r="F1034" s="4" t="s">
        <v>26</v>
      </c>
      <c r="G1034" s="4" t="s">
        <v>108</v>
      </c>
      <c r="H1034">
        <v>3</v>
      </c>
      <c r="I1034">
        <v>5</v>
      </c>
      <c r="J1034">
        <v>2</v>
      </c>
      <c r="K1034">
        <v>3</v>
      </c>
      <c r="L1034">
        <v>4002</v>
      </c>
      <c r="M1034">
        <v>732</v>
      </c>
      <c r="N1034">
        <v>3270</v>
      </c>
      <c r="O1034">
        <v>1962</v>
      </c>
      <c r="P1034">
        <v>1308</v>
      </c>
      <c r="Q1034">
        <v>0.4</v>
      </c>
      <c r="R1034">
        <v>0</v>
      </c>
      <c r="S1034">
        <v>0</v>
      </c>
      <c r="T1034">
        <v>0</v>
      </c>
      <c r="U1034">
        <v>1090</v>
      </c>
    </row>
    <row r="1035" spans="1:21" x14ac:dyDescent="0.35">
      <c r="A1035">
        <v>2025</v>
      </c>
      <c r="B1035">
        <v>2</v>
      </c>
      <c r="C1035">
        <v>1</v>
      </c>
      <c r="D1035" s="1">
        <v>45689</v>
      </c>
      <c r="E1035" s="4" t="s">
        <v>34</v>
      </c>
      <c r="F1035" s="4" t="s">
        <v>26</v>
      </c>
      <c r="G1035" s="4" t="s">
        <v>109</v>
      </c>
      <c r="H1035">
        <v>36</v>
      </c>
      <c r="I1035">
        <v>51</v>
      </c>
      <c r="J1035">
        <v>1</v>
      </c>
      <c r="K1035">
        <v>50</v>
      </c>
      <c r="L1035">
        <v>34983.94</v>
      </c>
      <c r="M1035">
        <v>523</v>
      </c>
      <c r="N1035">
        <v>34460.94</v>
      </c>
      <c r="O1035">
        <v>21907.8</v>
      </c>
      <c r="P1035">
        <v>12553.14</v>
      </c>
      <c r="Q1035">
        <v>0.36430000000000001</v>
      </c>
      <c r="R1035">
        <v>5</v>
      </c>
      <c r="S1035">
        <v>5506.94</v>
      </c>
      <c r="T1035">
        <v>0</v>
      </c>
      <c r="U1035">
        <v>957.25</v>
      </c>
    </row>
    <row r="1036" spans="1:21" x14ac:dyDescent="0.35">
      <c r="A1036">
        <v>2025</v>
      </c>
      <c r="B1036">
        <v>2</v>
      </c>
      <c r="C1036">
        <v>1</v>
      </c>
      <c r="D1036" s="1">
        <v>45689</v>
      </c>
      <c r="E1036" s="4" t="s">
        <v>36</v>
      </c>
      <c r="F1036" s="4" t="s">
        <v>28</v>
      </c>
      <c r="G1036" s="4" t="s">
        <v>107</v>
      </c>
      <c r="H1036">
        <v>59</v>
      </c>
      <c r="I1036">
        <v>85</v>
      </c>
      <c r="J1036">
        <v>0</v>
      </c>
      <c r="K1036">
        <v>85</v>
      </c>
      <c r="L1036">
        <v>54840.86</v>
      </c>
      <c r="M1036">
        <v>0</v>
      </c>
      <c r="N1036">
        <v>54840.86</v>
      </c>
      <c r="O1036">
        <v>20003.900000000001</v>
      </c>
      <c r="P1036">
        <v>34836.959999999999</v>
      </c>
      <c r="Q1036">
        <v>0.63519999999999999</v>
      </c>
      <c r="R1036">
        <v>8</v>
      </c>
      <c r="S1036">
        <v>9244.86</v>
      </c>
      <c r="T1036">
        <v>0</v>
      </c>
      <c r="U1036">
        <v>929.51</v>
      </c>
    </row>
    <row r="1037" spans="1:21" x14ac:dyDescent="0.35">
      <c r="A1037">
        <v>2025</v>
      </c>
      <c r="B1037">
        <v>2</v>
      </c>
      <c r="C1037">
        <v>1</v>
      </c>
      <c r="D1037" s="1">
        <v>45689</v>
      </c>
      <c r="E1037" s="4" t="s">
        <v>36</v>
      </c>
      <c r="F1037" s="4" t="s">
        <v>28</v>
      </c>
      <c r="G1037" s="4" t="s">
        <v>108</v>
      </c>
      <c r="H1037">
        <v>152</v>
      </c>
      <c r="I1037">
        <v>227</v>
      </c>
      <c r="J1037">
        <v>0</v>
      </c>
      <c r="K1037">
        <v>227</v>
      </c>
      <c r="L1037">
        <v>72894.350000000006</v>
      </c>
      <c r="M1037">
        <v>0</v>
      </c>
      <c r="N1037">
        <v>72894.350000000006</v>
      </c>
      <c r="O1037">
        <v>26687.85</v>
      </c>
      <c r="P1037">
        <v>46206.5</v>
      </c>
      <c r="Q1037">
        <v>0.63390000000000002</v>
      </c>
      <c r="R1037">
        <v>16</v>
      </c>
      <c r="S1037">
        <v>9149.35</v>
      </c>
      <c r="T1037">
        <v>0</v>
      </c>
      <c r="U1037">
        <v>479.57</v>
      </c>
    </row>
    <row r="1038" spans="1:21" x14ac:dyDescent="0.35">
      <c r="A1038">
        <v>2025</v>
      </c>
      <c r="B1038">
        <v>2</v>
      </c>
      <c r="C1038">
        <v>1</v>
      </c>
      <c r="D1038" s="1">
        <v>45689</v>
      </c>
      <c r="E1038" s="4" t="s">
        <v>36</v>
      </c>
      <c r="F1038" s="4" t="s">
        <v>28</v>
      </c>
      <c r="G1038" s="4" t="s">
        <v>109</v>
      </c>
      <c r="H1038">
        <v>640</v>
      </c>
      <c r="I1038">
        <v>997</v>
      </c>
      <c r="J1038">
        <v>0</v>
      </c>
      <c r="K1038">
        <v>997</v>
      </c>
      <c r="L1038">
        <v>471487.8</v>
      </c>
      <c r="M1038">
        <v>0</v>
      </c>
      <c r="N1038">
        <v>471487.8</v>
      </c>
      <c r="O1038">
        <v>170545.2</v>
      </c>
      <c r="P1038">
        <v>300942.59999999998</v>
      </c>
      <c r="Q1038">
        <v>0.63829999999999998</v>
      </c>
      <c r="R1038">
        <v>74</v>
      </c>
      <c r="S1038">
        <v>63764.800000000003</v>
      </c>
      <c r="T1038">
        <v>0</v>
      </c>
      <c r="U1038">
        <v>736.7</v>
      </c>
    </row>
    <row r="1039" spans="1:21" x14ac:dyDescent="0.35">
      <c r="A1039">
        <v>2025</v>
      </c>
      <c r="B1039">
        <v>2</v>
      </c>
      <c r="C1039">
        <v>1</v>
      </c>
      <c r="D1039" s="1">
        <v>45689</v>
      </c>
      <c r="E1039" s="4" t="s">
        <v>36</v>
      </c>
      <c r="F1039" s="4" t="s">
        <v>24</v>
      </c>
      <c r="G1039" s="4" t="s">
        <v>107</v>
      </c>
      <c r="H1039">
        <v>44</v>
      </c>
      <c r="I1039">
        <v>78</v>
      </c>
      <c r="J1039">
        <v>0</v>
      </c>
      <c r="K1039">
        <v>78</v>
      </c>
      <c r="L1039">
        <v>113880.98</v>
      </c>
      <c r="M1039">
        <v>0</v>
      </c>
      <c r="N1039">
        <v>113880.98</v>
      </c>
      <c r="O1039">
        <v>64663.5</v>
      </c>
      <c r="P1039">
        <v>49217.48</v>
      </c>
      <c r="Q1039">
        <v>0.43219999999999997</v>
      </c>
      <c r="R1039">
        <v>6</v>
      </c>
      <c r="S1039">
        <v>19647.98</v>
      </c>
      <c r="T1039">
        <v>0</v>
      </c>
      <c r="U1039">
        <v>2588.1999999999998</v>
      </c>
    </row>
    <row r="1040" spans="1:21" x14ac:dyDescent="0.35">
      <c r="A1040">
        <v>2025</v>
      </c>
      <c r="B1040">
        <v>2</v>
      </c>
      <c r="C1040">
        <v>1</v>
      </c>
      <c r="D1040" s="1">
        <v>45689</v>
      </c>
      <c r="E1040" s="4" t="s">
        <v>36</v>
      </c>
      <c r="F1040" s="4" t="s">
        <v>24</v>
      </c>
      <c r="G1040" s="4" t="s">
        <v>108</v>
      </c>
      <c r="H1040">
        <v>21</v>
      </c>
      <c r="I1040">
        <v>30</v>
      </c>
      <c r="J1040">
        <v>0</v>
      </c>
      <c r="K1040">
        <v>30</v>
      </c>
      <c r="L1040">
        <v>50356</v>
      </c>
      <c r="M1040">
        <v>0</v>
      </c>
      <c r="N1040">
        <v>50356</v>
      </c>
      <c r="O1040">
        <v>28945.4</v>
      </c>
      <c r="P1040">
        <v>21410.6</v>
      </c>
      <c r="Q1040">
        <v>0.42520000000000002</v>
      </c>
      <c r="R1040">
        <v>3</v>
      </c>
      <c r="S1040">
        <v>7328</v>
      </c>
      <c r="T1040">
        <v>0</v>
      </c>
      <c r="U1040">
        <v>2397.9</v>
      </c>
    </row>
    <row r="1041" spans="1:21" x14ac:dyDescent="0.35">
      <c r="A1041">
        <v>2025</v>
      </c>
      <c r="B1041">
        <v>2</v>
      </c>
      <c r="C1041">
        <v>1</v>
      </c>
      <c r="D1041" s="1">
        <v>45689</v>
      </c>
      <c r="E1041" s="4" t="s">
        <v>36</v>
      </c>
      <c r="F1041" s="4" t="s">
        <v>24</v>
      </c>
      <c r="G1041" s="4" t="s">
        <v>109</v>
      </c>
      <c r="H1041">
        <v>112</v>
      </c>
      <c r="I1041">
        <v>161</v>
      </c>
      <c r="J1041">
        <v>10</v>
      </c>
      <c r="K1041">
        <v>151</v>
      </c>
      <c r="L1041">
        <v>260754.67</v>
      </c>
      <c r="M1041">
        <v>15157</v>
      </c>
      <c r="N1041">
        <v>245597.67</v>
      </c>
      <c r="O1041">
        <v>138073.65</v>
      </c>
      <c r="P1041">
        <v>107524.02</v>
      </c>
      <c r="Q1041">
        <v>0.43780000000000002</v>
      </c>
      <c r="R1041">
        <v>9</v>
      </c>
      <c r="S1041">
        <v>24003.67</v>
      </c>
      <c r="T1041">
        <v>0</v>
      </c>
      <c r="U1041">
        <v>2192.84</v>
      </c>
    </row>
    <row r="1042" spans="1:21" x14ac:dyDescent="0.35">
      <c r="A1042">
        <v>2025</v>
      </c>
      <c r="B1042">
        <v>2</v>
      </c>
      <c r="C1042">
        <v>1</v>
      </c>
      <c r="D1042" s="1">
        <v>45689</v>
      </c>
      <c r="E1042" s="4" t="s">
        <v>36</v>
      </c>
      <c r="F1042" s="4" t="s">
        <v>26</v>
      </c>
      <c r="G1042" s="4" t="s">
        <v>107</v>
      </c>
      <c r="H1042">
        <v>1</v>
      </c>
      <c r="I1042">
        <v>1</v>
      </c>
      <c r="J1042">
        <v>0</v>
      </c>
      <c r="K1042">
        <v>1</v>
      </c>
      <c r="L1042">
        <v>935</v>
      </c>
      <c r="M1042">
        <v>0</v>
      </c>
      <c r="N1042">
        <v>935</v>
      </c>
      <c r="O1042">
        <v>561</v>
      </c>
      <c r="P1042">
        <v>374</v>
      </c>
      <c r="Q1042">
        <v>0.4</v>
      </c>
      <c r="R1042">
        <v>0</v>
      </c>
      <c r="S1042">
        <v>0</v>
      </c>
      <c r="T1042">
        <v>0</v>
      </c>
      <c r="U1042">
        <v>935</v>
      </c>
    </row>
    <row r="1043" spans="1:21" x14ac:dyDescent="0.35">
      <c r="A1043">
        <v>2025</v>
      </c>
      <c r="B1043">
        <v>2</v>
      </c>
      <c r="C1043">
        <v>1</v>
      </c>
      <c r="D1043" s="1">
        <v>45689</v>
      </c>
      <c r="E1043" s="4" t="s">
        <v>36</v>
      </c>
      <c r="F1043" s="4" t="s">
        <v>26</v>
      </c>
      <c r="G1043" s="4" t="s">
        <v>109</v>
      </c>
      <c r="H1043">
        <v>56</v>
      </c>
      <c r="I1043">
        <v>86</v>
      </c>
      <c r="J1043">
        <v>2</v>
      </c>
      <c r="K1043">
        <v>84</v>
      </c>
      <c r="L1043">
        <v>71741.89</v>
      </c>
      <c r="M1043">
        <v>1306</v>
      </c>
      <c r="N1043">
        <v>70435.89</v>
      </c>
      <c r="O1043">
        <v>43656.6</v>
      </c>
      <c r="P1043">
        <v>26779.29</v>
      </c>
      <c r="Q1043">
        <v>0.38019999999999998</v>
      </c>
      <c r="R1043">
        <v>8</v>
      </c>
      <c r="S1043">
        <v>12427.89</v>
      </c>
      <c r="T1043">
        <v>0</v>
      </c>
      <c r="U1043">
        <v>1257.78</v>
      </c>
    </row>
    <row r="1044" spans="1:21" x14ac:dyDescent="0.35">
      <c r="A1044">
        <v>2025</v>
      </c>
      <c r="B1044">
        <v>2</v>
      </c>
      <c r="C1044">
        <v>1</v>
      </c>
      <c r="D1044" s="1">
        <v>45689</v>
      </c>
      <c r="E1044" s="4" t="s">
        <v>23</v>
      </c>
      <c r="F1044" s="4" t="s">
        <v>28</v>
      </c>
      <c r="G1044" s="4" t="s">
        <v>107</v>
      </c>
      <c r="H1044">
        <v>95</v>
      </c>
      <c r="I1044">
        <v>141</v>
      </c>
      <c r="J1044">
        <v>0</v>
      </c>
      <c r="K1044">
        <v>141</v>
      </c>
      <c r="L1044">
        <v>45400.160000000003</v>
      </c>
      <c r="M1044">
        <v>0</v>
      </c>
      <c r="N1044">
        <v>45400.160000000003</v>
      </c>
      <c r="O1044">
        <v>16680.3</v>
      </c>
      <c r="P1044">
        <v>28719.86</v>
      </c>
      <c r="Q1044">
        <v>0.63260000000000005</v>
      </c>
      <c r="R1044">
        <v>17</v>
      </c>
      <c r="S1044">
        <v>10924.16</v>
      </c>
      <c r="T1044">
        <v>0</v>
      </c>
      <c r="U1044">
        <v>477.9</v>
      </c>
    </row>
    <row r="1045" spans="1:21" x14ac:dyDescent="0.35">
      <c r="A1045">
        <v>2025</v>
      </c>
      <c r="B1045">
        <v>2</v>
      </c>
      <c r="C1045">
        <v>1</v>
      </c>
      <c r="D1045" s="1">
        <v>45689</v>
      </c>
      <c r="E1045" s="4" t="s">
        <v>23</v>
      </c>
      <c r="F1045" s="4" t="s">
        <v>28</v>
      </c>
      <c r="G1045" s="4" t="s">
        <v>108</v>
      </c>
      <c r="H1045">
        <v>28</v>
      </c>
      <c r="I1045">
        <v>42</v>
      </c>
      <c r="J1045">
        <v>0</v>
      </c>
      <c r="K1045">
        <v>42</v>
      </c>
      <c r="L1045">
        <v>29174.5</v>
      </c>
      <c r="M1045">
        <v>0</v>
      </c>
      <c r="N1045">
        <v>29174.5</v>
      </c>
      <c r="O1045">
        <v>10334.1</v>
      </c>
      <c r="P1045">
        <v>18840.400000000001</v>
      </c>
      <c r="Q1045">
        <v>0.64580000000000004</v>
      </c>
      <c r="R1045">
        <v>2</v>
      </c>
      <c r="S1045">
        <v>1757.5</v>
      </c>
      <c r="T1045">
        <v>0</v>
      </c>
      <c r="U1045">
        <v>1041.95</v>
      </c>
    </row>
    <row r="1046" spans="1:21" x14ac:dyDescent="0.35">
      <c r="A1046">
        <v>2025</v>
      </c>
      <c r="B1046">
        <v>2</v>
      </c>
      <c r="C1046">
        <v>1</v>
      </c>
      <c r="D1046" s="1">
        <v>45689</v>
      </c>
      <c r="E1046" s="4" t="s">
        <v>23</v>
      </c>
      <c r="F1046" s="4" t="s">
        <v>28</v>
      </c>
      <c r="G1046" s="4" t="s">
        <v>109</v>
      </c>
      <c r="H1046">
        <v>508</v>
      </c>
      <c r="I1046">
        <v>789</v>
      </c>
      <c r="J1046">
        <v>0</v>
      </c>
      <c r="K1046">
        <v>789</v>
      </c>
      <c r="L1046">
        <v>367942.53</v>
      </c>
      <c r="M1046">
        <v>0</v>
      </c>
      <c r="N1046">
        <v>367942.53</v>
      </c>
      <c r="O1046">
        <v>133293.29999999999</v>
      </c>
      <c r="P1046">
        <v>234649.23</v>
      </c>
      <c r="Q1046">
        <v>0.63770000000000004</v>
      </c>
      <c r="R1046">
        <v>63</v>
      </c>
      <c r="S1046">
        <v>52821.9</v>
      </c>
      <c r="T1046">
        <v>0</v>
      </c>
      <c r="U1046">
        <v>724.3</v>
      </c>
    </row>
    <row r="1047" spans="1:21" x14ac:dyDescent="0.35">
      <c r="A1047">
        <v>2025</v>
      </c>
      <c r="B1047">
        <v>2</v>
      </c>
      <c r="C1047">
        <v>1</v>
      </c>
      <c r="D1047" s="1">
        <v>45689</v>
      </c>
      <c r="E1047" s="4" t="s">
        <v>23</v>
      </c>
      <c r="F1047" s="4" t="s">
        <v>24</v>
      </c>
      <c r="G1047" s="4" t="s">
        <v>107</v>
      </c>
      <c r="H1047">
        <v>52</v>
      </c>
      <c r="I1047">
        <v>84</v>
      </c>
      <c r="J1047">
        <v>5</v>
      </c>
      <c r="K1047">
        <v>79</v>
      </c>
      <c r="L1047">
        <v>148290.85999999999</v>
      </c>
      <c r="M1047">
        <v>9376</v>
      </c>
      <c r="N1047">
        <v>138914.85999999999</v>
      </c>
      <c r="O1047">
        <v>79249.5</v>
      </c>
      <c r="P1047">
        <v>59665.36</v>
      </c>
      <c r="Q1047">
        <v>0.42949999999999999</v>
      </c>
      <c r="R1047">
        <v>8</v>
      </c>
      <c r="S1047">
        <v>23406.86</v>
      </c>
      <c r="T1047">
        <v>0</v>
      </c>
      <c r="U1047">
        <v>2671.44</v>
      </c>
    </row>
    <row r="1048" spans="1:21" x14ac:dyDescent="0.35">
      <c r="A1048">
        <v>2025</v>
      </c>
      <c r="B1048">
        <v>2</v>
      </c>
      <c r="C1048">
        <v>1</v>
      </c>
      <c r="D1048" s="1">
        <v>45689</v>
      </c>
      <c r="E1048" s="4" t="s">
        <v>23</v>
      </c>
      <c r="F1048" s="4" t="s">
        <v>24</v>
      </c>
      <c r="G1048" s="4" t="s">
        <v>109</v>
      </c>
      <c r="H1048">
        <v>139</v>
      </c>
      <c r="I1048">
        <v>207</v>
      </c>
      <c r="J1048">
        <v>9</v>
      </c>
      <c r="K1048">
        <v>198</v>
      </c>
      <c r="L1048">
        <v>238262.72</v>
      </c>
      <c r="M1048">
        <v>14487</v>
      </c>
      <c r="N1048">
        <v>223775.72</v>
      </c>
      <c r="O1048">
        <v>125520.45</v>
      </c>
      <c r="P1048">
        <v>98255.27</v>
      </c>
      <c r="Q1048">
        <v>0.43909999999999999</v>
      </c>
      <c r="R1048">
        <v>13</v>
      </c>
      <c r="S1048">
        <v>25465.72</v>
      </c>
      <c r="T1048">
        <v>0</v>
      </c>
      <c r="U1048">
        <v>1609.9</v>
      </c>
    </row>
    <row r="1049" spans="1:21" x14ac:dyDescent="0.35">
      <c r="A1049">
        <v>2025</v>
      </c>
      <c r="B1049">
        <v>2</v>
      </c>
      <c r="C1049">
        <v>1</v>
      </c>
      <c r="D1049" s="1">
        <v>45689</v>
      </c>
      <c r="E1049" s="4" t="s">
        <v>23</v>
      </c>
      <c r="F1049" s="4" t="s">
        <v>26</v>
      </c>
      <c r="G1049" s="4" t="s">
        <v>107</v>
      </c>
      <c r="H1049">
        <v>10</v>
      </c>
      <c r="I1049">
        <v>21</v>
      </c>
      <c r="J1049">
        <v>0</v>
      </c>
      <c r="K1049">
        <v>21</v>
      </c>
      <c r="L1049">
        <v>11289.1</v>
      </c>
      <c r="M1049">
        <v>0</v>
      </c>
      <c r="N1049">
        <v>11289.1</v>
      </c>
      <c r="O1049">
        <v>7702.2</v>
      </c>
      <c r="P1049">
        <v>3586.9</v>
      </c>
      <c r="Q1049">
        <v>0.31769999999999998</v>
      </c>
      <c r="R1049">
        <v>2</v>
      </c>
      <c r="S1049">
        <v>4509.1000000000004</v>
      </c>
      <c r="T1049">
        <v>0</v>
      </c>
      <c r="U1049">
        <v>1128.9100000000001</v>
      </c>
    </row>
    <row r="1050" spans="1:21" x14ac:dyDescent="0.35">
      <c r="A1050">
        <v>2025</v>
      </c>
      <c r="B1050">
        <v>2</v>
      </c>
      <c r="C1050">
        <v>1</v>
      </c>
      <c r="D1050" s="1">
        <v>45689</v>
      </c>
      <c r="E1050" s="4" t="s">
        <v>23</v>
      </c>
      <c r="F1050" s="4" t="s">
        <v>26</v>
      </c>
      <c r="G1050" s="4" t="s">
        <v>109</v>
      </c>
      <c r="H1050">
        <v>36</v>
      </c>
      <c r="I1050">
        <v>53</v>
      </c>
      <c r="J1050">
        <v>4</v>
      </c>
      <c r="K1050">
        <v>49</v>
      </c>
      <c r="L1050">
        <v>31618.11</v>
      </c>
      <c r="M1050">
        <v>1356.8</v>
      </c>
      <c r="N1050">
        <v>30261.31</v>
      </c>
      <c r="O1050">
        <v>18355.8</v>
      </c>
      <c r="P1050">
        <v>11905.51</v>
      </c>
      <c r="Q1050">
        <v>0.39340000000000003</v>
      </c>
      <c r="R1050">
        <v>3</v>
      </c>
      <c r="S1050">
        <v>2139.31</v>
      </c>
      <c r="T1050">
        <v>0</v>
      </c>
      <c r="U1050">
        <v>840.59</v>
      </c>
    </row>
    <row r="1051" spans="1:21" x14ac:dyDescent="0.35">
      <c r="A1051">
        <v>2025</v>
      </c>
      <c r="B1051">
        <v>2</v>
      </c>
      <c r="C1051">
        <v>1</v>
      </c>
      <c r="D1051" s="1">
        <v>45689</v>
      </c>
      <c r="E1051" s="4" t="s">
        <v>25</v>
      </c>
      <c r="F1051" s="4" t="s">
        <v>28</v>
      </c>
      <c r="G1051" s="4" t="s">
        <v>107</v>
      </c>
      <c r="H1051">
        <v>47</v>
      </c>
      <c r="I1051">
        <v>66</v>
      </c>
      <c r="J1051">
        <v>0</v>
      </c>
      <c r="K1051">
        <v>66</v>
      </c>
      <c r="L1051">
        <v>31042.62</v>
      </c>
      <c r="M1051">
        <v>0</v>
      </c>
      <c r="N1051">
        <v>31042.62</v>
      </c>
      <c r="O1051">
        <v>11480.7</v>
      </c>
      <c r="P1051">
        <v>19561.919999999998</v>
      </c>
      <c r="Q1051">
        <v>0.63019999999999998</v>
      </c>
      <c r="R1051">
        <v>7</v>
      </c>
      <c r="S1051">
        <v>5695.62</v>
      </c>
      <c r="T1051">
        <v>0</v>
      </c>
      <c r="U1051">
        <v>660.48</v>
      </c>
    </row>
    <row r="1052" spans="1:21" x14ac:dyDescent="0.35">
      <c r="A1052">
        <v>2025</v>
      </c>
      <c r="B1052">
        <v>2</v>
      </c>
      <c r="C1052">
        <v>1</v>
      </c>
      <c r="D1052" s="1">
        <v>45689</v>
      </c>
      <c r="E1052" s="4" t="s">
        <v>25</v>
      </c>
      <c r="F1052" s="4" t="s">
        <v>28</v>
      </c>
      <c r="G1052" s="4" t="s">
        <v>109</v>
      </c>
      <c r="H1052">
        <v>626</v>
      </c>
      <c r="I1052">
        <v>936</v>
      </c>
      <c r="J1052">
        <v>0</v>
      </c>
      <c r="K1052">
        <v>936</v>
      </c>
      <c r="L1052">
        <v>469520.81</v>
      </c>
      <c r="M1052">
        <v>0</v>
      </c>
      <c r="N1052">
        <v>469520.81</v>
      </c>
      <c r="O1052">
        <v>170222.15</v>
      </c>
      <c r="P1052">
        <v>299298.65999999997</v>
      </c>
      <c r="Q1052">
        <v>0.63749999999999996</v>
      </c>
      <c r="R1052">
        <v>85</v>
      </c>
      <c r="S1052">
        <v>64598.54</v>
      </c>
      <c r="T1052">
        <v>0</v>
      </c>
      <c r="U1052">
        <v>750.03</v>
      </c>
    </row>
    <row r="1053" spans="1:21" x14ac:dyDescent="0.35">
      <c r="A1053">
        <v>2025</v>
      </c>
      <c r="B1053">
        <v>2</v>
      </c>
      <c r="C1053">
        <v>1</v>
      </c>
      <c r="D1053" s="1">
        <v>45689</v>
      </c>
      <c r="E1053" s="4" t="s">
        <v>25</v>
      </c>
      <c r="F1053" s="4" t="s">
        <v>24</v>
      </c>
      <c r="G1053" s="4" t="s">
        <v>107</v>
      </c>
      <c r="H1053">
        <v>18</v>
      </c>
      <c r="I1053">
        <v>28</v>
      </c>
      <c r="J1053">
        <v>2</v>
      </c>
      <c r="K1053">
        <v>26</v>
      </c>
      <c r="L1053">
        <v>47826.080000000002</v>
      </c>
      <c r="M1053">
        <v>3168</v>
      </c>
      <c r="N1053">
        <v>44658.080000000002</v>
      </c>
      <c r="O1053">
        <v>26089.25</v>
      </c>
      <c r="P1053">
        <v>18568.830000000002</v>
      </c>
      <c r="Q1053">
        <v>0.4158</v>
      </c>
      <c r="R1053">
        <v>4</v>
      </c>
      <c r="S1053">
        <v>11150.08</v>
      </c>
      <c r="T1053">
        <v>0</v>
      </c>
      <c r="U1053">
        <v>2481</v>
      </c>
    </row>
    <row r="1054" spans="1:21" x14ac:dyDescent="0.35">
      <c r="A1054">
        <v>2025</v>
      </c>
      <c r="B1054">
        <v>2</v>
      </c>
      <c r="C1054">
        <v>1</v>
      </c>
      <c r="D1054" s="1">
        <v>45689</v>
      </c>
      <c r="E1054" s="4" t="s">
        <v>25</v>
      </c>
      <c r="F1054" s="4" t="s">
        <v>24</v>
      </c>
      <c r="G1054" s="4" t="s">
        <v>109</v>
      </c>
      <c r="H1054">
        <v>184</v>
      </c>
      <c r="I1054">
        <v>292</v>
      </c>
      <c r="J1054">
        <v>9</v>
      </c>
      <c r="K1054">
        <v>283</v>
      </c>
      <c r="L1054">
        <v>445728</v>
      </c>
      <c r="M1054">
        <v>11289.44</v>
      </c>
      <c r="N1054">
        <v>434438.56</v>
      </c>
      <c r="O1054">
        <v>249780.3</v>
      </c>
      <c r="P1054">
        <v>184658.26</v>
      </c>
      <c r="Q1054">
        <v>0.42509999999999998</v>
      </c>
      <c r="R1054">
        <v>31</v>
      </c>
      <c r="S1054">
        <v>82341.56</v>
      </c>
      <c r="T1054">
        <v>0</v>
      </c>
      <c r="U1054">
        <v>2361.08</v>
      </c>
    </row>
    <row r="1055" spans="1:21" x14ac:dyDescent="0.35">
      <c r="A1055">
        <v>2025</v>
      </c>
      <c r="B1055">
        <v>2</v>
      </c>
      <c r="C1055">
        <v>1</v>
      </c>
      <c r="D1055" s="1">
        <v>45689</v>
      </c>
      <c r="E1055" s="4" t="s">
        <v>25</v>
      </c>
      <c r="F1055" s="4" t="s">
        <v>26</v>
      </c>
      <c r="G1055" s="4" t="s">
        <v>107</v>
      </c>
      <c r="H1055">
        <v>17</v>
      </c>
      <c r="I1055">
        <v>20</v>
      </c>
      <c r="J1055">
        <v>0</v>
      </c>
      <c r="K1055">
        <v>20</v>
      </c>
      <c r="L1055">
        <v>17750.419999999998</v>
      </c>
      <c r="M1055">
        <v>0</v>
      </c>
      <c r="N1055">
        <v>17750.419999999998</v>
      </c>
      <c r="O1055">
        <v>10980</v>
      </c>
      <c r="P1055">
        <v>6770.42</v>
      </c>
      <c r="Q1055">
        <v>0.38140000000000002</v>
      </c>
      <c r="R1055">
        <v>1</v>
      </c>
      <c r="S1055">
        <v>856.8</v>
      </c>
      <c r="T1055">
        <v>0</v>
      </c>
      <c r="U1055">
        <v>1044.1400000000001</v>
      </c>
    </row>
    <row r="1056" spans="1:21" x14ac:dyDescent="0.35">
      <c r="A1056">
        <v>2025</v>
      </c>
      <c r="B1056">
        <v>2</v>
      </c>
      <c r="C1056">
        <v>1</v>
      </c>
      <c r="D1056" s="1">
        <v>45689</v>
      </c>
      <c r="E1056" s="4" t="s">
        <v>25</v>
      </c>
      <c r="F1056" s="4" t="s">
        <v>26</v>
      </c>
      <c r="G1056" s="4" t="s">
        <v>109</v>
      </c>
      <c r="H1056">
        <v>34</v>
      </c>
      <c r="I1056">
        <v>43</v>
      </c>
      <c r="J1056">
        <v>0</v>
      </c>
      <c r="K1056">
        <v>43</v>
      </c>
      <c r="L1056">
        <v>31522.080000000002</v>
      </c>
      <c r="M1056">
        <v>0</v>
      </c>
      <c r="N1056">
        <v>31522.080000000002</v>
      </c>
      <c r="O1056">
        <v>19125.599999999999</v>
      </c>
      <c r="P1056">
        <v>12396.48</v>
      </c>
      <c r="Q1056">
        <v>0.39329999999999998</v>
      </c>
      <c r="R1056">
        <v>3</v>
      </c>
      <c r="S1056">
        <v>4090.08</v>
      </c>
      <c r="T1056">
        <v>0</v>
      </c>
      <c r="U1056">
        <v>927.12</v>
      </c>
    </row>
    <row r="1057" spans="1:21" x14ac:dyDescent="0.35">
      <c r="A1057">
        <v>2025</v>
      </c>
      <c r="B1057">
        <v>2</v>
      </c>
      <c r="C1057">
        <v>1</v>
      </c>
      <c r="D1057" s="1">
        <v>45689</v>
      </c>
      <c r="E1057" s="4" t="s">
        <v>29</v>
      </c>
      <c r="F1057" s="4" t="s">
        <v>28</v>
      </c>
      <c r="G1057" s="4" t="s">
        <v>107</v>
      </c>
      <c r="H1057">
        <v>192</v>
      </c>
      <c r="I1057">
        <v>284</v>
      </c>
      <c r="J1057">
        <v>0</v>
      </c>
      <c r="K1057">
        <v>284</v>
      </c>
      <c r="L1057">
        <v>137769.04999999999</v>
      </c>
      <c r="M1057">
        <v>0</v>
      </c>
      <c r="N1057">
        <v>137769.04999999999</v>
      </c>
      <c r="O1057">
        <v>49904.4</v>
      </c>
      <c r="P1057">
        <v>87864.65</v>
      </c>
      <c r="Q1057">
        <v>0.63780000000000003</v>
      </c>
      <c r="R1057">
        <v>23</v>
      </c>
      <c r="S1057">
        <v>20192.759999999998</v>
      </c>
      <c r="T1057">
        <v>0</v>
      </c>
      <c r="U1057">
        <v>717.55</v>
      </c>
    </row>
    <row r="1058" spans="1:21" x14ac:dyDescent="0.35">
      <c r="A1058">
        <v>2025</v>
      </c>
      <c r="B1058">
        <v>2</v>
      </c>
      <c r="C1058">
        <v>1</v>
      </c>
      <c r="D1058" s="1">
        <v>45689</v>
      </c>
      <c r="E1058" s="4" t="s">
        <v>29</v>
      </c>
      <c r="F1058" s="4" t="s">
        <v>28</v>
      </c>
      <c r="G1058" s="4" t="s">
        <v>108</v>
      </c>
      <c r="H1058">
        <v>23</v>
      </c>
      <c r="I1058">
        <v>36</v>
      </c>
      <c r="J1058">
        <v>0</v>
      </c>
      <c r="K1058">
        <v>36</v>
      </c>
      <c r="L1058">
        <v>21784.639999999999</v>
      </c>
      <c r="M1058">
        <v>0</v>
      </c>
      <c r="N1058">
        <v>21784.639999999999</v>
      </c>
      <c r="O1058">
        <v>7660.8</v>
      </c>
      <c r="P1058">
        <v>14123.84</v>
      </c>
      <c r="Q1058">
        <v>0.64829999999999999</v>
      </c>
      <c r="R1058">
        <v>1</v>
      </c>
      <c r="S1058">
        <v>504.64</v>
      </c>
      <c r="T1058">
        <v>0</v>
      </c>
      <c r="U1058">
        <v>947.16</v>
      </c>
    </row>
    <row r="1059" spans="1:21" x14ac:dyDescent="0.35">
      <c r="A1059">
        <v>2025</v>
      </c>
      <c r="B1059">
        <v>2</v>
      </c>
      <c r="C1059">
        <v>1</v>
      </c>
      <c r="D1059" s="1">
        <v>45689</v>
      </c>
      <c r="E1059" s="4" t="s">
        <v>29</v>
      </c>
      <c r="F1059" s="4" t="s">
        <v>28</v>
      </c>
      <c r="G1059" s="4" t="s">
        <v>109</v>
      </c>
      <c r="H1059">
        <v>735</v>
      </c>
      <c r="I1059">
        <v>1140</v>
      </c>
      <c r="J1059">
        <v>0</v>
      </c>
      <c r="K1059">
        <v>1140</v>
      </c>
      <c r="L1059">
        <v>541398.78</v>
      </c>
      <c r="M1059">
        <v>0</v>
      </c>
      <c r="N1059">
        <v>541398.78</v>
      </c>
      <c r="O1059">
        <v>196843.85</v>
      </c>
      <c r="P1059">
        <v>344554.93</v>
      </c>
      <c r="Q1059">
        <v>0.63639999999999997</v>
      </c>
      <c r="R1059">
        <v>94</v>
      </c>
      <c r="S1059">
        <v>85869.42</v>
      </c>
      <c r="T1059">
        <v>0</v>
      </c>
      <c r="U1059">
        <v>736.6</v>
      </c>
    </row>
    <row r="1060" spans="1:21" x14ac:dyDescent="0.35">
      <c r="A1060">
        <v>2025</v>
      </c>
      <c r="B1060">
        <v>2</v>
      </c>
      <c r="C1060">
        <v>1</v>
      </c>
      <c r="D1060" s="1">
        <v>45689</v>
      </c>
      <c r="E1060" s="4" t="s">
        <v>29</v>
      </c>
      <c r="F1060" s="4" t="s">
        <v>24</v>
      </c>
      <c r="G1060" s="4" t="s">
        <v>107</v>
      </c>
      <c r="H1060">
        <v>5</v>
      </c>
      <c r="I1060">
        <v>8</v>
      </c>
      <c r="J1060">
        <v>0</v>
      </c>
      <c r="K1060">
        <v>8</v>
      </c>
      <c r="L1060">
        <v>6912</v>
      </c>
      <c r="M1060">
        <v>0</v>
      </c>
      <c r="N1060">
        <v>6912</v>
      </c>
      <c r="O1060">
        <v>3801.6</v>
      </c>
      <c r="P1060">
        <v>3110.4</v>
      </c>
      <c r="Q1060">
        <v>0.45</v>
      </c>
      <c r="R1060">
        <v>0</v>
      </c>
      <c r="S1060">
        <v>0</v>
      </c>
      <c r="T1060">
        <v>0</v>
      </c>
      <c r="U1060">
        <v>1382.4</v>
      </c>
    </row>
    <row r="1061" spans="1:21" x14ac:dyDescent="0.35">
      <c r="A1061">
        <v>2025</v>
      </c>
      <c r="B1061">
        <v>2</v>
      </c>
      <c r="C1061">
        <v>1</v>
      </c>
      <c r="D1061" s="1">
        <v>45689</v>
      </c>
      <c r="E1061" s="4" t="s">
        <v>29</v>
      </c>
      <c r="F1061" s="4" t="s">
        <v>24</v>
      </c>
      <c r="G1061" s="4" t="s">
        <v>108</v>
      </c>
      <c r="H1061">
        <v>12</v>
      </c>
      <c r="I1061">
        <v>20</v>
      </c>
      <c r="J1061">
        <v>1</v>
      </c>
      <c r="K1061">
        <v>19</v>
      </c>
      <c r="L1061">
        <v>14068.32</v>
      </c>
      <c r="M1061">
        <v>742</v>
      </c>
      <c r="N1061">
        <v>13326.32</v>
      </c>
      <c r="O1061">
        <v>7753.9</v>
      </c>
      <c r="P1061">
        <v>5572.42</v>
      </c>
      <c r="Q1061">
        <v>0.41820000000000002</v>
      </c>
      <c r="R1061">
        <v>4</v>
      </c>
      <c r="S1061">
        <v>3680.32</v>
      </c>
      <c r="T1061">
        <v>0</v>
      </c>
      <c r="U1061">
        <v>1110.53</v>
      </c>
    </row>
    <row r="1062" spans="1:21" x14ac:dyDescent="0.35">
      <c r="A1062">
        <v>2025</v>
      </c>
      <c r="B1062">
        <v>2</v>
      </c>
      <c r="C1062">
        <v>1</v>
      </c>
      <c r="D1062" s="1">
        <v>45689</v>
      </c>
      <c r="E1062" s="4" t="s">
        <v>29</v>
      </c>
      <c r="F1062" s="4" t="s">
        <v>24</v>
      </c>
      <c r="G1062" s="4" t="s">
        <v>109</v>
      </c>
      <c r="H1062">
        <v>137</v>
      </c>
      <c r="I1062">
        <v>216</v>
      </c>
      <c r="J1062">
        <v>5</v>
      </c>
      <c r="K1062">
        <v>211</v>
      </c>
      <c r="L1062">
        <v>440178.6</v>
      </c>
      <c r="M1062">
        <v>10511</v>
      </c>
      <c r="N1062">
        <v>429667.6</v>
      </c>
      <c r="O1062">
        <v>242687.5</v>
      </c>
      <c r="P1062">
        <v>186980.1</v>
      </c>
      <c r="Q1062">
        <v>0.43519999999999998</v>
      </c>
      <c r="R1062">
        <v>16</v>
      </c>
      <c r="S1062">
        <v>62562.6</v>
      </c>
      <c r="T1062">
        <v>0</v>
      </c>
      <c r="U1062">
        <v>3136.26</v>
      </c>
    </row>
    <row r="1063" spans="1:21" x14ac:dyDescent="0.35">
      <c r="A1063">
        <v>2025</v>
      </c>
      <c r="B1063">
        <v>2</v>
      </c>
      <c r="C1063">
        <v>1</v>
      </c>
      <c r="D1063" s="1">
        <v>45689</v>
      </c>
      <c r="E1063" s="4" t="s">
        <v>29</v>
      </c>
      <c r="F1063" s="4" t="s">
        <v>26</v>
      </c>
      <c r="G1063" s="4" t="s">
        <v>107</v>
      </c>
      <c r="H1063">
        <v>13</v>
      </c>
      <c r="I1063">
        <v>21</v>
      </c>
      <c r="J1063">
        <v>0</v>
      </c>
      <c r="K1063">
        <v>21</v>
      </c>
      <c r="L1063">
        <v>13812.78</v>
      </c>
      <c r="M1063">
        <v>0</v>
      </c>
      <c r="N1063">
        <v>13812.78</v>
      </c>
      <c r="O1063">
        <v>8327.4</v>
      </c>
      <c r="P1063">
        <v>5485.38</v>
      </c>
      <c r="Q1063">
        <v>0.39710000000000001</v>
      </c>
      <c r="R1063">
        <v>1</v>
      </c>
      <c r="S1063">
        <v>535.78</v>
      </c>
      <c r="T1063">
        <v>0</v>
      </c>
      <c r="U1063">
        <v>1062.52</v>
      </c>
    </row>
    <row r="1064" spans="1:21" x14ac:dyDescent="0.35">
      <c r="A1064">
        <v>2025</v>
      </c>
      <c r="B1064">
        <v>2</v>
      </c>
      <c r="C1064">
        <v>1</v>
      </c>
      <c r="D1064" s="1">
        <v>45689</v>
      </c>
      <c r="E1064" s="4" t="s">
        <v>29</v>
      </c>
      <c r="F1064" s="4" t="s">
        <v>26</v>
      </c>
      <c r="G1064" s="4" t="s">
        <v>109</v>
      </c>
      <c r="H1064">
        <v>34</v>
      </c>
      <c r="I1064">
        <v>59</v>
      </c>
      <c r="J1064">
        <v>2</v>
      </c>
      <c r="K1064">
        <v>57</v>
      </c>
      <c r="L1064">
        <v>46276.01</v>
      </c>
      <c r="M1064">
        <v>1021</v>
      </c>
      <c r="N1064">
        <v>45255.01</v>
      </c>
      <c r="O1064">
        <v>28312.799999999999</v>
      </c>
      <c r="P1064">
        <v>16942.21</v>
      </c>
      <c r="Q1064">
        <v>0.37440000000000001</v>
      </c>
      <c r="R1064">
        <v>4</v>
      </c>
      <c r="S1064">
        <v>9812.01</v>
      </c>
      <c r="T1064">
        <v>0</v>
      </c>
      <c r="U1064">
        <v>1331.03</v>
      </c>
    </row>
    <row r="1065" spans="1:21" x14ac:dyDescent="0.35">
      <c r="A1065">
        <v>2025</v>
      </c>
      <c r="B1065">
        <v>2</v>
      </c>
      <c r="C1065">
        <v>1</v>
      </c>
      <c r="D1065" s="1">
        <v>45689</v>
      </c>
      <c r="E1065" s="4" t="s">
        <v>31</v>
      </c>
      <c r="F1065" s="4" t="s">
        <v>28</v>
      </c>
      <c r="G1065" s="4" t="s">
        <v>107</v>
      </c>
      <c r="H1065">
        <v>71</v>
      </c>
      <c r="I1065">
        <v>112</v>
      </c>
      <c r="J1065">
        <v>0</v>
      </c>
      <c r="K1065">
        <v>112</v>
      </c>
      <c r="L1065">
        <v>43986.98</v>
      </c>
      <c r="M1065">
        <v>0</v>
      </c>
      <c r="N1065">
        <v>43986.98</v>
      </c>
      <c r="O1065">
        <v>16031.05</v>
      </c>
      <c r="P1065">
        <v>27955.93</v>
      </c>
      <c r="Q1065">
        <v>0.63560000000000005</v>
      </c>
      <c r="R1065">
        <v>8</v>
      </c>
      <c r="S1065">
        <v>7026.98</v>
      </c>
      <c r="T1065">
        <v>0</v>
      </c>
      <c r="U1065">
        <v>619.53</v>
      </c>
    </row>
    <row r="1066" spans="1:21" x14ac:dyDescent="0.35">
      <c r="A1066">
        <v>2025</v>
      </c>
      <c r="B1066">
        <v>2</v>
      </c>
      <c r="C1066">
        <v>1</v>
      </c>
      <c r="D1066" s="1">
        <v>45689</v>
      </c>
      <c r="E1066" s="4" t="s">
        <v>31</v>
      </c>
      <c r="F1066" s="4" t="s">
        <v>28</v>
      </c>
      <c r="G1066" s="4" t="s">
        <v>108</v>
      </c>
      <c r="H1066">
        <v>281</v>
      </c>
      <c r="I1066">
        <v>407</v>
      </c>
      <c r="J1066">
        <v>0</v>
      </c>
      <c r="K1066">
        <v>407</v>
      </c>
      <c r="L1066">
        <v>152828.47</v>
      </c>
      <c r="M1066">
        <v>0</v>
      </c>
      <c r="N1066">
        <v>152828.47</v>
      </c>
      <c r="O1066">
        <v>54977.3</v>
      </c>
      <c r="P1066">
        <v>97851.17</v>
      </c>
      <c r="Q1066">
        <v>0.64029999999999998</v>
      </c>
      <c r="R1066">
        <v>26</v>
      </c>
      <c r="S1066">
        <v>19344.560000000001</v>
      </c>
      <c r="T1066">
        <v>0</v>
      </c>
      <c r="U1066">
        <v>543.87</v>
      </c>
    </row>
    <row r="1067" spans="1:21" x14ac:dyDescent="0.35">
      <c r="A1067">
        <v>2025</v>
      </c>
      <c r="B1067">
        <v>2</v>
      </c>
      <c r="C1067">
        <v>1</v>
      </c>
      <c r="D1067" s="1">
        <v>45689</v>
      </c>
      <c r="E1067" s="4" t="s">
        <v>31</v>
      </c>
      <c r="F1067" s="4" t="s">
        <v>28</v>
      </c>
      <c r="G1067" s="4" t="s">
        <v>109</v>
      </c>
      <c r="H1067">
        <v>885</v>
      </c>
      <c r="I1067">
        <v>1380</v>
      </c>
      <c r="J1067">
        <v>0</v>
      </c>
      <c r="K1067">
        <v>1380</v>
      </c>
      <c r="L1067">
        <v>665936.69999999995</v>
      </c>
      <c r="M1067">
        <v>0</v>
      </c>
      <c r="N1067">
        <v>665936.69999999995</v>
      </c>
      <c r="O1067">
        <v>240240</v>
      </c>
      <c r="P1067">
        <v>425696.7</v>
      </c>
      <c r="Q1067">
        <v>0.63919999999999999</v>
      </c>
      <c r="R1067">
        <v>101</v>
      </c>
      <c r="S1067">
        <v>83718.679999999993</v>
      </c>
      <c r="T1067">
        <v>0</v>
      </c>
      <c r="U1067">
        <v>752.47</v>
      </c>
    </row>
    <row r="1068" spans="1:21" x14ac:dyDescent="0.35">
      <c r="A1068">
        <v>2025</v>
      </c>
      <c r="B1068">
        <v>2</v>
      </c>
      <c r="C1068">
        <v>1</v>
      </c>
      <c r="D1068" s="1">
        <v>45689</v>
      </c>
      <c r="E1068" s="4" t="s">
        <v>31</v>
      </c>
      <c r="F1068" s="4" t="s">
        <v>24</v>
      </c>
      <c r="G1068" s="4" t="s">
        <v>107</v>
      </c>
      <c r="H1068">
        <v>7</v>
      </c>
      <c r="I1068">
        <v>19</v>
      </c>
      <c r="J1068">
        <v>0</v>
      </c>
      <c r="K1068">
        <v>19</v>
      </c>
      <c r="L1068">
        <v>27874</v>
      </c>
      <c r="M1068">
        <v>0</v>
      </c>
      <c r="N1068">
        <v>27874</v>
      </c>
      <c r="O1068">
        <v>18914.5</v>
      </c>
      <c r="P1068">
        <v>8959.5</v>
      </c>
      <c r="Q1068">
        <v>0.32140000000000002</v>
      </c>
      <c r="R1068">
        <v>3</v>
      </c>
      <c r="S1068">
        <v>18824</v>
      </c>
      <c r="T1068">
        <v>0</v>
      </c>
      <c r="U1068">
        <v>3982</v>
      </c>
    </row>
    <row r="1069" spans="1:21" x14ac:dyDescent="0.35">
      <c r="A1069">
        <v>2025</v>
      </c>
      <c r="B1069">
        <v>2</v>
      </c>
      <c r="C1069">
        <v>1</v>
      </c>
      <c r="D1069" s="1">
        <v>45689</v>
      </c>
      <c r="E1069" s="4" t="s">
        <v>31</v>
      </c>
      <c r="F1069" s="4" t="s">
        <v>24</v>
      </c>
      <c r="G1069" s="4" t="s">
        <v>109</v>
      </c>
      <c r="H1069">
        <v>237</v>
      </c>
      <c r="I1069">
        <v>346</v>
      </c>
      <c r="J1069">
        <v>6</v>
      </c>
      <c r="K1069">
        <v>340</v>
      </c>
      <c r="L1069">
        <v>486650.55</v>
      </c>
      <c r="M1069">
        <v>6803.94</v>
      </c>
      <c r="N1069">
        <v>479846.61</v>
      </c>
      <c r="O1069">
        <v>276066.45</v>
      </c>
      <c r="P1069">
        <v>203780.16</v>
      </c>
      <c r="Q1069">
        <v>0.42470000000000002</v>
      </c>
      <c r="R1069">
        <v>31</v>
      </c>
      <c r="S1069">
        <v>65426.8</v>
      </c>
      <c r="T1069">
        <v>0</v>
      </c>
      <c r="U1069">
        <v>2024.67</v>
      </c>
    </row>
    <row r="1070" spans="1:21" x14ac:dyDescent="0.35">
      <c r="A1070">
        <v>2025</v>
      </c>
      <c r="B1070">
        <v>2</v>
      </c>
      <c r="C1070">
        <v>1</v>
      </c>
      <c r="D1070" s="1">
        <v>45689</v>
      </c>
      <c r="E1070" s="4" t="s">
        <v>31</v>
      </c>
      <c r="F1070" s="4" t="s">
        <v>26</v>
      </c>
      <c r="G1070" s="4" t="s">
        <v>108</v>
      </c>
      <c r="H1070">
        <v>2</v>
      </c>
      <c r="I1070">
        <v>3</v>
      </c>
      <c r="J1070">
        <v>0</v>
      </c>
      <c r="K1070">
        <v>3</v>
      </c>
      <c r="L1070">
        <v>1698.84</v>
      </c>
      <c r="M1070">
        <v>0</v>
      </c>
      <c r="N1070">
        <v>1698.84</v>
      </c>
      <c r="O1070">
        <v>1306.8</v>
      </c>
      <c r="P1070">
        <v>392.04</v>
      </c>
      <c r="Q1070">
        <v>0.23080000000000001</v>
      </c>
      <c r="R1070">
        <v>1</v>
      </c>
      <c r="S1070">
        <v>972.84</v>
      </c>
      <c r="T1070">
        <v>0</v>
      </c>
      <c r="U1070">
        <v>849.42</v>
      </c>
    </row>
    <row r="1071" spans="1:21" x14ac:dyDescent="0.35">
      <c r="A1071">
        <v>2025</v>
      </c>
      <c r="B1071">
        <v>2</v>
      </c>
      <c r="C1071">
        <v>1</v>
      </c>
      <c r="D1071" s="1">
        <v>45689</v>
      </c>
      <c r="E1071" s="4" t="s">
        <v>31</v>
      </c>
      <c r="F1071" s="4" t="s">
        <v>26</v>
      </c>
      <c r="G1071" s="4" t="s">
        <v>109</v>
      </c>
      <c r="H1071">
        <v>38</v>
      </c>
      <c r="I1071">
        <v>52</v>
      </c>
      <c r="J1071">
        <v>1</v>
      </c>
      <c r="K1071">
        <v>51</v>
      </c>
      <c r="L1071">
        <v>43916.22</v>
      </c>
      <c r="M1071">
        <v>1066</v>
      </c>
      <c r="N1071">
        <v>42850.22</v>
      </c>
      <c r="O1071">
        <v>25884</v>
      </c>
      <c r="P1071">
        <v>16966.22</v>
      </c>
      <c r="Q1071">
        <v>0.39589999999999997</v>
      </c>
      <c r="R1071">
        <v>3</v>
      </c>
      <c r="S1071">
        <v>3698.22</v>
      </c>
      <c r="T1071">
        <v>0</v>
      </c>
      <c r="U1071">
        <v>1127.6400000000001</v>
      </c>
    </row>
    <row r="1072" spans="1:21" x14ac:dyDescent="0.35">
      <c r="A1072">
        <v>2025</v>
      </c>
      <c r="B1072">
        <v>2</v>
      </c>
      <c r="C1072">
        <v>1</v>
      </c>
      <c r="D1072" s="1">
        <v>45689</v>
      </c>
      <c r="E1072" s="4" t="s">
        <v>30</v>
      </c>
      <c r="F1072" s="4" t="s">
        <v>28</v>
      </c>
      <c r="G1072" s="4" t="s">
        <v>107</v>
      </c>
      <c r="H1072">
        <v>99</v>
      </c>
      <c r="I1072">
        <v>143</v>
      </c>
      <c r="J1072">
        <v>0</v>
      </c>
      <c r="K1072">
        <v>143</v>
      </c>
      <c r="L1072">
        <v>62260.55</v>
      </c>
      <c r="M1072">
        <v>0</v>
      </c>
      <c r="N1072">
        <v>62260.55</v>
      </c>
      <c r="O1072">
        <v>22572.55</v>
      </c>
      <c r="P1072">
        <v>39688</v>
      </c>
      <c r="Q1072">
        <v>0.63749999999999996</v>
      </c>
      <c r="R1072">
        <v>10</v>
      </c>
      <c r="S1072">
        <v>8591.5499999999993</v>
      </c>
      <c r="T1072">
        <v>0</v>
      </c>
      <c r="U1072">
        <v>628.89</v>
      </c>
    </row>
    <row r="1073" spans="1:21" x14ac:dyDescent="0.35">
      <c r="A1073">
        <v>2025</v>
      </c>
      <c r="B1073">
        <v>2</v>
      </c>
      <c r="C1073">
        <v>1</v>
      </c>
      <c r="D1073" s="1">
        <v>45689</v>
      </c>
      <c r="E1073" s="4" t="s">
        <v>30</v>
      </c>
      <c r="F1073" s="4" t="s">
        <v>28</v>
      </c>
      <c r="G1073" s="4" t="s">
        <v>108</v>
      </c>
      <c r="H1073">
        <v>45</v>
      </c>
      <c r="I1073">
        <v>65</v>
      </c>
      <c r="J1073">
        <v>0</v>
      </c>
      <c r="K1073">
        <v>65</v>
      </c>
      <c r="L1073">
        <v>38340.6</v>
      </c>
      <c r="M1073">
        <v>0</v>
      </c>
      <c r="N1073">
        <v>38340.6</v>
      </c>
      <c r="O1073">
        <v>13991.25</v>
      </c>
      <c r="P1073">
        <v>24349.35</v>
      </c>
      <c r="Q1073">
        <v>0.6351</v>
      </c>
      <c r="R1073">
        <v>8</v>
      </c>
      <c r="S1073">
        <v>7226.25</v>
      </c>
      <c r="T1073">
        <v>0</v>
      </c>
      <c r="U1073">
        <v>852.01</v>
      </c>
    </row>
    <row r="1074" spans="1:21" x14ac:dyDescent="0.35">
      <c r="A1074">
        <v>2025</v>
      </c>
      <c r="B1074">
        <v>2</v>
      </c>
      <c r="C1074">
        <v>1</v>
      </c>
      <c r="D1074" s="1">
        <v>45689</v>
      </c>
      <c r="E1074" s="4" t="s">
        <v>30</v>
      </c>
      <c r="F1074" s="4" t="s">
        <v>28</v>
      </c>
      <c r="G1074" s="4" t="s">
        <v>109</v>
      </c>
      <c r="H1074">
        <v>684</v>
      </c>
      <c r="I1074">
        <v>1047</v>
      </c>
      <c r="J1074">
        <v>0</v>
      </c>
      <c r="K1074">
        <v>1047</v>
      </c>
      <c r="L1074">
        <v>431598.11</v>
      </c>
      <c r="M1074">
        <v>0</v>
      </c>
      <c r="N1074">
        <v>431598.11</v>
      </c>
      <c r="O1074">
        <v>157160.15</v>
      </c>
      <c r="P1074">
        <v>274437.96000000002</v>
      </c>
      <c r="Q1074">
        <v>0.63590000000000002</v>
      </c>
      <c r="R1074">
        <v>89</v>
      </c>
      <c r="S1074">
        <v>68190.48</v>
      </c>
      <c r="T1074">
        <v>0</v>
      </c>
      <c r="U1074">
        <v>630.99</v>
      </c>
    </row>
    <row r="1075" spans="1:21" x14ac:dyDescent="0.35">
      <c r="A1075">
        <v>2025</v>
      </c>
      <c r="B1075">
        <v>2</v>
      </c>
      <c r="C1075">
        <v>1</v>
      </c>
      <c r="D1075" s="1">
        <v>45689</v>
      </c>
      <c r="E1075" s="4" t="s">
        <v>30</v>
      </c>
      <c r="F1075" s="4" t="s">
        <v>24</v>
      </c>
      <c r="G1075" s="4" t="s">
        <v>107</v>
      </c>
      <c r="H1075">
        <v>87</v>
      </c>
      <c r="I1075">
        <v>136</v>
      </c>
      <c r="J1075">
        <v>6</v>
      </c>
      <c r="K1075">
        <v>130</v>
      </c>
      <c r="L1075">
        <v>259698.66</v>
      </c>
      <c r="M1075">
        <v>12246.4</v>
      </c>
      <c r="N1075">
        <v>247452.26</v>
      </c>
      <c r="O1075">
        <v>141879.1</v>
      </c>
      <c r="P1075">
        <v>105573.16</v>
      </c>
      <c r="Q1075">
        <v>0.42659999999999998</v>
      </c>
      <c r="R1075">
        <v>12</v>
      </c>
      <c r="S1075">
        <v>37776.26</v>
      </c>
      <c r="T1075">
        <v>0</v>
      </c>
      <c r="U1075">
        <v>2844.28</v>
      </c>
    </row>
    <row r="1076" spans="1:21" x14ac:dyDescent="0.35">
      <c r="A1076">
        <v>2025</v>
      </c>
      <c r="B1076">
        <v>2</v>
      </c>
      <c r="C1076">
        <v>1</v>
      </c>
      <c r="D1076" s="1">
        <v>45689</v>
      </c>
      <c r="E1076" s="4" t="s">
        <v>30</v>
      </c>
      <c r="F1076" s="4" t="s">
        <v>24</v>
      </c>
      <c r="G1076" s="4" t="s">
        <v>108</v>
      </c>
      <c r="H1076">
        <v>7</v>
      </c>
      <c r="I1076">
        <v>9</v>
      </c>
      <c r="J1076">
        <v>0</v>
      </c>
      <c r="K1076">
        <v>9</v>
      </c>
      <c r="L1076">
        <v>21681</v>
      </c>
      <c r="M1076">
        <v>0</v>
      </c>
      <c r="N1076">
        <v>21681</v>
      </c>
      <c r="O1076">
        <v>11924.55</v>
      </c>
      <c r="P1076">
        <v>9756.4500000000007</v>
      </c>
      <c r="Q1076">
        <v>0.45</v>
      </c>
      <c r="R1076">
        <v>0</v>
      </c>
      <c r="S1076">
        <v>0</v>
      </c>
      <c r="T1076">
        <v>0</v>
      </c>
      <c r="U1076">
        <v>3097.29</v>
      </c>
    </row>
    <row r="1077" spans="1:21" x14ac:dyDescent="0.35">
      <c r="A1077">
        <v>2025</v>
      </c>
      <c r="B1077">
        <v>2</v>
      </c>
      <c r="C1077">
        <v>1</v>
      </c>
      <c r="D1077" s="1">
        <v>45689</v>
      </c>
      <c r="E1077" s="4" t="s">
        <v>30</v>
      </c>
      <c r="F1077" s="4" t="s">
        <v>24</v>
      </c>
      <c r="G1077" s="4" t="s">
        <v>109</v>
      </c>
      <c r="H1077">
        <v>208</v>
      </c>
      <c r="I1077">
        <v>305</v>
      </c>
      <c r="J1077">
        <v>6</v>
      </c>
      <c r="K1077">
        <v>299</v>
      </c>
      <c r="L1077">
        <v>514626.53</v>
      </c>
      <c r="M1077">
        <v>9440</v>
      </c>
      <c r="N1077">
        <v>505186.53</v>
      </c>
      <c r="O1077">
        <v>289325.84999999998</v>
      </c>
      <c r="P1077">
        <v>215860.68</v>
      </c>
      <c r="Q1077">
        <v>0.42730000000000001</v>
      </c>
      <c r="R1077">
        <v>30</v>
      </c>
      <c r="S1077">
        <v>77723.53</v>
      </c>
      <c r="T1077">
        <v>0</v>
      </c>
      <c r="U1077">
        <v>2428.7800000000002</v>
      </c>
    </row>
    <row r="1078" spans="1:21" x14ac:dyDescent="0.35">
      <c r="A1078">
        <v>2025</v>
      </c>
      <c r="B1078">
        <v>2</v>
      </c>
      <c r="C1078">
        <v>1</v>
      </c>
      <c r="D1078" s="1">
        <v>45689</v>
      </c>
      <c r="E1078" s="4" t="s">
        <v>30</v>
      </c>
      <c r="F1078" s="4" t="s">
        <v>26</v>
      </c>
      <c r="G1078" s="4" t="s">
        <v>107</v>
      </c>
      <c r="H1078">
        <v>1</v>
      </c>
      <c r="I1078">
        <v>1</v>
      </c>
      <c r="J1078">
        <v>0</v>
      </c>
      <c r="K1078">
        <v>1</v>
      </c>
      <c r="L1078">
        <v>808.12</v>
      </c>
      <c r="M1078">
        <v>0</v>
      </c>
      <c r="N1078">
        <v>808.12</v>
      </c>
      <c r="O1078">
        <v>544.79999999999995</v>
      </c>
      <c r="P1078">
        <v>263.32</v>
      </c>
      <c r="Q1078">
        <v>0.32579999999999998</v>
      </c>
      <c r="R1078">
        <v>1</v>
      </c>
      <c r="S1078">
        <v>808.12</v>
      </c>
      <c r="T1078">
        <v>0</v>
      </c>
      <c r="U1078">
        <v>808.12</v>
      </c>
    </row>
    <row r="1079" spans="1:21" x14ac:dyDescent="0.35">
      <c r="A1079">
        <v>2025</v>
      </c>
      <c r="B1079">
        <v>2</v>
      </c>
      <c r="C1079">
        <v>1</v>
      </c>
      <c r="D1079" s="1">
        <v>45689</v>
      </c>
      <c r="E1079" s="4" t="s">
        <v>30</v>
      </c>
      <c r="F1079" s="4" t="s">
        <v>26</v>
      </c>
      <c r="G1079" s="4" t="s">
        <v>109</v>
      </c>
      <c r="H1079">
        <v>50</v>
      </c>
      <c r="I1079">
        <v>77</v>
      </c>
      <c r="J1079">
        <v>3</v>
      </c>
      <c r="K1079">
        <v>74</v>
      </c>
      <c r="L1079">
        <v>61500.08</v>
      </c>
      <c r="M1079">
        <v>2069</v>
      </c>
      <c r="N1079">
        <v>59431.08</v>
      </c>
      <c r="O1079">
        <v>37986.6</v>
      </c>
      <c r="P1079">
        <v>21444.48</v>
      </c>
      <c r="Q1079">
        <v>0.36080000000000001</v>
      </c>
      <c r="R1079">
        <v>8</v>
      </c>
      <c r="S1079">
        <v>10210.08</v>
      </c>
      <c r="T1079">
        <v>0</v>
      </c>
      <c r="U1079">
        <v>1188.6199999999999</v>
      </c>
    </row>
    <row r="1080" spans="1:21" x14ac:dyDescent="0.35">
      <c r="A1080">
        <v>2025</v>
      </c>
      <c r="B1080">
        <v>2</v>
      </c>
      <c r="C1080">
        <v>1</v>
      </c>
      <c r="D1080" s="1">
        <v>45689</v>
      </c>
      <c r="E1080" s="4" t="s">
        <v>78</v>
      </c>
      <c r="F1080" s="4" t="s">
        <v>78</v>
      </c>
      <c r="G1080" s="4" t="s">
        <v>110</v>
      </c>
      <c r="H1080">
        <v>228</v>
      </c>
      <c r="I1080">
        <v>316</v>
      </c>
      <c r="J1080">
        <v>0</v>
      </c>
      <c r="K1080">
        <v>316</v>
      </c>
      <c r="L1080">
        <v>671916</v>
      </c>
      <c r="M1080">
        <v>0</v>
      </c>
      <c r="N1080">
        <v>671916</v>
      </c>
      <c r="O1080">
        <v>100787.4</v>
      </c>
      <c r="P1080">
        <v>571128.6</v>
      </c>
      <c r="Q1080">
        <v>0.85</v>
      </c>
      <c r="R1080">
        <v>1</v>
      </c>
      <c r="S1080">
        <v>399</v>
      </c>
      <c r="T1080">
        <v>0</v>
      </c>
      <c r="U1080">
        <v>2947</v>
      </c>
    </row>
    <row r="1081" spans="1:21" x14ac:dyDescent="0.35">
      <c r="A1081">
        <v>2025</v>
      </c>
      <c r="B1081">
        <v>3</v>
      </c>
      <c r="C1081">
        <v>1</v>
      </c>
      <c r="D1081" s="1">
        <v>45717</v>
      </c>
      <c r="E1081" s="4" t="s">
        <v>33</v>
      </c>
      <c r="F1081" s="4" t="s">
        <v>28</v>
      </c>
      <c r="G1081" s="4" t="s">
        <v>107</v>
      </c>
      <c r="H1081">
        <v>108</v>
      </c>
      <c r="I1081">
        <v>156</v>
      </c>
      <c r="J1081">
        <v>0</v>
      </c>
      <c r="K1081">
        <v>156</v>
      </c>
      <c r="L1081">
        <v>50155.17</v>
      </c>
      <c r="M1081">
        <v>0</v>
      </c>
      <c r="N1081">
        <v>50155.17</v>
      </c>
      <c r="O1081">
        <v>18031.650000000001</v>
      </c>
      <c r="P1081">
        <v>32123.52</v>
      </c>
      <c r="Q1081">
        <v>0.64049999999999996</v>
      </c>
      <c r="R1081">
        <v>10</v>
      </c>
      <c r="S1081">
        <v>5632.17</v>
      </c>
      <c r="T1081">
        <v>0</v>
      </c>
      <c r="U1081">
        <v>464.4</v>
      </c>
    </row>
    <row r="1082" spans="1:21" x14ac:dyDescent="0.35">
      <c r="A1082">
        <v>2025</v>
      </c>
      <c r="B1082">
        <v>3</v>
      </c>
      <c r="C1082">
        <v>1</v>
      </c>
      <c r="D1082" s="1">
        <v>45717</v>
      </c>
      <c r="E1082" s="4" t="s">
        <v>33</v>
      </c>
      <c r="F1082" s="4" t="s">
        <v>28</v>
      </c>
      <c r="G1082" s="4" t="s">
        <v>108</v>
      </c>
      <c r="H1082">
        <v>44</v>
      </c>
      <c r="I1082">
        <v>65</v>
      </c>
      <c r="J1082">
        <v>0</v>
      </c>
      <c r="K1082">
        <v>65</v>
      </c>
      <c r="L1082">
        <v>44934.32</v>
      </c>
      <c r="M1082">
        <v>0</v>
      </c>
      <c r="N1082">
        <v>44934.32</v>
      </c>
      <c r="O1082">
        <v>16198</v>
      </c>
      <c r="P1082">
        <v>28736.32</v>
      </c>
      <c r="Q1082">
        <v>0.63949999999999996</v>
      </c>
      <c r="R1082">
        <v>6</v>
      </c>
      <c r="S1082">
        <v>9334.32</v>
      </c>
      <c r="T1082">
        <v>0</v>
      </c>
      <c r="U1082">
        <v>1021.23</v>
      </c>
    </row>
    <row r="1083" spans="1:21" x14ac:dyDescent="0.35">
      <c r="A1083">
        <v>2025</v>
      </c>
      <c r="B1083">
        <v>3</v>
      </c>
      <c r="C1083">
        <v>1</v>
      </c>
      <c r="D1083" s="1">
        <v>45717</v>
      </c>
      <c r="E1083" s="4" t="s">
        <v>33</v>
      </c>
      <c r="F1083" s="4" t="s">
        <v>28</v>
      </c>
      <c r="G1083" s="4" t="s">
        <v>109</v>
      </c>
      <c r="H1083">
        <v>749</v>
      </c>
      <c r="I1083">
        <v>1141</v>
      </c>
      <c r="J1083">
        <v>0</v>
      </c>
      <c r="K1083">
        <v>1141</v>
      </c>
      <c r="L1083">
        <v>576309.9</v>
      </c>
      <c r="M1083">
        <v>0</v>
      </c>
      <c r="N1083">
        <v>576309.9</v>
      </c>
      <c r="O1083">
        <v>209466.95</v>
      </c>
      <c r="P1083">
        <v>366842.95</v>
      </c>
      <c r="Q1083">
        <v>0.63649999999999995</v>
      </c>
      <c r="R1083">
        <v>102</v>
      </c>
      <c r="S1083">
        <v>89106.9</v>
      </c>
      <c r="T1083">
        <v>0</v>
      </c>
      <c r="U1083">
        <v>769.44</v>
      </c>
    </row>
    <row r="1084" spans="1:21" x14ac:dyDescent="0.35">
      <c r="A1084">
        <v>2025</v>
      </c>
      <c r="B1084">
        <v>3</v>
      </c>
      <c r="C1084">
        <v>1</v>
      </c>
      <c r="D1084" s="1">
        <v>45717</v>
      </c>
      <c r="E1084" s="4" t="s">
        <v>33</v>
      </c>
      <c r="F1084" s="4" t="s">
        <v>24</v>
      </c>
      <c r="G1084" s="4" t="s">
        <v>107</v>
      </c>
      <c r="H1084">
        <v>14</v>
      </c>
      <c r="I1084">
        <v>19</v>
      </c>
      <c r="J1084">
        <v>0</v>
      </c>
      <c r="K1084">
        <v>19</v>
      </c>
      <c r="L1084">
        <v>30593.3</v>
      </c>
      <c r="M1084">
        <v>0</v>
      </c>
      <c r="N1084">
        <v>30593.3</v>
      </c>
      <c r="O1084">
        <v>17179.25</v>
      </c>
      <c r="P1084">
        <v>13414.05</v>
      </c>
      <c r="Q1084">
        <v>0.4385</v>
      </c>
      <c r="R1084">
        <v>1</v>
      </c>
      <c r="S1084">
        <v>2148.3000000000002</v>
      </c>
      <c r="T1084">
        <v>0</v>
      </c>
      <c r="U1084">
        <v>2185.2399999999998</v>
      </c>
    </row>
    <row r="1085" spans="1:21" x14ac:dyDescent="0.35">
      <c r="A1085">
        <v>2025</v>
      </c>
      <c r="B1085">
        <v>3</v>
      </c>
      <c r="C1085">
        <v>1</v>
      </c>
      <c r="D1085" s="1">
        <v>45717</v>
      </c>
      <c r="E1085" s="4" t="s">
        <v>33</v>
      </c>
      <c r="F1085" s="4" t="s">
        <v>24</v>
      </c>
      <c r="G1085" s="4" t="s">
        <v>109</v>
      </c>
      <c r="H1085">
        <v>144</v>
      </c>
      <c r="I1085">
        <v>223</v>
      </c>
      <c r="J1085">
        <v>2</v>
      </c>
      <c r="K1085">
        <v>221</v>
      </c>
      <c r="L1085">
        <v>342077.15</v>
      </c>
      <c r="M1085">
        <v>3332</v>
      </c>
      <c r="N1085">
        <v>338745.15</v>
      </c>
      <c r="O1085">
        <v>194551.5</v>
      </c>
      <c r="P1085">
        <v>144193.65</v>
      </c>
      <c r="Q1085">
        <v>0.42570000000000002</v>
      </c>
      <c r="R1085">
        <v>19</v>
      </c>
      <c r="S1085">
        <v>52576.82</v>
      </c>
      <c r="T1085">
        <v>0</v>
      </c>
      <c r="U1085">
        <v>2352.4</v>
      </c>
    </row>
    <row r="1086" spans="1:21" x14ac:dyDescent="0.35">
      <c r="A1086">
        <v>2025</v>
      </c>
      <c r="B1086">
        <v>3</v>
      </c>
      <c r="C1086">
        <v>1</v>
      </c>
      <c r="D1086" s="1">
        <v>45717</v>
      </c>
      <c r="E1086" s="4" t="s">
        <v>33</v>
      </c>
      <c r="F1086" s="4" t="s">
        <v>26</v>
      </c>
      <c r="G1086" s="4" t="s">
        <v>107</v>
      </c>
      <c r="H1086">
        <v>3</v>
      </c>
      <c r="I1086">
        <v>4</v>
      </c>
      <c r="J1086">
        <v>0</v>
      </c>
      <c r="K1086">
        <v>4</v>
      </c>
      <c r="L1086">
        <v>2992</v>
      </c>
      <c r="M1086">
        <v>0</v>
      </c>
      <c r="N1086">
        <v>2992</v>
      </c>
      <c r="O1086">
        <v>1795.2</v>
      </c>
      <c r="P1086">
        <v>1196.8</v>
      </c>
      <c r="Q1086">
        <v>0.4</v>
      </c>
      <c r="R1086">
        <v>0</v>
      </c>
      <c r="S1086">
        <v>0</v>
      </c>
      <c r="T1086">
        <v>0</v>
      </c>
      <c r="U1086">
        <v>997.33</v>
      </c>
    </row>
    <row r="1087" spans="1:21" x14ac:dyDescent="0.35">
      <c r="A1087">
        <v>2025</v>
      </c>
      <c r="B1087">
        <v>3</v>
      </c>
      <c r="C1087">
        <v>1</v>
      </c>
      <c r="D1087" s="1">
        <v>45717</v>
      </c>
      <c r="E1087" s="4" t="s">
        <v>33</v>
      </c>
      <c r="F1087" s="4" t="s">
        <v>26</v>
      </c>
      <c r="G1087" s="4" t="s">
        <v>108</v>
      </c>
      <c r="H1087">
        <v>5</v>
      </c>
      <c r="I1087">
        <v>8</v>
      </c>
      <c r="J1087">
        <v>0</v>
      </c>
      <c r="K1087">
        <v>8</v>
      </c>
      <c r="L1087">
        <v>6478</v>
      </c>
      <c r="M1087">
        <v>0</v>
      </c>
      <c r="N1087">
        <v>6478</v>
      </c>
      <c r="O1087">
        <v>3886.8</v>
      </c>
      <c r="P1087">
        <v>2591.1999999999998</v>
      </c>
      <c r="Q1087">
        <v>0.4</v>
      </c>
      <c r="R1087">
        <v>0</v>
      </c>
      <c r="S1087">
        <v>0</v>
      </c>
      <c r="T1087">
        <v>0</v>
      </c>
      <c r="U1087">
        <v>1295.5999999999999</v>
      </c>
    </row>
    <row r="1088" spans="1:21" x14ac:dyDescent="0.35">
      <c r="A1088">
        <v>2025</v>
      </c>
      <c r="B1088">
        <v>3</v>
      </c>
      <c r="C1088">
        <v>1</v>
      </c>
      <c r="D1088" s="1">
        <v>45717</v>
      </c>
      <c r="E1088" s="4" t="s">
        <v>33</v>
      </c>
      <c r="F1088" s="4" t="s">
        <v>26</v>
      </c>
      <c r="G1088" s="4" t="s">
        <v>109</v>
      </c>
      <c r="H1088">
        <v>37</v>
      </c>
      <c r="I1088">
        <v>54</v>
      </c>
      <c r="J1088">
        <v>1</v>
      </c>
      <c r="K1088">
        <v>53</v>
      </c>
      <c r="L1088">
        <v>38472.06</v>
      </c>
      <c r="M1088">
        <v>829</v>
      </c>
      <c r="N1088">
        <v>37643.06</v>
      </c>
      <c r="O1088">
        <v>23554.2</v>
      </c>
      <c r="P1088">
        <v>14088.86</v>
      </c>
      <c r="Q1088">
        <v>0.37430000000000002</v>
      </c>
      <c r="R1088">
        <v>4</v>
      </c>
      <c r="S1088">
        <v>5160.0600000000004</v>
      </c>
      <c r="T1088">
        <v>0</v>
      </c>
      <c r="U1088">
        <v>1017.38</v>
      </c>
    </row>
    <row r="1089" spans="1:21" x14ac:dyDescent="0.35">
      <c r="A1089">
        <v>2025</v>
      </c>
      <c r="B1089">
        <v>3</v>
      </c>
      <c r="C1089">
        <v>1</v>
      </c>
      <c r="D1089" s="1">
        <v>45717</v>
      </c>
      <c r="E1089" s="4" t="s">
        <v>32</v>
      </c>
      <c r="F1089" s="4" t="s">
        <v>28</v>
      </c>
      <c r="G1089" s="4" t="s">
        <v>107</v>
      </c>
      <c r="H1089">
        <v>30</v>
      </c>
      <c r="I1089">
        <v>37</v>
      </c>
      <c r="J1089">
        <v>0</v>
      </c>
      <c r="K1089">
        <v>37</v>
      </c>
      <c r="L1089">
        <v>16502.900000000001</v>
      </c>
      <c r="M1089">
        <v>0</v>
      </c>
      <c r="N1089">
        <v>16502.900000000001</v>
      </c>
      <c r="O1089">
        <v>5879.3</v>
      </c>
      <c r="P1089">
        <v>10623.6</v>
      </c>
      <c r="Q1089">
        <v>0.64370000000000005</v>
      </c>
      <c r="R1089">
        <v>3</v>
      </c>
      <c r="S1089">
        <v>1520.9</v>
      </c>
      <c r="T1089">
        <v>0</v>
      </c>
      <c r="U1089">
        <v>550.1</v>
      </c>
    </row>
    <row r="1090" spans="1:21" x14ac:dyDescent="0.35">
      <c r="A1090">
        <v>2025</v>
      </c>
      <c r="B1090">
        <v>3</v>
      </c>
      <c r="C1090">
        <v>1</v>
      </c>
      <c r="D1090" s="1">
        <v>45717</v>
      </c>
      <c r="E1090" s="4" t="s">
        <v>32</v>
      </c>
      <c r="F1090" s="4" t="s">
        <v>28</v>
      </c>
      <c r="G1090" s="4" t="s">
        <v>109</v>
      </c>
      <c r="H1090">
        <v>494</v>
      </c>
      <c r="I1090">
        <v>773</v>
      </c>
      <c r="J1090">
        <v>0</v>
      </c>
      <c r="K1090">
        <v>773</v>
      </c>
      <c r="L1090">
        <v>271531.95</v>
      </c>
      <c r="M1090">
        <v>0</v>
      </c>
      <c r="N1090">
        <v>271531.95</v>
      </c>
      <c r="O1090">
        <v>99549.8</v>
      </c>
      <c r="P1090">
        <v>171982.15</v>
      </c>
      <c r="Q1090">
        <v>0.63339999999999996</v>
      </c>
      <c r="R1090">
        <v>78</v>
      </c>
      <c r="S1090">
        <v>46126.53</v>
      </c>
      <c r="T1090">
        <v>0</v>
      </c>
      <c r="U1090">
        <v>549.66</v>
      </c>
    </row>
    <row r="1091" spans="1:21" x14ac:dyDescent="0.35">
      <c r="A1091">
        <v>2025</v>
      </c>
      <c r="B1091">
        <v>3</v>
      </c>
      <c r="C1091">
        <v>1</v>
      </c>
      <c r="D1091" s="1">
        <v>45717</v>
      </c>
      <c r="E1091" s="4" t="s">
        <v>32</v>
      </c>
      <c r="F1091" s="4" t="s">
        <v>24</v>
      </c>
      <c r="G1091" s="4" t="s">
        <v>107</v>
      </c>
      <c r="H1091">
        <v>44</v>
      </c>
      <c r="I1091">
        <v>67</v>
      </c>
      <c r="J1091">
        <v>3</v>
      </c>
      <c r="K1091">
        <v>64</v>
      </c>
      <c r="L1091">
        <v>93075.6</v>
      </c>
      <c r="M1091">
        <v>4752</v>
      </c>
      <c r="N1091">
        <v>88323.6</v>
      </c>
      <c r="O1091">
        <v>50666.55</v>
      </c>
      <c r="P1091">
        <v>37657.050000000003</v>
      </c>
      <c r="Q1091">
        <v>0.4264</v>
      </c>
      <c r="R1091">
        <v>4</v>
      </c>
      <c r="S1091">
        <v>15150.6</v>
      </c>
      <c r="T1091">
        <v>0</v>
      </c>
      <c r="U1091">
        <v>2007.35</v>
      </c>
    </row>
    <row r="1092" spans="1:21" x14ac:dyDescent="0.35">
      <c r="A1092">
        <v>2025</v>
      </c>
      <c r="B1092">
        <v>3</v>
      </c>
      <c r="C1092">
        <v>1</v>
      </c>
      <c r="D1092" s="1">
        <v>45717</v>
      </c>
      <c r="E1092" s="4" t="s">
        <v>32</v>
      </c>
      <c r="F1092" s="4" t="s">
        <v>24</v>
      </c>
      <c r="G1092" s="4" t="s">
        <v>109</v>
      </c>
      <c r="H1092">
        <v>197</v>
      </c>
      <c r="I1092">
        <v>294</v>
      </c>
      <c r="J1092">
        <v>11</v>
      </c>
      <c r="K1092">
        <v>283</v>
      </c>
      <c r="L1092">
        <v>386836.05</v>
      </c>
      <c r="M1092">
        <v>11952.92</v>
      </c>
      <c r="N1092">
        <v>374883.13</v>
      </c>
      <c r="O1092">
        <v>210821.05</v>
      </c>
      <c r="P1092">
        <v>164062.07999999999</v>
      </c>
      <c r="Q1092">
        <v>0.43759999999999999</v>
      </c>
      <c r="R1092">
        <v>23</v>
      </c>
      <c r="S1092">
        <v>41473.24</v>
      </c>
      <c r="T1092">
        <v>0</v>
      </c>
      <c r="U1092">
        <v>1902.96</v>
      </c>
    </row>
    <row r="1093" spans="1:21" x14ac:dyDescent="0.35">
      <c r="A1093">
        <v>2025</v>
      </c>
      <c r="B1093">
        <v>3</v>
      </c>
      <c r="C1093">
        <v>1</v>
      </c>
      <c r="D1093" s="1">
        <v>45717</v>
      </c>
      <c r="E1093" s="4" t="s">
        <v>32</v>
      </c>
      <c r="F1093" s="4" t="s">
        <v>26</v>
      </c>
      <c r="G1093" s="4" t="s">
        <v>107</v>
      </c>
      <c r="H1093">
        <v>1</v>
      </c>
      <c r="I1093">
        <v>2</v>
      </c>
      <c r="J1093">
        <v>0</v>
      </c>
      <c r="K1093">
        <v>2</v>
      </c>
      <c r="L1093">
        <v>1136</v>
      </c>
      <c r="M1093">
        <v>0</v>
      </c>
      <c r="N1093">
        <v>1136</v>
      </c>
      <c r="O1093">
        <v>681.6</v>
      </c>
      <c r="P1093">
        <v>454.4</v>
      </c>
      <c r="Q1093">
        <v>0.4</v>
      </c>
      <c r="R1093">
        <v>0</v>
      </c>
      <c r="S1093">
        <v>0</v>
      </c>
      <c r="T1093">
        <v>0</v>
      </c>
      <c r="U1093">
        <v>1136</v>
      </c>
    </row>
    <row r="1094" spans="1:21" x14ac:dyDescent="0.35">
      <c r="A1094">
        <v>2025</v>
      </c>
      <c r="B1094">
        <v>3</v>
      </c>
      <c r="C1094">
        <v>1</v>
      </c>
      <c r="D1094" s="1">
        <v>45717</v>
      </c>
      <c r="E1094" s="4" t="s">
        <v>32</v>
      </c>
      <c r="F1094" s="4" t="s">
        <v>26</v>
      </c>
      <c r="G1094" s="4" t="s">
        <v>108</v>
      </c>
      <c r="H1094">
        <v>8</v>
      </c>
      <c r="I1094">
        <v>12</v>
      </c>
      <c r="J1094">
        <v>0</v>
      </c>
      <c r="K1094">
        <v>12</v>
      </c>
      <c r="L1094">
        <v>3578.4</v>
      </c>
      <c r="M1094">
        <v>0</v>
      </c>
      <c r="N1094">
        <v>3578.4</v>
      </c>
      <c r="O1094">
        <v>2268</v>
      </c>
      <c r="P1094">
        <v>1310.4000000000001</v>
      </c>
      <c r="Q1094">
        <v>0.36620000000000003</v>
      </c>
      <c r="R1094">
        <v>2</v>
      </c>
      <c r="S1094">
        <v>1058.4000000000001</v>
      </c>
      <c r="T1094">
        <v>0</v>
      </c>
      <c r="U1094">
        <v>447.3</v>
      </c>
    </row>
    <row r="1095" spans="1:21" x14ac:dyDescent="0.35">
      <c r="A1095">
        <v>2025</v>
      </c>
      <c r="B1095">
        <v>3</v>
      </c>
      <c r="C1095">
        <v>1</v>
      </c>
      <c r="D1095" s="1">
        <v>45717</v>
      </c>
      <c r="E1095" s="4" t="s">
        <v>32</v>
      </c>
      <c r="F1095" s="4" t="s">
        <v>26</v>
      </c>
      <c r="G1095" s="4" t="s">
        <v>109</v>
      </c>
      <c r="H1095">
        <v>42</v>
      </c>
      <c r="I1095">
        <v>68</v>
      </c>
      <c r="J1095">
        <v>2</v>
      </c>
      <c r="K1095">
        <v>66</v>
      </c>
      <c r="L1095">
        <v>53110.48</v>
      </c>
      <c r="M1095">
        <v>1761</v>
      </c>
      <c r="N1095">
        <v>51349.48</v>
      </c>
      <c r="O1095">
        <v>31210.799999999999</v>
      </c>
      <c r="P1095">
        <v>20138.68</v>
      </c>
      <c r="Q1095">
        <v>0.39219999999999999</v>
      </c>
      <c r="R1095">
        <v>4</v>
      </c>
      <c r="S1095">
        <v>7249.48</v>
      </c>
      <c r="T1095">
        <v>0</v>
      </c>
      <c r="U1095">
        <v>1222.6099999999999</v>
      </c>
    </row>
    <row r="1096" spans="1:21" x14ac:dyDescent="0.35">
      <c r="A1096">
        <v>2025</v>
      </c>
      <c r="B1096">
        <v>3</v>
      </c>
      <c r="C1096">
        <v>1</v>
      </c>
      <c r="D1096" s="1">
        <v>45717</v>
      </c>
      <c r="E1096" s="4" t="s">
        <v>27</v>
      </c>
      <c r="F1096" s="4" t="s">
        <v>28</v>
      </c>
      <c r="G1096" s="4" t="s">
        <v>107</v>
      </c>
      <c r="H1096">
        <v>271</v>
      </c>
      <c r="I1096">
        <v>416</v>
      </c>
      <c r="J1096">
        <v>0</v>
      </c>
      <c r="K1096">
        <v>416</v>
      </c>
      <c r="L1096">
        <v>183913.54</v>
      </c>
      <c r="M1096">
        <v>0</v>
      </c>
      <c r="N1096">
        <v>183913.54</v>
      </c>
      <c r="O1096">
        <v>66629.5</v>
      </c>
      <c r="P1096">
        <v>117284.04</v>
      </c>
      <c r="Q1096">
        <v>0.63770000000000004</v>
      </c>
      <c r="R1096">
        <v>31</v>
      </c>
      <c r="S1096">
        <v>26504.54</v>
      </c>
      <c r="T1096">
        <v>0</v>
      </c>
      <c r="U1096">
        <v>678.65</v>
      </c>
    </row>
    <row r="1097" spans="1:21" x14ac:dyDescent="0.35">
      <c r="A1097">
        <v>2025</v>
      </c>
      <c r="B1097">
        <v>3</v>
      </c>
      <c r="C1097">
        <v>1</v>
      </c>
      <c r="D1097" s="1">
        <v>45717</v>
      </c>
      <c r="E1097" s="4" t="s">
        <v>27</v>
      </c>
      <c r="F1097" s="4" t="s">
        <v>28</v>
      </c>
      <c r="G1097" s="4" t="s">
        <v>109</v>
      </c>
      <c r="H1097">
        <v>758</v>
      </c>
      <c r="I1097">
        <v>1170</v>
      </c>
      <c r="J1097">
        <v>0</v>
      </c>
      <c r="K1097">
        <v>1170</v>
      </c>
      <c r="L1097">
        <v>615874.87</v>
      </c>
      <c r="M1097">
        <v>0</v>
      </c>
      <c r="N1097">
        <v>615874.87</v>
      </c>
      <c r="O1097">
        <v>224299.6</v>
      </c>
      <c r="P1097">
        <v>391575.27</v>
      </c>
      <c r="Q1097">
        <v>0.63580000000000003</v>
      </c>
      <c r="R1097">
        <v>102</v>
      </c>
      <c r="S1097">
        <v>93321.29</v>
      </c>
      <c r="T1097">
        <v>0</v>
      </c>
      <c r="U1097">
        <v>812.5</v>
      </c>
    </row>
    <row r="1098" spans="1:21" x14ac:dyDescent="0.35">
      <c r="A1098">
        <v>2025</v>
      </c>
      <c r="B1098">
        <v>3</v>
      </c>
      <c r="C1098">
        <v>1</v>
      </c>
      <c r="D1098" s="1">
        <v>45717</v>
      </c>
      <c r="E1098" s="4" t="s">
        <v>27</v>
      </c>
      <c r="F1098" s="4" t="s">
        <v>35</v>
      </c>
      <c r="G1098" s="4" t="s">
        <v>109</v>
      </c>
      <c r="H1098">
        <v>1</v>
      </c>
      <c r="I1098">
        <v>1</v>
      </c>
      <c r="J1098">
        <v>0</v>
      </c>
      <c r="K1098">
        <v>1</v>
      </c>
      <c r="L1098">
        <v>233</v>
      </c>
      <c r="M1098">
        <v>0</v>
      </c>
      <c r="N1098">
        <v>233</v>
      </c>
      <c r="O1098">
        <v>46.6</v>
      </c>
      <c r="P1098">
        <v>186.4</v>
      </c>
      <c r="Q1098">
        <v>0.8</v>
      </c>
      <c r="R1098">
        <v>0</v>
      </c>
      <c r="S1098">
        <v>0</v>
      </c>
      <c r="T1098">
        <v>0</v>
      </c>
      <c r="U1098">
        <v>233</v>
      </c>
    </row>
    <row r="1099" spans="1:21" x14ac:dyDescent="0.35">
      <c r="A1099">
        <v>2025</v>
      </c>
      <c r="B1099">
        <v>3</v>
      </c>
      <c r="C1099">
        <v>1</v>
      </c>
      <c r="D1099" s="1">
        <v>45717</v>
      </c>
      <c r="E1099" s="4" t="s">
        <v>27</v>
      </c>
      <c r="F1099" s="4" t="s">
        <v>24</v>
      </c>
      <c r="G1099" s="4" t="s">
        <v>107</v>
      </c>
      <c r="H1099">
        <v>43</v>
      </c>
      <c r="I1099">
        <v>65</v>
      </c>
      <c r="J1099">
        <v>0</v>
      </c>
      <c r="K1099">
        <v>65</v>
      </c>
      <c r="L1099">
        <v>121259.21</v>
      </c>
      <c r="M1099">
        <v>0</v>
      </c>
      <c r="N1099">
        <v>121259.21</v>
      </c>
      <c r="O1099">
        <v>67915.649999999994</v>
      </c>
      <c r="P1099">
        <v>53343.56</v>
      </c>
      <c r="Q1099">
        <v>0.43990000000000001</v>
      </c>
      <c r="R1099">
        <v>3</v>
      </c>
      <c r="S1099">
        <v>9767.2099999999991</v>
      </c>
      <c r="T1099">
        <v>0</v>
      </c>
      <c r="U1099">
        <v>2819.98</v>
      </c>
    </row>
    <row r="1100" spans="1:21" x14ac:dyDescent="0.35">
      <c r="A1100">
        <v>2025</v>
      </c>
      <c r="B1100">
        <v>3</v>
      </c>
      <c r="C1100">
        <v>1</v>
      </c>
      <c r="D1100" s="1">
        <v>45717</v>
      </c>
      <c r="E1100" s="4" t="s">
        <v>27</v>
      </c>
      <c r="F1100" s="4" t="s">
        <v>24</v>
      </c>
      <c r="G1100" s="4" t="s">
        <v>109</v>
      </c>
      <c r="H1100">
        <v>266</v>
      </c>
      <c r="I1100">
        <v>412</v>
      </c>
      <c r="J1100">
        <v>5</v>
      </c>
      <c r="K1100">
        <v>407</v>
      </c>
      <c r="L1100">
        <v>676006.6</v>
      </c>
      <c r="M1100">
        <v>6593</v>
      </c>
      <c r="N1100">
        <v>669413.6</v>
      </c>
      <c r="O1100">
        <v>377436.95</v>
      </c>
      <c r="P1100">
        <v>291976.65000000002</v>
      </c>
      <c r="Q1100">
        <v>0.43619999999999998</v>
      </c>
      <c r="R1100">
        <v>21</v>
      </c>
      <c r="S1100">
        <v>54695.56</v>
      </c>
      <c r="T1100">
        <v>0</v>
      </c>
      <c r="U1100">
        <v>2516.59</v>
      </c>
    </row>
    <row r="1101" spans="1:21" x14ac:dyDescent="0.35">
      <c r="A1101">
        <v>2025</v>
      </c>
      <c r="B1101">
        <v>3</v>
      </c>
      <c r="C1101">
        <v>1</v>
      </c>
      <c r="D1101" s="1">
        <v>45717</v>
      </c>
      <c r="E1101" s="4" t="s">
        <v>27</v>
      </c>
      <c r="F1101" s="4" t="s">
        <v>26</v>
      </c>
      <c r="G1101" s="4" t="s">
        <v>107</v>
      </c>
      <c r="H1101">
        <v>4</v>
      </c>
      <c r="I1101">
        <v>5</v>
      </c>
      <c r="J1101">
        <v>0</v>
      </c>
      <c r="K1101">
        <v>5</v>
      </c>
      <c r="L1101">
        <v>4174.2</v>
      </c>
      <c r="M1101">
        <v>0</v>
      </c>
      <c r="N1101">
        <v>4174.2</v>
      </c>
      <c r="O1101">
        <v>2597.4</v>
      </c>
      <c r="P1101">
        <v>1576.8</v>
      </c>
      <c r="Q1101">
        <v>0.37769999999999998</v>
      </c>
      <c r="R1101">
        <v>1</v>
      </c>
      <c r="S1101">
        <v>619.20000000000005</v>
      </c>
      <c r="T1101">
        <v>0</v>
      </c>
      <c r="U1101">
        <v>1043.55</v>
      </c>
    </row>
    <row r="1102" spans="1:21" x14ac:dyDescent="0.35">
      <c r="A1102">
        <v>2025</v>
      </c>
      <c r="B1102">
        <v>3</v>
      </c>
      <c r="C1102">
        <v>1</v>
      </c>
      <c r="D1102" s="1">
        <v>45717</v>
      </c>
      <c r="E1102" s="4" t="s">
        <v>27</v>
      </c>
      <c r="F1102" s="4" t="s">
        <v>26</v>
      </c>
      <c r="G1102" s="4" t="s">
        <v>109</v>
      </c>
      <c r="H1102">
        <v>31</v>
      </c>
      <c r="I1102">
        <v>42</v>
      </c>
      <c r="J1102">
        <v>0</v>
      </c>
      <c r="K1102">
        <v>42</v>
      </c>
      <c r="L1102">
        <v>26520.92</v>
      </c>
      <c r="M1102">
        <v>0</v>
      </c>
      <c r="N1102">
        <v>26520.92</v>
      </c>
      <c r="O1102">
        <v>16386.599999999999</v>
      </c>
      <c r="P1102">
        <v>10134.32</v>
      </c>
      <c r="Q1102">
        <v>0.3821</v>
      </c>
      <c r="R1102">
        <v>3</v>
      </c>
      <c r="S1102">
        <v>2535.92</v>
      </c>
      <c r="T1102">
        <v>0</v>
      </c>
      <c r="U1102">
        <v>855.51</v>
      </c>
    </row>
    <row r="1103" spans="1:21" x14ac:dyDescent="0.35">
      <c r="A1103">
        <v>2025</v>
      </c>
      <c r="B1103">
        <v>3</v>
      </c>
      <c r="C1103">
        <v>1</v>
      </c>
      <c r="D1103" s="1">
        <v>45717</v>
      </c>
      <c r="E1103" s="4" t="s">
        <v>34</v>
      </c>
      <c r="F1103" s="4" t="s">
        <v>28</v>
      </c>
      <c r="G1103" s="4" t="s">
        <v>107</v>
      </c>
      <c r="H1103">
        <v>182</v>
      </c>
      <c r="I1103">
        <v>265</v>
      </c>
      <c r="J1103">
        <v>0</v>
      </c>
      <c r="K1103">
        <v>265</v>
      </c>
      <c r="L1103">
        <v>174756.47</v>
      </c>
      <c r="M1103">
        <v>0</v>
      </c>
      <c r="N1103">
        <v>174756.47</v>
      </c>
      <c r="O1103">
        <v>63273</v>
      </c>
      <c r="P1103">
        <v>111483.47</v>
      </c>
      <c r="Q1103">
        <v>0.63790000000000002</v>
      </c>
      <c r="R1103">
        <v>20</v>
      </c>
      <c r="S1103">
        <v>24651.77</v>
      </c>
      <c r="T1103">
        <v>0</v>
      </c>
      <c r="U1103">
        <v>960.2</v>
      </c>
    </row>
    <row r="1104" spans="1:21" x14ac:dyDescent="0.35">
      <c r="A1104">
        <v>2025</v>
      </c>
      <c r="B1104">
        <v>3</v>
      </c>
      <c r="C1104">
        <v>1</v>
      </c>
      <c r="D1104" s="1">
        <v>45717</v>
      </c>
      <c r="E1104" s="4" t="s">
        <v>34</v>
      </c>
      <c r="F1104" s="4" t="s">
        <v>28</v>
      </c>
      <c r="G1104" s="4" t="s">
        <v>108</v>
      </c>
      <c r="H1104">
        <v>48</v>
      </c>
      <c r="I1104">
        <v>70</v>
      </c>
      <c r="J1104">
        <v>0</v>
      </c>
      <c r="K1104">
        <v>70</v>
      </c>
      <c r="L1104">
        <v>29734.799999999999</v>
      </c>
      <c r="M1104">
        <v>0</v>
      </c>
      <c r="N1104">
        <v>29734.799999999999</v>
      </c>
      <c r="O1104">
        <v>10437</v>
      </c>
      <c r="P1104">
        <v>19297.8</v>
      </c>
      <c r="Q1104">
        <v>0.64900000000000002</v>
      </c>
      <c r="R1104">
        <v>1</v>
      </c>
      <c r="S1104">
        <v>766.8</v>
      </c>
      <c r="T1104">
        <v>0</v>
      </c>
      <c r="U1104">
        <v>619.48</v>
      </c>
    </row>
    <row r="1105" spans="1:21" x14ac:dyDescent="0.35">
      <c r="A1105">
        <v>2025</v>
      </c>
      <c r="B1105">
        <v>3</v>
      </c>
      <c r="C1105">
        <v>1</v>
      </c>
      <c r="D1105" s="1">
        <v>45717</v>
      </c>
      <c r="E1105" s="4" t="s">
        <v>34</v>
      </c>
      <c r="F1105" s="4" t="s">
        <v>28</v>
      </c>
      <c r="G1105" s="4" t="s">
        <v>109</v>
      </c>
      <c r="H1105">
        <v>648</v>
      </c>
      <c r="I1105">
        <v>996</v>
      </c>
      <c r="J1105">
        <v>0</v>
      </c>
      <c r="K1105">
        <v>996</v>
      </c>
      <c r="L1105">
        <v>481070.04</v>
      </c>
      <c r="M1105">
        <v>0</v>
      </c>
      <c r="N1105">
        <v>481070.04</v>
      </c>
      <c r="O1105">
        <v>174159.65</v>
      </c>
      <c r="P1105">
        <v>306910.39</v>
      </c>
      <c r="Q1105">
        <v>0.63800000000000001</v>
      </c>
      <c r="R1105">
        <v>80</v>
      </c>
      <c r="S1105">
        <v>63951.94</v>
      </c>
      <c r="T1105">
        <v>0</v>
      </c>
      <c r="U1105">
        <v>742.39</v>
      </c>
    </row>
    <row r="1106" spans="1:21" x14ac:dyDescent="0.35">
      <c r="A1106">
        <v>2025</v>
      </c>
      <c r="B1106">
        <v>3</v>
      </c>
      <c r="C1106">
        <v>1</v>
      </c>
      <c r="D1106" s="1">
        <v>45717</v>
      </c>
      <c r="E1106" s="4" t="s">
        <v>34</v>
      </c>
      <c r="F1106" s="4" t="s">
        <v>24</v>
      </c>
      <c r="G1106" s="4" t="s">
        <v>107</v>
      </c>
      <c r="H1106">
        <v>87</v>
      </c>
      <c r="I1106">
        <v>127</v>
      </c>
      <c r="J1106">
        <v>5</v>
      </c>
      <c r="K1106">
        <v>122</v>
      </c>
      <c r="L1106">
        <v>234250.44</v>
      </c>
      <c r="M1106">
        <v>7722.14</v>
      </c>
      <c r="N1106">
        <v>226528.3</v>
      </c>
      <c r="O1106">
        <v>126655.65</v>
      </c>
      <c r="P1106">
        <v>99872.65</v>
      </c>
      <c r="Q1106">
        <v>0.44090000000000001</v>
      </c>
      <c r="R1106">
        <v>6</v>
      </c>
      <c r="S1106">
        <v>14037.3</v>
      </c>
      <c r="T1106">
        <v>0</v>
      </c>
      <c r="U1106">
        <v>2603.77</v>
      </c>
    </row>
    <row r="1107" spans="1:21" x14ac:dyDescent="0.35">
      <c r="A1107">
        <v>2025</v>
      </c>
      <c r="B1107">
        <v>3</v>
      </c>
      <c r="C1107">
        <v>1</v>
      </c>
      <c r="D1107" s="1">
        <v>45717</v>
      </c>
      <c r="E1107" s="4" t="s">
        <v>34</v>
      </c>
      <c r="F1107" s="4" t="s">
        <v>24</v>
      </c>
      <c r="G1107" s="4" t="s">
        <v>108</v>
      </c>
      <c r="H1107">
        <v>19</v>
      </c>
      <c r="I1107">
        <v>31</v>
      </c>
      <c r="J1107">
        <v>0</v>
      </c>
      <c r="K1107">
        <v>31</v>
      </c>
      <c r="L1107">
        <v>40073.74</v>
      </c>
      <c r="M1107">
        <v>0</v>
      </c>
      <c r="N1107">
        <v>40073.74</v>
      </c>
      <c r="O1107">
        <v>23511.95</v>
      </c>
      <c r="P1107">
        <v>16561.79</v>
      </c>
      <c r="Q1107">
        <v>0.4133</v>
      </c>
      <c r="R1107">
        <v>2</v>
      </c>
      <c r="S1107">
        <v>6977.74</v>
      </c>
      <c r="T1107">
        <v>0</v>
      </c>
      <c r="U1107">
        <v>2109.14</v>
      </c>
    </row>
    <row r="1108" spans="1:21" x14ac:dyDescent="0.35">
      <c r="A1108">
        <v>2025</v>
      </c>
      <c r="B1108">
        <v>3</v>
      </c>
      <c r="C1108">
        <v>1</v>
      </c>
      <c r="D1108" s="1">
        <v>45717</v>
      </c>
      <c r="E1108" s="4" t="s">
        <v>34</v>
      </c>
      <c r="F1108" s="4" t="s">
        <v>24</v>
      </c>
      <c r="G1108" s="4" t="s">
        <v>109</v>
      </c>
      <c r="H1108">
        <v>194</v>
      </c>
      <c r="I1108">
        <v>314</v>
      </c>
      <c r="J1108">
        <v>1</v>
      </c>
      <c r="K1108">
        <v>313</v>
      </c>
      <c r="L1108">
        <v>516526.16</v>
      </c>
      <c r="M1108">
        <v>1852</v>
      </c>
      <c r="N1108">
        <v>514674.16</v>
      </c>
      <c r="O1108">
        <v>296691.45</v>
      </c>
      <c r="P1108">
        <v>217982.71</v>
      </c>
      <c r="Q1108">
        <v>0.42349999999999999</v>
      </c>
      <c r="R1108">
        <v>29</v>
      </c>
      <c r="S1108">
        <v>93809.16</v>
      </c>
      <c r="T1108">
        <v>0</v>
      </c>
      <c r="U1108">
        <v>2652.96</v>
      </c>
    </row>
    <row r="1109" spans="1:21" x14ac:dyDescent="0.35">
      <c r="A1109">
        <v>2025</v>
      </c>
      <c r="B1109">
        <v>3</v>
      </c>
      <c r="C1109">
        <v>1</v>
      </c>
      <c r="D1109" s="1">
        <v>45717</v>
      </c>
      <c r="E1109" s="4" t="s">
        <v>34</v>
      </c>
      <c r="F1109" s="4" t="s">
        <v>26</v>
      </c>
      <c r="G1109" s="4" t="s">
        <v>107</v>
      </c>
      <c r="H1109">
        <v>7</v>
      </c>
      <c r="I1109">
        <v>15</v>
      </c>
      <c r="J1109">
        <v>0</v>
      </c>
      <c r="K1109">
        <v>15</v>
      </c>
      <c r="L1109">
        <v>8001.44</v>
      </c>
      <c r="M1109">
        <v>0</v>
      </c>
      <c r="N1109">
        <v>8001.44</v>
      </c>
      <c r="O1109">
        <v>4965.6000000000004</v>
      </c>
      <c r="P1109">
        <v>3035.84</v>
      </c>
      <c r="Q1109">
        <v>0.37940000000000002</v>
      </c>
      <c r="R1109">
        <v>1</v>
      </c>
      <c r="S1109">
        <v>2013.44</v>
      </c>
      <c r="T1109">
        <v>0</v>
      </c>
      <c r="U1109">
        <v>1143.06</v>
      </c>
    </row>
    <row r="1110" spans="1:21" x14ac:dyDescent="0.35">
      <c r="A1110">
        <v>2025</v>
      </c>
      <c r="B1110">
        <v>3</v>
      </c>
      <c r="C1110">
        <v>1</v>
      </c>
      <c r="D1110" s="1">
        <v>45717</v>
      </c>
      <c r="E1110" s="4" t="s">
        <v>34</v>
      </c>
      <c r="F1110" s="4" t="s">
        <v>26</v>
      </c>
      <c r="G1110" s="4" t="s">
        <v>109</v>
      </c>
      <c r="H1110">
        <v>33</v>
      </c>
      <c r="I1110">
        <v>45</v>
      </c>
      <c r="J1110">
        <v>0</v>
      </c>
      <c r="K1110">
        <v>45</v>
      </c>
      <c r="L1110">
        <v>29948.05</v>
      </c>
      <c r="M1110">
        <v>0</v>
      </c>
      <c r="N1110">
        <v>29948.05</v>
      </c>
      <c r="O1110">
        <v>18572.400000000001</v>
      </c>
      <c r="P1110">
        <v>11375.65</v>
      </c>
      <c r="Q1110">
        <v>0.37980000000000003</v>
      </c>
      <c r="R1110">
        <v>4</v>
      </c>
      <c r="S1110">
        <v>4423.05</v>
      </c>
      <c r="T1110">
        <v>0</v>
      </c>
      <c r="U1110">
        <v>907.52</v>
      </c>
    </row>
    <row r="1111" spans="1:21" x14ac:dyDescent="0.35">
      <c r="A1111">
        <v>2025</v>
      </c>
      <c r="B1111">
        <v>3</v>
      </c>
      <c r="C1111">
        <v>1</v>
      </c>
      <c r="D1111" s="1">
        <v>45717</v>
      </c>
      <c r="E1111" s="4" t="s">
        <v>36</v>
      </c>
      <c r="F1111" s="4" t="s">
        <v>28</v>
      </c>
      <c r="G1111" s="4" t="s">
        <v>107</v>
      </c>
      <c r="H1111">
        <v>85</v>
      </c>
      <c r="I1111">
        <v>127</v>
      </c>
      <c r="J1111">
        <v>0</v>
      </c>
      <c r="K1111">
        <v>127</v>
      </c>
      <c r="L1111">
        <v>80162.78</v>
      </c>
      <c r="M1111">
        <v>0</v>
      </c>
      <c r="N1111">
        <v>80162.78</v>
      </c>
      <c r="O1111">
        <v>29598.799999999999</v>
      </c>
      <c r="P1111">
        <v>50563.98</v>
      </c>
      <c r="Q1111">
        <v>0.63080000000000003</v>
      </c>
      <c r="R1111">
        <v>14</v>
      </c>
      <c r="S1111">
        <v>16184.78</v>
      </c>
      <c r="T1111">
        <v>0</v>
      </c>
      <c r="U1111">
        <v>943.09</v>
      </c>
    </row>
    <row r="1112" spans="1:21" x14ac:dyDescent="0.35">
      <c r="A1112">
        <v>2025</v>
      </c>
      <c r="B1112">
        <v>3</v>
      </c>
      <c r="C1112">
        <v>1</v>
      </c>
      <c r="D1112" s="1">
        <v>45717</v>
      </c>
      <c r="E1112" s="4" t="s">
        <v>36</v>
      </c>
      <c r="F1112" s="4" t="s">
        <v>28</v>
      </c>
      <c r="G1112" s="4" t="s">
        <v>108</v>
      </c>
      <c r="H1112">
        <v>166</v>
      </c>
      <c r="I1112">
        <v>244</v>
      </c>
      <c r="J1112">
        <v>0</v>
      </c>
      <c r="K1112">
        <v>244</v>
      </c>
      <c r="L1112">
        <v>80128.66</v>
      </c>
      <c r="M1112">
        <v>0</v>
      </c>
      <c r="N1112">
        <v>80128.66</v>
      </c>
      <c r="O1112">
        <v>28703.5</v>
      </c>
      <c r="P1112">
        <v>51425.16</v>
      </c>
      <c r="Q1112">
        <v>0.64180000000000004</v>
      </c>
      <c r="R1112">
        <v>17</v>
      </c>
      <c r="S1112">
        <v>10344.66</v>
      </c>
      <c r="T1112">
        <v>0</v>
      </c>
      <c r="U1112">
        <v>482.7</v>
      </c>
    </row>
    <row r="1113" spans="1:21" x14ac:dyDescent="0.35">
      <c r="A1113">
        <v>2025</v>
      </c>
      <c r="B1113">
        <v>3</v>
      </c>
      <c r="C1113">
        <v>1</v>
      </c>
      <c r="D1113" s="1">
        <v>45717</v>
      </c>
      <c r="E1113" s="4" t="s">
        <v>36</v>
      </c>
      <c r="F1113" s="4" t="s">
        <v>28</v>
      </c>
      <c r="G1113" s="4" t="s">
        <v>109</v>
      </c>
      <c r="H1113">
        <v>704</v>
      </c>
      <c r="I1113">
        <v>1107</v>
      </c>
      <c r="J1113">
        <v>0</v>
      </c>
      <c r="K1113">
        <v>1107</v>
      </c>
      <c r="L1113">
        <v>532188.27</v>
      </c>
      <c r="M1113">
        <v>0</v>
      </c>
      <c r="N1113">
        <v>532188.27</v>
      </c>
      <c r="O1113">
        <v>193288.2</v>
      </c>
      <c r="P1113">
        <v>338900.07</v>
      </c>
      <c r="Q1113">
        <v>0.63680000000000003</v>
      </c>
      <c r="R1113">
        <v>88</v>
      </c>
      <c r="S1113">
        <v>79375.710000000006</v>
      </c>
      <c r="T1113">
        <v>0</v>
      </c>
      <c r="U1113">
        <v>755.95</v>
      </c>
    </row>
    <row r="1114" spans="1:21" x14ac:dyDescent="0.35">
      <c r="A1114">
        <v>2025</v>
      </c>
      <c r="B1114">
        <v>3</v>
      </c>
      <c r="C1114">
        <v>1</v>
      </c>
      <c r="D1114" s="1">
        <v>45717</v>
      </c>
      <c r="E1114" s="4" t="s">
        <v>36</v>
      </c>
      <c r="F1114" s="4" t="s">
        <v>24</v>
      </c>
      <c r="G1114" s="4" t="s">
        <v>107</v>
      </c>
      <c r="H1114">
        <v>55</v>
      </c>
      <c r="I1114">
        <v>83</v>
      </c>
      <c r="J1114">
        <v>2</v>
      </c>
      <c r="K1114">
        <v>81</v>
      </c>
      <c r="L1114">
        <v>112468.18</v>
      </c>
      <c r="M1114">
        <v>1714</v>
      </c>
      <c r="N1114">
        <v>110754.18</v>
      </c>
      <c r="O1114">
        <v>63361.65</v>
      </c>
      <c r="P1114">
        <v>47392.53</v>
      </c>
      <c r="Q1114">
        <v>0.4279</v>
      </c>
      <c r="R1114">
        <v>7</v>
      </c>
      <c r="S1114">
        <v>12640.58</v>
      </c>
      <c r="T1114">
        <v>0</v>
      </c>
      <c r="U1114">
        <v>2013.71</v>
      </c>
    </row>
    <row r="1115" spans="1:21" x14ac:dyDescent="0.35">
      <c r="A1115">
        <v>2025</v>
      </c>
      <c r="B1115">
        <v>3</v>
      </c>
      <c r="C1115">
        <v>1</v>
      </c>
      <c r="D1115" s="1">
        <v>45717</v>
      </c>
      <c r="E1115" s="4" t="s">
        <v>36</v>
      </c>
      <c r="F1115" s="4" t="s">
        <v>24</v>
      </c>
      <c r="G1115" s="4" t="s">
        <v>108</v>
      </c>
      <c r="H1115">
        <v>22</v>
      </c>
      <c r="I1115">
        <v>28</v>
      </c>
      <c r="J1115">
        <v>1</v>
      </c>
      <c r="K1115">
        <v>27</v>
      </c>
      <c r="L1115">
        <v>47024</v>
      </c>
      <c r="M1115">
        <v>1600</v>
      </c>
      <c r="N1115">
        <v>45424</v>
      </c>
      <c r="O1115">
        <v>25326.400000000001</v>
      </c>
      <c r="P1115">
        <v>20097.599999999999</v>
      </c>
      <c r="Q1115">
        <v>0.44240000000000002</v>
      </c>
      <c r="R1115">
        <v>2</v>
      </c>
      <c r="S1115">
        <v>4176</v>
      </c>
      <c r="T1115">
        <v>0</v>
      </c>
      <c r="U1115">
        <v>2064.73</v>
      </c>
    </row>
    <row r="1116" spans="1:21" x14ac:dyDescent="0.35">
      <c r="A1116">
        <v>2025</v>
      </c>
      <c r="B1116">
        <v>3</v>
      </c>
      <c r="C1116">
        <v>1</v>
      </c>
      <c r="D1116" s="1">
        <v>45717</v>
      </c>
      <c r="E1116" s="4" t="s">
        <v>36</v>
      </c>
      <c r="F1116" s="4" t="s">
        <v>24</v>
      </c>
      <c r="G1116" s="4" t="s">
        <v>109</v>
      </c>
      <c r="H1116">
        <v>149</v>
      </c>
      <c r="I1116">
        <v>227</v>
      </c>
      <c r="J1116">
        <v>3</v>
      </c>
      <c r="K1116">
        <v>224</v>
      </c>
      <c r="L1116">
        <v>364775.15</v>
      </c>
      <c r="M1116">
        <v>4790</v>
      </c>
      <c r="N1116">
        <v>359985.15</v>
      </c>
      <c r="O1116">
        <v>204197.95</v>
      </c>
      <c r="P1116">
        <v>155787.20000000001</v>
      </c>
      <c r="Q1116">
        <v>0.43280000000000002</v>
      </c>
      <c r="R1116">
        <v>16</v>
      </c>
      <c r="S1116">
        <v>49869.15</v>
      </c>
      <c r="T1116">
        <v>0</v>
      </c>
      <c r="U1116">
        <v>2416.0100000000002</v>
      </c>
    </row>
    <row r="1117" spans="1:21" x14ac:dyDescent="0.35">
      <c r="A1117">
        <v>2025</v>
      </c>
      <c r="B1117">
        <v>3</v>
      </c>
      <c r="C1117">
        <v>1</v>
      </c>
      <c r="D1117" s="1">
        <v>45717</v>
      </c>
      <c r="E1117" s="4" t="s">
        <v>36</v>
      </c>
      <c r="F1117" s="4" t="s">
        <v>26</v>
      </c>
      <c r="G1117" s="4" t="s">
        <v>107</v>
      </c>
      <c r="H1117">
        <v>3</v>
      </c>
      <c r="I1117">
        <v>4</v>
      </c>
      <c r="J1117">
        <v>0</v>
      </c>
      <c r="K1117">
        <v>4</v>
      </c>
      <c r="L1117">
        <v>2573.5</v>
      </c>
      <c r="M1117">
        <v>0</v>
      </c>
      <c r="N1117">
        <v>2573.5</v>
      </c>
      <c r="O1117">
        <v>1684.8</v>
      </c>
      <c r="P1117">
        <v>888.7</v>
      </c>
      <c r="Q1117">
        <v>0.3453</v>
      </c>
      <c r="R1117">
        <v>1</v>
      </c>
      <c r="S1117">
        <v>703.5</v>
      </c>
      <c r="T1117">
        <v>0</v>
      </c>
      <c r="U1117">
        <v>857.83</v>
      </c>
    </row>
    <row r="1118" spans="1:21" x14ac:dyDescent="0.35">
      <c r="A1118">
        <v>2025</v>
      </c>
      <c r="B1118">
        <v>3</v>
      </c>
      <c r="C1118">
        <v>1</v>
      </c>
      <c r="D1118" s="1">
        <v>45717</v>
      </c>
      <c r="E1118" s="4" t="s">
        <v>36</v>
      </c>
      <c r="F1118" s="4" t="s">
        <v>26</v>
      </c>
      <c r="G1118" s="4" t="s">
        <v>109</v>
      </c>
      <c r="H1118">
        <v>51</v>
      </c>
      <c r="I1118">
        <v>84</v>
      </c>
      <c r="J1118">
        <v>3</v>
      </c>
      <c r="K1118">
        <v>81</v>
      </c>
      <c r="L1118">
        <v>68863.75</v>
      </c>
      <c r="M1118">
        <v>2791.86</v>
      </c>
      <c r="N1118">
        <v>66071.89</v>
      </c>
      <c r="O1118">
        <v>40456.800000000003</v>
      </c>
      <c r="P1118">
        <v>25615.09</v>
      </c>
      <c r="Q1118">
        <v>0.38769999999999999</v>
      </c>
      <c r="R1118">
        <v>5</v>
      </c>
      <c r="S1118">
        <v>8541.89</v>
      </c>
      <c r="T1118">
        <v>0</v>
      </c>
      <c r="U1118">
        <v>1295.53</v>
      </c>
    </row>
    <row r="1119" spans="1:21" x14ac:dyDescent="0.35">
      <c r="A1119">
        <v>2025</v>
      </c>
      <c r="B1119">
        <v>3</v>
      </c>
      <c r="C1119">
        <v>1</v>
      </c>
      <c r="D1119" s="1">
        <v>45717</v>
      </c>
      <c r="E1119" s="4" t="s">
        <v>23</v>
      </c>
      <c r="F1119" s="4" t="s">
        <v>28</v>
      </c>
      <c r="G1119" s="4" t="s">
        <v>107</v>
      </c>
      <c r="H1119">
        <v>96</v>
      </c>
      <c r="I1119">
        <v>150</v>
      </c>
      <c r="J1119">
        <v>0</v>
      </c>
      <c r="K1119">
        <v>150</v>
      </c>
      <c r="L1119">
        <v>48492.86</v>
      </c>
      <c r="M1119">
        <v>0</v>
      </c>
      <c r="N1119">
        <v>48492.86</v>
      </c>
      <c r="O1119">
        <v>17745</v>
      </c>
      <c r="P1119">
        <v>30747.86</v>
      </c>
      <c r="Q1119">
        <v>0.6341</v>
      </c>
      <c r="R1119">
        <v>14</v>
      </c>
      <c r="S1119">
        <v>9622.86</v>
      </c>
      <c r="T1119">
        <v>0</v>
      </c>
      <c r="U1119">
        <v>505.13</v>
      </c>
    </row>
    <row r="1120" spans="1:21" x14ac:dyDescent="0.35">
      <c r="A1120">
        <v>2025</v>
      </c>
      <c r="B1120">
        <v>3</v>
      </c>
      <c r="C1120">
        <v>1</v>
      </c>
      <c r="D1120" s="1">
        <v>45717</v>
      </c>
      <c r="E1120" s="4" t="s">
        <v>23</v>
      </c>
      <c r="F1120" s="4" t="s">
        <v>28</v>
      </c>
      <c r="G1120" s="4" t="s">
        <v>108</v>
      </c>
      <c r="H1120">
        <v>45</v>
      </c>
      <c r="I1120">
        <v>70</v>
      </c>
      <c r="J1120">
        <v>0</v>
      </c>
      <c r="K1120">
        <v>70</v>
      </c>
      <c r="L1120">
        <v>45758.27</v>
      </c>
      <c r="M1120">
        <v>0</v>
      </c>
      <c r="N1120">
        <v>45758.27</v>
      </c>
      <c r="O1120">
        <v>17223.5</v>
      </c>
      <c r="P1120">
        <v>28534.77</v>
      </c>
      <c r="Q1120">
        <v>0.62360000000000004</v>
      </c>
      <c r="R1120">
        <v>10</v>
      </c>
      <c r="S1120">
        <v>13420.27</v>
      </c>
      <c r="T1120">
        <v>0</v>
      </c>
      <c r="U1120">
        <v>1016.85</v>
      </c>
    </row>
    <row r="1121" spans="1:21" x14ac:dyDescent="0.35">
      <c r="A1121">
        <v>2025</v>
      </c>
      <c r="B1121">
        <v>3</v>
      </c>
      <c r="C1121">
        <v>1</v>
      </c>
      <c r="D1121" s="1">
        <v>45717</v>
      </c>
      <c r="E1121" s="4" t="s">
        <v>23</v>
      </c>
      <c r="F1121" s="4" t="s">
        <v>28</v>
      </c>
      <c r="G1121" s="4" t="s">
        <v>109</v>
      </c>
      <c r="H1121">
        <v>644</v>
      </c>
      <c r="I1121">
        <v>967</v>
      </c>
      <c r="J1121">
        <v>0</v>
      </c>
      <c r="K1121">
        <v>967</v>
      </c>
      <c r="L1121">
        <v>455930.17</v>
      </c>
      <c r="M1121">
        <v>0</v>
      </c>
      <c r="N1121">
        <v>455930.17</v>
      </c>
      <c r="O1121">
        <v>165720.79999999999</v>
      </c>
      <c r="P1121">
        <v>290209.37</v>
      </c>
      <c r="Q1121">
        <v>0.63649999999999995</v>
      </c>
      <c r="R1121">
        <v>74</v>
      </c>
      <c r="S1121">
        <v>62549.17</v>
      </c>
      <c r="T1121">
        <v>0</v>
      </c>
      <c r="U1121">
        <v>707.97</v>
      </c>
    </row>
    <row r="1122" spans="1:21" x14ac:dyDescent="0.35">
      <c r="A1122">
        <v>2025</v>
      </c>
      <c r="B1122">
        <v>3</v>
      </c>
      <c r="C1122">
        <v>1</v>
      </c>
      <c r="D1122" s="1">
        <v>45717</v>
      </c>
      <c r="E1122" s="4" t="s">
        <v>23</v>
      </c>
      <c r="F1122" s="4" t="s">
        <v>24</v>
      </c>
      <c r="G1122" s="4" t="s">
        <v>107</v>
      </c>
      <c r="H1122">
        <v>56</v>
      </c>
      <c r="I1122">
        <v>81</v>
      </c>
      <c r="J1122">
        <v>0</v>
      </c>
      <c r="K1122">
        <v>81</v>
      </c>
      <c r="L1122">
        <v>143447.81</v>
      </c>
      <c r="M1122">
        <v>0</v>
      </c>
      <c r="N1122">
        <v>143447.81</v>
      </c>
      <c r="O1122">
        <v>82141.95</v>
      </c>
      <c r="P1122">
        <v>61305.86</v>
      </c>
      <c r="Q1122">
        <v>0.4274</v>
      </c>
      <c r="R1122">
        <v>8</v>
      </c>
      <c r="S1122">
        <v>20170.77</v>
      </c>
      <c r="T1122">
        <v>0</v>
      </c>
      <c r="U1122">
        <v>2561.5700000000002</v>
      </c>
    </row>
    <row r="1123" spans="1:21" x14ac:dyDescent="0.35">
      <c r="A1123">
        <v>2025</v>
      </c>
      <c r="B1123">
        <v>3</v>
      </c>
      <c r="C1123">
        <v>1</v>
      </c>
      <c r="D1123" s="1">
        <v>45717</v>
      </c>
      <c r="E1123" s="4" t="s">
        <v>23</v>
      </c>
      <c r="F1123" s="4" t="s">
        <v>24</v>
      </c>
      <c r="G1123" s="4" t="s">
        <v>109</v>
      </c>
      <c r="H1123">
        <v>163</v>
      </c>
      <c r="I1123">
        <v>236</v>
      </c>
      <c r="J1123">
        <v>8</v>
      </c>
      <c r="K1123">
        <v>228</v>
      </c>
      <c r="L1123">
        <v>254334.23</v>
      </c>
      <c r="M1123">
        <v>11225.52</v>
      </c>
      <c r="N1123">
        <v>243108.71</v>
      </c>
      <c r="O1123">
        <v>138439.4</v>
      </c>
      <c r="P1123">
        <v>104669.31</v>
      </c>
      <c r="Q1123">
        <v>0.43049999999999999</v>
      </c>
      <c r="R1123">
        <v>18</v>
      </c>
      <c r="S1123">
        <v>28398.71</v>
      </c>
      <c r="T1123">
        <v>0</v>
      </c>
      <c r="U1123">
        <v>1491.46</v>
      </c>
    </row>
    <row r="1124" spans="1:21" x14ac:dyDescent="0.35">
      <c r="A1124">
        <v>2025</v>
      </c>
      <c r="B1124">
        <v>3</v>
      </c>
      <c r="C1124">
        <v>1</v>
      </c>
      <c r="D1124" s="1">
        <v>45717</v>
      </c>
      <c r="E1124" s="4" t="s">
        <v>23</v>
      </c>
      <c r="F1124" s="4" t="s">
        <v>26</v>
      </c>
      <c r="G1124" s="4" t="s">
        <v>107</v>
      </c>
      <c r="H1124">
        <v>3</v>
      </c>
      <c r="I1124">
        <v>5</v>
      </c>
      <c r="J1124">
        <v>0</v>
      </c>
      <c r="K1124">
        <v>5</v>
      </c>
      <c r="L1124">
        <v>2063.87</v>
      </c>
      <c r="M1124">
        <v>0</v>
      </c>
      <c r="N1124">
        <v>2063.87</v>
      </c>
      <c r="O1124">
        <v>1630.2</v>
      </c>
      <c r="P1124">
        <v>433.67</v>
      </c>
      <c r="Q1124">
        <v>0.21010000000000001</v>
      </c>
      <c r="R1124">
        <v>2</v>
      </c>
      <c r="S1124">
        <v>1470.87</v>
      </c>
      <c r="T1124">
        <v>0</v>
      </c>
      <c r="U1124">
        <v>687.96</v>
      </c>
    </row>
    <row r="1125" spans="1:21" x14ac:dyDescent="0.35">
      <c r="A1125">
        <v>2025</v>
      </c>
      <c r="B1125">
        <v>3</v>
      </c>
      <c r="C1125">
        <v>1</v>
      </c>
      <c r="D1125" s="1">
        <v>45717</v>
      </c>
      <c r="E1125" s="4" t="s">
        <v>23</v>
      </c>
      <c r="F1125" s="4" t="s">
        <v>26</v>
      </c>
      <c r="G1125" s="4" t="s">
        <v>109</v>
      </c>
      <c r="H1125">
        <v>35</v>
      </c>
      <c r="I1125">
        <v>53</v>
      </c>
      <c r="J1125">
        <v>0</v>
      </c>
      <c r="K1125">
        <v>53</v>
      </c>
      <c r="L1125">
        <v>39636.400000000001</v>
      </c>
      <c r="M1125">
        <v>0</v>
      </c>
      <c r="N1125">
        <v>39636.400000000001</v>
      </c>
      <c r="O1125">
        <v>23971.200000000001</v>
      </c>
      <c r="P1125">
        <v>15665.2</v>
      </c>
      <c r="Q1125">
        <v>0.3952</v>
      </c>
      <c r="R1125">
        <v>2</v>
      </c>
      <c r="S1125">
        <v>2840.4</v>
      </c>
      <c r="T1125">
        <v>0</v>
      </c>
      <c r="U1125">
        <v>1132.47</v>
      </c>
    </row>
    <row r="1126" spans="1:21" x14ac:dyDescent="0.35">
      <c r="A1126">
        <v>2025</v>
      </c>
      <c r="B1126">
        <v>3</v>
      </c>
      <c r="C1126">
        <v>1</v>
      </c>
      <c r="D1126" s="1">
        <v>45717</v>
      </c>
      <c r="E1126" s="4" t="s">
        <v>25</v>
      </c>
      <c r="F1126" s="4" t="s">
        <v>28</v>
      </c>
      <c r="G1126" s="4" t="s">
        <v>107</v>
      </c>
      <c r="H1126">
        <v>33</v>
      </c>
      <c r="I1126">
        <v>48</v>
      </c>
      <c r="J1126">
        <v>0</v>
      </c>
      <c r="K1126">
        <v>48</v>
      </c>
      <c r="L1126">
        <v>22842.12</v>
      </c>
      <c r="M1126">
        <v>0</v>
      </c>
      <c r="N1126">
        <v>22842.12</v>
      </c>
      <c r="O1126">
        <v>8349.6</v>
      </c>
      <c r="P1126">
        <v>14492.52</v>
      </c>
      <c r="Q1126">
        <v>0.63449999999999995</v>
      </c>
      <c r="R1126">
        <v>3</v>
      </c>
      <c r="S1126">
        <v>3459.12</v>
      </c>
      <c r="T1126">
        <v>0</v>
      </c>
      <c r="U1126">
        <v>692.19</v>
      </c>
    </row>
    <row r="1127" spans="1:21" x14ac:dyDescent="0.35">
      <c r="A1127">
        <v>2025</v>
      </c>
      <c r="B1127">
        <v>3</v>
      </c>
      <c r="C1127">
        <v>1</v>
      </c>
      <c r="D1127" s="1">
        <v>45717</v>
      </c>
      <c r="E1127" s="4" t="s">
        <v>25</v>
      </c>
      <c r="F1127" s="4" t="s">
        <v>28</v>
      </c>
      <c r="G1127" s="4" t="s">
        <v>109</v>
      </c>
      <c r="H1127">
        <v>681</v>
      </c>
      <c r="I1127">
        <v>1036</v>
      </c>
      <c r="J1127">
        <v>0</v>
      </c>
      <c r="K1127">
        <v>1036</v>
      </c>
      <c r="L1127">
        <v>541477.18000000005</v>
      </c>
      <c r="M1127">
        <v>0</v>
      </c>
      <c r="N1127">
        <v>541477.18000000005</v>
      </c>
      <c r="O1127">
        <v>196412.65</v>
      </c>
      <c r="P1127">
        <v>345064.53</v>
      </c>
      <c r="Q1127">
        <v>0.63729999999999998</v>
      </c>
      <c r="R1127">
        <v>78</v>
      </c>
      <c r="S1127">
        <v>76314.490000000005</v>
      </c>
      <c r="T1127">
        <v>0</v>
      </c>
      <c r="U1127">
        <v>795.12</v>
      </c>
    </row>
    <row r="1128" spans="1:21" x14ac:dyDescent="0.35">
      <c r="A1128">
        <v>2025</v>
      </c>
      <c r="B1128">
        <v>3</v>
      </c>
      <c r="C1128">
        <v>1</v>
      </c>
      <c r="D1128" s="1">
        <v>45717</v>
      </c>
      <c r="E1128" s="4" t="s">
        <v>25</v>
      </c>
      <c r="F1128" s="4" t="s">
        <v>24</v>
      </c>
      <c r="G1128" s="4" t="s">
        <v>107</v>
      </c>
      <c r="H1128">
        <v>20</v>
      </c>
      <c r="I1128">
        <v>37</v>
      </c>
      <c r="J1128">
        <v>0</v>
      </c>
      <c r="K1128">
        <v>37</v>
      </c>
      <c r="L1128">
        <v>64717.73</v>
      </c>
      <c r="M1128">
        <v>0</v>
      </c>
      <c r="N1128">
        <v>64717.73</v>
      </c>
      <c r="O1128">
        <v>37177.800000000003</v>
      </c>
      <c r="P1128">
        <v>27539.93</v>
      </c>
      <c r="Q1128">
        <v>0.42549999999999999</v>
      </c>
      <c r="R1128">
        <v>3</v>
      </c>
      <c r="S1128">
        <v>12044.73</v>
      </c>
      <c r="T1128">
        <v>0</v>
      </c>
      <c r="U1128">
        <v>3235.89</v>
      </c>
    </row>
    <row r="1129" spans="1:21" x14ac:dyDescent="0.35">
      <c r="A1129">
        <v>2025</v>
      </c>
      <c r="B1129">
        <v>3</v>
      </c>
      <c r="C1129">
        <v>1</v>
      </c>
      <c r="D1129" s="1">
        <v>45717</v>
      </c>
      <c r="E1129" s="4" t="s">
        <v>25</v>
      </c>
      <c r="F1129" s="4" t="s">
        <v>24</v>
      </c>
      <c r="G1129" s="4" t="s">
        <v>109</v>
      </c>
      <c r="H1129">
        <v>211</v>
      </c>
      <c r="I1129">
        <v>305</v>
      </c>
      <c r="J1129">
        <v>13</v>
      </c>
      <c r="K1129">
        <v>292</v>
      </c>
      <c r="L1129">
        <v>449791.99</v>
      </c>
      <c r="M1129">
        <v>18472.599999999999</v>
      </c>
      <c r="N1129">
        <v>431319.39</v>
      </c>
      <c r="O1129">
        <v>244750</v>
      </c>
      <c r="P1129">
        <v>186569.39</v>
      </c>
      <c r="Q1129">
        <v>0.43259999999999998</v>
      </c>
      <c r="R1129">
        <v>19</v>
      </c>
      <c r="S1129">
        <v>47296.08</v>
      </c>
      <c r="T1129">
        <v>0</v>
      </c>
      <c r="U1129">
        <v>2044.17</v>
      </c>
    </row>
    <row r="1130" spans="1:21" x14ac:dyDescent="0.35">
      <c r="A1130">
        <v>2025</v>
      </c>
      <c r="B1130">
        <v>3</v>
      </c>
      <c r="C1130">
        <v>1</v>
      </c>
      <c r="D1130" s="1">
        <v>45717</v>
      </c>
      <c r="E1130" s="4" t="s">
        <v>25</v>
      </c>
      <c r="F1130" s="4" t="s">
        <v>26</v>
      </c>
      <c r="G1130" s="4" t="s">
        <v>107</v>
      </c>
      <c r="H1130">
        <v>16</v>
      </c>
      <c r="I1130">
        <v>24</v>
      </c>
      <c r="J1130">
        <v>0</v>
      </c>
      <c r="K1130">
        <v>24</v>
      </c>
      <c r="L1130">
        <v>21034.959999999999</v>
      </c>
      <c r="M1130">
        <v>0</v>
      </c>
      <c r="N1130">
        <v>21034.959999999999</v>
      </c>
      <c r="O1130">
        <v>12850.8</v>
      </c>
      <c r="P1130">
        <v>8184.16</v>
      </c>
      <c r="Q1130">
        <v>0.3891</v>
      </c>
      <c r="R1130">
        <v>1</v>
      </c>
      <c r="S1130">
        <v>813.96</v>
      </c>
      <c r="T1130">
        <v>0</v>
      </c>
      <c r="U1130">
        <v>1314.69</v>
      </c>
    </row>
    <row r="1131" spans="1:21" x14ac:dyDescent="0.35">
      <c r="A1131">
        <v>2025</v>
      </c>
      <c r="B1131">
        <v>3</v>
      </c>
      <c r="C1131">
        <v>1</v>
      </c>
      <c r="D1131" s="1">
        <v>45717</v>
      </c>
      <c r="E1131" s="4" t="s">
        <v>25</v>
      </c>
      <c r="F1131" s="4" t="s">
        <v>26</v>
      </c>
      <c r="G1131" s="4" t="s">
        <v>109</v>
      </c>
      <c r="H1131">
        <v>49</v>
      </c>
      <c r="I1131">
        <v>69</v>
      </c>
      <c r="J1131">
        <v>1</v>
      </c>
      <c r="K1131">
        <v>68</v>
      </c>
      <c r="L1131">
        <v>48238.47</v>
      </c>
      <c r="M1131">
        <v>564</v>
      </c>
      <c r="N1131">
        <v>47674.47</v>
      </c>
      <c r="O1131">
        <v>30118.2</v>
      </c>
      <c r="P1131">
        <v>17556.27</v>
      </c>
      <c r="Q1131">
        <v>0.36830000000000002</v>
      </c>
      <c r="R1131">
        <v>7</v>
      </c>
      <c r="S1131">
        <v>8574.4699999999993</v>
      </c>
      <c r="T1131">
        <v>0</v>
      </c>
      <c r="U1131">
        <v>972.95</v>
      </c>
    </row>
    <row r="1132" spans="1:21" x14ac:dyDescent="0.35">
      <c r="A1132">
        <v>2025</v>
      </c>
      <c r="B1132">
        <v>3</v>
      </c>
      <c r="C1132">
        <v>1</v>
      </c>
      <c r="D1132" s="1">
        <v>45717</v>
      </c>
      <c r="E1132" s="4" t="s">
        <v>29</v>
      </c>
      <c r="F1132" s="4" t="s">
        <v>28</v>
      </c>
      <c r="G1132" s="4" t="s">
        <v>107</v>
      </c>
      <c r="H1132">
        <v>206</v>
      </c>
      <c r="I1132">
        <v>315</v>
      </c>
      <c r="J1132">
        <v>0</v>
      </c>
      <c r="K1132">
        <v>315</v>
      </c>
      <c r="L1132">
        <v>135655.44</v>
      </c>
      <c r="M1132">
        <v>0</v>
      </c>
      <c r="N1132">
        <v>135655.44</v>
      </c>
      <c r="O1132">
        <v>48900.6</v>
      </c>
      <c r="P1132">
        <v>86754.84</v>
      </c>
      <c r="Q1132">
        <v>0.63949999999999996</v>
      </c>
      <c r="R1132">
        <v>24</v>
      </c>
      <c r="S1132">
        <v>17407.439999999999</v>
      </c>
      <c r="T1132">
        <v>0</v>
      </c>
      <c r="U1132">
        <v>658.52</v>
      </c>
    </row>
    <row r="1133" spans="1:21" x14ac:dyDescent="0.35">
      <c r="A1133">
        <v>2025</v>
      </c>
      <c r="B1133">
        <v>3</v>
      </c>
      <c r="C1133">
        <v>1</v>
      </c>
      <c r="D1133" s="1">
        <v>45717</v>
      </c>
      <c r="E1133" s="4" t="s">
        <v>29</v>
      </c>
      <c r="F1133" s="4" t="s">
        <v>28</v>
      </c>
      <c r="G1133" s="4" t="s">
        <v>108</v>
      </c>
      <c r="H1133">
        <v>30</v>
      </c>
      <c r="I1133">
        <v>45</v>
      </c>
      <c r="J1133">
        <v>0</v>
      </c>
      <c r="K1133">
        <v>45</v>
      </c>
      <c r="L1133">
        <v>26648.639999999999</v>
      </c>
      <c r="M1133">
        <v>0</v>
      </c>
      <c r="N1133">
        <v>26648.639999999999</v>
      </c>
      <c r="O1133">
        <v>9576</v>
      </c>
      <c r="P1133">
        <v>17072.64</v>
      </c>
      <c r="Q1133">
        <v>0.64070000000000005</v>
      </c>
      <c r="R1133">
        <v>3</v>
      </c>
      <c r="S1133">
        <v>2328.64</v>
      </c>
      <c r="T1133">
        <v>0</v>
      </c>
      <c r="U1133">
        <v>888.29</v>
      </c>
    </row>
    <row r="1134" spans="1:21" x14ac:dyDescent="0.35">
      <c r="A1134">
        <v>2025</v>
      </c>
      <c r="B1134">
        <v>3</v>
      </c>
      <c r="C1134">
        <v>1</v>
      </c>
      <c r="D1134" s="1">
        <v>45717</v>
      </c>
      <c r="E1134" s="4" t="s">
        <v>29</v>
      </c>
      <c r="F1134" s="4" t="s">
        <v>28</v>
      </c>
      <c r="G1134" s="4" t="s">
        <v>109</v>
      </c>
      <c r="H1134">
        <v>864</v>
      </c>
      <c r="I1134">
        <v>1350</v>
      </c>
      <c r="J1134">
        <v>0</v>
      </c>
      <c r="K1134">
        <v>1350</v>
      </c>
      <c r="L1134">
        <v>644706.39</v>
      </c>
      <c r="M1134">
        <v>0</v>
      </c>
      <c r="N1134">
        <v>644706.39</v>
      </c>
      <c r="O1134">
        <v>235042.5</v>
      </c>
      <c r="P1134">
        <v>409663.89</v>
      </c>
      <c r="Q1134">
        <v>0.63539999999999996</v>
      </c>
      <c r="R1134">
        <v>119</v>
      </c>
      <c r="S1134">
        <v>106047.39</v>
      </c>
      <c r="T1134">
        <v>0</v>
      </c>
      <c r="U1134">
        <v>746.19</v>
      </c>
    </row>
    <row r="1135" spans="1:21" x14ac:dyDescent="0.35">
      <c r="A1135">
        <v>2025</v>
      </c>
      <c r="B1135">
        <v>3</v>
      </c>
      <c r="C1135">
        <v>1</v>
      </c>
      <c r="D1135" s="1">
        <v>45717</v>
      </c>
      <c r="E1135" s="4" t="s">
        <v>29</v>
      </c>
      <c r="F1135" s="4" t="s">
        <v>24</v>
      </c>
      <c r="G1135" s="4" t="s">
        <v>107</v>
      </c>
      <c r="H1135">
        <v>4</v>
      </c>
      <c r="I1135">
        <v>4</v>
      </c>
      <c r="J1135">
        <v>1</v>
      </c>
      <c r="K1135">
        <v>3</v>
      </c>
      <c r="L1135">
        <v>3456</v>
      </c>
      <c r="M1135">
        <v>864</v>
      </c>
      <c r="N1135">
        <v>2592</v>
      </c>
      <c r="O1135">
        <v>1425.6</v>
      </c>
      <c r="P1135">
        <v>1166.4000000000001</v>
      </c>
      <c r="Q1135">
        <v>0.45</v>
      </c>
      <c r="R1135">
        <v>0</v>
      </c>
      <c r="S1135">
        <v>0</v>
      </c>
      <c r="T1135">
        <v>0</v>
      </c>
      <c r="U1135">
        <v>648</v>
      </c>
    </row>
    <row r="1136" spans="1:21" x14ac:dyDescent="0.35">
      <c r="A1136">
        <v>2025</v>
      </c>
      <c r="B1136">
        <v>3</v>
      </c>
      <c r="C1136">
        <v>1</v>
      </c>
      <c r="D1136" s="1">
        <v>45717</v>
      </c>
      <c r="E1136" s="4" t="s">
        <v>29</v>
      </c>
      <c r="F1136" s="4" t="s">
        <v>24</v>
      </c>
      <c r="G1136" s="4" t="s">
        <v>108</v>
      </c>
      <c r="H1136">
        <v>14</v>
      </c>
      <c r="I1136">
        <v>16</v>
      </c>
      <c r="J1136">
        <v>0</v>
      </c>
      <c r="K1136">
        <v>16</v>
      </c>
      <c r="L1136">
        <v>11872</v>
      </c>
      <c r="M1136">
        <v>0</v>
      </c>
      <c r="N1136">
        <v>11872</v>
      </c>
      <c r="O1136">
        <v>6529.6</v>
      </c>
      <c r="P1136">
        <v>5342.4</v>
      </c>
      <c r="Q1136">
        <v>0.45</v>
      </c>
      <c r="R1136">
        <v>0</v>
      </c>
      <c r="S1136">
        <v>0</v>
      </c>
      <c r="T1136">
        <v>0</v>
      </c>
      <c r="U1136">
        <v>848</v>
      </c>
    </row>
    <row r="1137" spans="1:21" x14ac:dyDescent="0.35">
      <c r="A1137">
        <v>2025</v>
      </c>
      <c r="B1137">
        <v>3</v>
      </c>
      <c r="C1137">
        <v>1</v>
      </c>
      <c r="D1137" s="1">
        <v>45717</v>
      </c>
      <c r="E1137" s="4" t="s">
        <v>29</v>
      </c>
      <c r="F1137" s="4" t="s">
        <v>24</v>
      </c>
      <c r="G1137" s="4" t="s">
        <v>109</v>
      </c>
      <c r="H1137">
        <v>178</v>
      </c>
      <c r="I1137">
        <v>274</v>
      </c>
      <c r="J1137">
        <v>10</v>
      </c>
      <c r="K1137">
        <v>264</v>
      </c>
      <c r="L1137">
        <v>485820.38</v>
      </c>
      <c r="M1137">
        <v>18494.060000000001</v>
      </c>
      <c r="N1137">
        <v>467326.32</v>
      </c>
      <c r="O1137">
        <v>274859.75</v>
      </c>
      <c r="P1137">
        <v>192466.57</v>
      </c>
      <c r="Q1137">
        <v>0.4118</v>
      </c>
      <c r="R1137">
        <v>24</v>
      </c>
      <c r="S1137">
        <v>96576.320000000007</v>
      </c>
      <c r="T1137">
        <v>0</v>
      </c>
      <c r="U1137">
        <v>2625.43</v>
      </c>
    </row>
    <row r="1138" spans="1:21" x14ac:dyDescent="0.35">
      <c r="A1138">
        <v>2025</v>
      </c>
      <c r="B1138">
        <v>3</v>
      </c>
      <c r="C1138">
        <v>1</v>
      </c>
      <c r="D1138" s="1">
        <v>45717</v>
      </c>
      <c r="E1138" s="4" t="s">
        <v>29</v>
      </c>
      <c r="F1138" s="4" t="s">
        <v>26</v>
      </c>
      <c r="G1138" s="4" t="s">
        <v>107</v>
      </c>
      <c r="H1138">
        <v>20</v>
      </c>
      <c r="I1138">
        <v>33</v>
      </c>
      <c r="J1138">
        <v>1</v>
      </c>
      <c r="K1138">
        <v>32</v>
      </c>
      <c r="L1138">
        <v>24066.12</v>
      </c>
      <c r="M1138">
        <v>1087</v>
      </c>
      <c r="N1138">
        <v>22979.119999999999</v>
      </c>
      <c r="O1138">
        <v>14122.8</v>
      </c>
      <c r="P1138">
        <v>8856.32</v>
      </c>
      <c r="Q1138">
        <v>0.38540000000000002</v>
      </c>
      <c r="R1138">
        <v>4</v>
      </c>
      <c r="S1138">
        <v>4520.12</v>
      </c>
      <c r="T1138">
        <v>0</v>
      </c>
      <c r="U1138">
        <v>1148.96</v>
      </c>
    </row>
    <row r="1139" spans="1:21" x14ac:dyDescent="0.35">
      <c r="A1139">
        <v>2025</v>
      </c>
      <c r="B1139">
        <v>3</v>
      </c>
      <c r="C1139">
        <v>1</v>
      </c>
      <c r="D1139" s="1">
        <v>45717</v>
      </c>
      <c r="E1139" s="4" t="s">
        <v>29</v>
      </c>
      <c r="F1139" s="4" t="s">
        <v>26</v>
      </c>
      <c r="G1139" s="4" t="s">
        <v>109</v>
      </c>
      <c r="H1139">
        <v>40</v>
      </c>
      <c r="I1139">
        <v>54</v>
      </c>
      <c r="J1139">
        <v>4</v>
      </c>
      <c r="K1139">
        <v>50</v>
      </c>
      <c r="L1139">
        <v>44291.1</v>
      </c>
      <c r="M1139">
        <v>4111</v>
      </c>
      <c r="N1139">
        <v>40180.1</v>
      </c>
      <c r="O1139">
        <v>24615</v>
      </c>
      <c r="P1139">
        <v>15565.1</v>
      </c>
      <c r="Q1139">
        <v>0.38740000000000002</v>
      </c>
      <c r="R1139">
        <v>2</v>
      </c>
      <c r="S1139">
        <v>2157.1</v>
      </c>
      <c r="T1139">
        <v>0</v>
      </c>
      <c r="U1139">
        <v>1004.5</v>
      </c>
    </row>
    <row r="1140" spans="1:21" x14ac:dyDescent="0.35">
      <c r="A1140">
        <v>2025</v>
      </c>
      <c r="B1140">
        <v>3</v>
      </c>
      <c r="C1140">
        <v>1</v>
      </c>
      <c r="D1140" s="1">
        <v>45717</v>
      </c>
      <c r="E1140" s="4" t="s">
        <v>31</v>
      </c>
      <c r="F1140" s="4" t="s">
        <v>28</v>
      </c>
      <c r="G1140" s="4" t="s">
        <v>107</v>
      </c>
      <c r="H1140">
        <v>90</v>
      </c>
      <c r="I1140">
        <v>141</v>
      </c>
      <c r="J1140">
        <v>0</v>
      </c>
      <c r="K1140">
        <v>141</v>
      </c>
      <c r="L1140">
        <v>55342.720000000001</v>
      </c>
      <c r="M1140">
        <v>0</v>
      </c>
      <c r="N1140">
        <v>55342.720000000001</v>
      </c>
      <c r="O1140">
        <v>19984.650000000001</v>
      </c>
      <c r="P1140">
        <v>35358.07</v>
      </c>
      <c r="Q1140">
        <v>0.63890000000000002</v>
      </c>
      <c r="R1140">
        <v>11</v>
      </c>
      <c r="S1140">
        <v>7305.72</v>
      </c>
      <c r="T1140">
        <v>0</v>
      </c>
      <c r="U1140">
        <v>614.91999999999996</v>
      </c>
    </row>
    <row r="1141" spans="1:21" x14ac:dyDescent="0.35">
      <c r="A1141">
        <v>2025</v>
      </c>
      <c r="B1141">
        <v>3</v>
      </c>
      <c r="C1141">
        <v>1</v>
      </c>
      <c r="D1141" s="1">
        <v>45717</v>
      </c>
      <c r="E1141" s="4" t="s">
        <v>31</v>
      </c>
      <c r="F1141" s="4" t="s">
        <v>28</v>
      </c>
      <c r="G1141" s="4" t="s">
        <v>108</v>
      </c>
      <c r="H1141">
        <v>288</v>
      </c>
      <c r="I1141">
        <v>451</v>
      </c>
      <c r="J1141">
        <v>0</v>
      </c>
      <c r="K1141">
        <v>451</v>
      </c>
      <c r="L1141">
        <v>168157.29</v>
      </c>
      <c r="M1141">
        <v>0</v>
      </c>
      <c r="N1141">
        <v>168157.29</v>
      </c>
      <c r="O1141">
        <v>61176.5</v>
      </c>
      <c r="P1141">
        <v>106980.79</v>
      </c>
      <c r="Q1141">
        <v>0.63619999999999999</v>
      </c>
      <c r="R1141">
        <v>33</v>
      </c>
      <c r="S1141">
        <v>22145.29</v>
      </c>
      <c r="T1141">
        <v>0</v>
      </c>
      <c r="U1141">
        <v>583.88</v>
      </c>
    </row>
    <row r="1142" spans="1:21" x14ac:dyDescent="0.35">
      <c r="A1142">
        <v>2025</v>
      </c>
      <c r="B1142">
        <v>3</v>
      </c>
      <c r="C1142">
        <v>1</v>
      </c>
      <c r="D1142" s="1">
        <v>45717</v>
      </c>
      <c r="E1142" s="4" t="s">
        <v>31</v>
      </c>
      <c r="F1142" s="4" t="s">
        <v>28</v>
      </c>
      <c r="G1142" s="4" t="s">
        <v>109</v>
      </c>
      <c r="H1142">
        <v>884</v>
      </c>
      <c r="I1142">
        <v>1406</v>
      </c>
      <c r="J1142">
        <v>0</v>
      </c>
      <c r="K1142">
        <v>1406</v>
      </c>
      <c r="L1142">
        <v>687748.17</v>
      </c>
      <c r="M1142">
        <v>0</v>
      </c>
      <c r="N1142">
        <v>687748.17</v>
      </c>
      <c r="O1142">
        <v>249941.65</v>
      </c>
      <c r="P1142">
        <v>437806.52</v>
      </c>
      <c r="Q1142">
        <v>0.63660000000000005</v>
      </c>
      <c r="R1142">
        <v>110</v>
      </c>
      <c r="S1142">
        <v>99478.17</v>
      </c>
      <c r="T1142">
        <v>0</v>
      </c>
      <c r="U1142">
        <v>778</v>
      </c>
    </row>
    <row r="1143" spans="1:21" x14ac:dyDescent="0.35">
      <c r="A1143">
        <v>2025</v>
      </c>
      <c r="B1143">
        <v>3</v>
      </c>
      <c r="C1143">
        <v>1</v>
      </c>
      <c r="D1143" s="1">
        <v>45717</v>
      </c>
      <c r="E1143" s="4" t="s">
        <v>31</v>
      </c>
      <c r="F1143" s="4" t="s">
        <v>35</v>
      </c>
      <c r="G1143" s="4" t="s">
        <v>107</v>
      </c>
      <c r="H1143">
        <v>2</v>
      </c>
      <c r="I1143">
        <v>2</v>
      </c>
      <c r="J1143">
        <v>0</v>
      </c>
      <c r="K1143">
        <v>2</v>
      </c>
      <c r="L1143">
        <v>814</v>
      </c>
      <c r="M1143">
        <v>0</v>
      </c>
      <c r="N1143">
        <v>814</v>
      </c>
      <c r="O1143">
        <v>162.80000000000001</v>
      </c>
      <c r="P1143">
        <v>651.20000000000005</v>
      </c>
      <c r="Q1143">
        <v>0.8</v>
      </c>
      <c r="R1143">
        <v>0</v>
      </c>
      <c r="S1143">
        <v>0</v>
      </c>
      <c r="T1143">
        <v>0</v>
      </c>
      <c r="U1143">
        <v>407</v>
      </c>
    </row>
    <row r="1144" spans="1:21" x14ac:dyDescent="0.35">
      <c r="A1144">
        <v>2025</v>
      </c>
      <c r="B1144">
        <v>3</v>
      </c>
      <c r="C1144">
        <v>1</v>
      </c>
      <c r="D1144" s="1">
        <v>45717</v>
      </c>
      <c r="E1144" s="4" t="s">
        <v>31</v>
      </c>
      <c r="F1144" s="4" t="s">
        <v>24</v>
      </c>
      <c r="G1144" s="4" t="s">
        <v>107</v>
      </c>
      <c r="H1144">
        <v>14</v>
      </c>
      <c r="I1144">
        <v>18</v>
      </c>
      <c r="J1144">
        <v>4</v>
      </c>
      <c r="K1144">
        <v>14</v>
      </c>
      <c r="L1144">
        <v>32399</v>
      </c>
      <c r="M1144">
        <v>7240</v>
      </c>
      <c r="N1144">
        <v>25159</v>
      </c>
      <c r="O1144">
        <v>13937</v>
      </c>
      <c r="P1144">
        <v>11222</v>
      </c>
      <c r="Q1144">
        <v>0.44600000000000001</v>
      </c>
      <c r="R1144">
        <v>1</v>
      </c>
      <c r="S1144">
        <v>1629</v>
      </c>
      <c r="T1144">
        <v>0</v>
      </c>
      <c r="U1144">
        <v>1797.07</v>
      </c>
    </row>
    <row r="1145" spans="1:21" x14ac:dyDescent="0.35">
      <c r="A1145">
        <v>2025</v>
      </c>
      <c r="B1145">
        <v>3</v>
      </c>
      <c r="C1145">
        <v>1</v>
      </c>
      <c r="D1145" s="1">
        <v>45717</v>
      </c>
      <c r="E1145" s="4" t="s">
        <v>31</v>
      </c>
      <c r="F1145" s="4" t="s">
        <v>24</v>
      </c>
      <c r="G1145" s="4" t="s">
        <v>109</v>
      </c>
      <c r="H1145">
        <v>274</v>
      </c>
      <c r="I1145">
        <v>407</v>
      </c>
      <c r="J1145">
        <v>14</v>
      </c>
      <c r="K1145">
        <v>393</v>
      </c>
      <c r="L1145">
        <v>567397.29</v>
      </c>
      <c r="M1145">
        <v>14749.06</v>
      </c>
      <c r="N1145">
        <v>552648.23</v>
      </c>
      <c r="O1145">
        <v>316979.3</v>
      </c>
      <c r="P1145">
        <v>235668.93</v>
      </c>
      <c r="Q1145">
        <v>0.4264</v>
      </c>
      <c r="R1145">
        <v>36</v>
      </c>
      <c r="S1145">
        <v>99623.23</v>
      </c>
      <c r="T1145">
        <v>0</v>
      </c>
      <c r="U1145">
        <v>2016.96</v>
      </c>
    </row>
    <row r="1146" spans="1:21" x14ac:dyDescent="0.35">
      <c r="A1146">
        <v>2025</v>
      </c>
      <c r="B1146">
        <v>3</v>
      </c>
      <c r="C1146">
        <v>1</v>
      </c>
      <c r="D1146" s="1">
        <v>45717</v>
      </c>
      <c r="E1146" s="4" t="s">
        <v>31</v>
      </c>
      <c r="F1146" s="4" t="s">
        <v>26</v>
      </c>
      <c r="G1146" s="4" t="s">
        <v>107</v>
      </c>
      <c r="H1146">
        <v>9</v>
      </c>
      <c r="I1146">
        <v>16</v>
      </c>
      <c r="J1146">
        <v>0</v>
      </c>
      <c r="K1146">
        <v>16</v>
      </c>
      <c r="L1146">
        <v>6938.5</v>
      </c>
      <c r="M1146">
        <v>0</v>
      </c>
      <c r="N1146">
        <v>6938.5</v>
      </c>
      <c r="O1146">
        <v>4329.6000000000004</v>
      </c>
      <c r="P1146">
        <v>2608.9</v>
      </c>
      <c r="Q1146">
        <v>0.376</v>
      </c>
      <c r="R1146">
        <v>1</v>
      </c>
      <c r="S1146">
        <v>832.5</v>
      </c>
      <c r="T1146">
        <v>0</v>
      </c>
      <c r="U1146">
        <v>770.94</v>
      </c>
    </row>
    <row r="1147" spans="1:21" x14ac:dyDescent="0.35">
      <c r="A1147">
        <v>2025</v>
      </c>
      <c r="B1147">
        <v>3</v>
      </c>
      <c r="C1147">
        <v>1</v>
      </c>
      <c r="D1147" s="1">
        <v>45717</v>
      </c>
      <c r="E1147" s="4" t="s">
        <v>31</v>
      </c>
      <c r="F1147" s="4" t="s">
        <v>26</v>
      </c>
      <c r="G1147" s="4" t="s">
        <v>108</v>
      </c>
      <c r="H1147">
        <v>2</v>
      </c>
      <c r="I1147">
        <v>2</v>
      </c>
      <c r="J1147">
        <v>0</v>
      </c>
      <c r="K1147">
        <v>2</v>
      </c>
      <c r="L1147">
        <v>1996</v>
      </c>
      <c r="M1147">
        <v>0</v>
      </c>
      <c r="N1147">
        <v>1996</v>
      </c>
      <c r="O1147">
        <v>1197.5999999999999</v>
      </c>
      <c r="P1147">
        <v>798.4</v>
      </c>
      <c r="Q1147">
        <v>0.4</v>
      </c>
      <c r="R1147">
        <v>0</v>
      </c>
      <c r="S1147">
        <v>0</v>
      </c>
      <c r="T1147">
        <v>0</v>
      </c>
      <c r="U1147">
        <v>998</v>
      </c>
    </row>
    <row r="1148" spans="1:21" x14ac:dyDescent="0.35">
      <c r="A1148">
        <v>2025</v>
      </c>
      <c r="B1148">
        <v>3</v>
      </c>
      <c r="C1148">
        <v>1</v>
      </c>
      <c r="D1148" s="1">
        <v>45717</v>
      </c>
      <c r="E1148" s="4" t="s">
        <v>31</v>
      </c>
      <c r="F1148" s="4" t="s">
        <v>26</v>
      </c>
      <c r="G1148" s="4" t="s">
        <v>109</v>
      </c>
      <c r="H1148">
        <v>48</v>
      </c>
      <c r="I1148">
        <v>72</v>
      </c>
      <c r="J1148">
        <v>1</v>
      </c>
      <c r="K1148">
        <v>71</v>
      </c>
      <c r="L1148">
        <v>57641.11</v>
      </c>
      <c r="M1148">
        <v>789</v>
      </c>
      <c r="N1148">
        <v>56852.11</v>
      </c>
      <c r="O1148">
        <v>35404.800000000003</v>
      </c>
      <c r="P1148">
        <v>21447.31</v>
      </c>
      <c r="Q1148">
        <v>0.37719999999999998</v>
      </c>
      <c r="R1148">
        <v>6</v>
      </c>
      <c r="S1148">
        <v>9938.11</v>
      </c>
      <c r="T1148">
        <v>0</v>
      </c>
      <c r="U1148">
        <v>1184.42</v>
      </c>
    </row>
    <row r="1149" spans="1:21" x14ac:dyDescent="0.35">
      <c r="A1149">
        <v>2025</v>
      </c>
      <c r="B1149">
        <v>3</v>
      </c>
      <c r="C1149">
        <v>1</v>
      </c>
      <c r="D1149" s="1">
        <v>45717</v>
      </c>
      <c r="E1149" s="4" t="s">
        <v>30</v>
      </c>
      <c r="F1149" s="4" t="s">
        <v>28</v>
      </c>
      <c r="G1149" s="4" t="s">
        <v>107</v>
      </c>
      <c r="H1149">
        <v>124</v>
      </c>
      <c r="I1149">
        <v>176</v>
      </c>
      <c r="J1149">
        <v>0</v>
      </c>
      <c r="K1149">
        <v>176</v>
      </c>
      <c r="L1149">
        <v>77152.570000000007</v>
      </c>
      <c r="M1149">
        <v>0</v>
      </c>
      <c r="N1149">
        <v>77152.570000000007</v>
      </c>
      <c r="O1149">
        <v>27781.599999999999</v>
      </c>
      <c r="P1149">
        <v>49370.97</v>
      </c>
      <c r="Q1149">
        <v>0.63990000000000002</v>
      </c>
      <c r="R1149">
        <v>14</v>
      </c>
      <c r="S1149">
        <v>12208.57</v>
      </c>
      <c r="T1149">
        <v>0</v>
      </c>
      <c r="U1149">
        <v>622.20000000000005</v>
      </c>
    </row>
    <row r="1150" spans="1:21" x14ac:dyDescent="0.35">
      <c r="A1150">
        <v>2025</v>
      </c>
      <c r="B1150">
        <v>3</v>
      </c>
      <c r="C1150">
        <v>1</v>
      </c>
      <c r="D1150" s="1">
        <v>45717</v>
      </c>
      <c r="E1150" s="4" t="s">
        <v>30</v>
      </c>
      <c r="F1150" s="4" t="s">
        <v>28</v>
      </c>
      <c r="G1150" s="4" t="s">
        <v>108</v>
      </c>
      <c r="H1150">
        <v>37</v>
      </c>
      <c r="I1150">
        <v>52</v>
      </c>
      <c r="J1150">
        <v>0</v>
      </c>
      <c r="K1150">
        <v>52</v>
      </c>
      <c r="L1150">
        <v>30725.4</v>
      </c>
      <c r="M1150">
        <v>0</v>
      </c>
      <c r="N1150">
        <v>30725.4</v>
      </c>
      <c r="O1150">
        <v>11193</v>
      </c>
      <c r="P1150">
        <v>19532.400000000001</v>
      </c>
      <c r="Q1150">
        <v>0.63570000000000004</v>
      </c>
      <c r="R1150">
        <v>6</v>
      </c>
      <c r="S1150">
        <v>5510.4</v>
      </c>
      <c r="T1150">
        <v>0</v>
      </c>
      <c r="U1150">
        <v>830.42</v>
      </c>
    </row>
    <row r="1151" spans="1:21" x14ac:dyDescent="0.35">
      <c r="A1151">
        <v>2025</v>
      </c>
      <c r="B1151">
        <v>3</v>
      </c>
      <c r="C1151">
        <v>1</v>
      </c>
      <c r="D1151" s="1">
        <v>45717</v>
      </c>
      <c r="E1151" s="4" t="s">
        <v>30</v>
      </c>
      <c r="F1151" s="4" t="s">
        <v>28</v>
      </c>
      <c r="G1151" s="4" t="s">
        <v>109</v>
      </c>
      <c r="H1151">
        <v>760</v>
      </c>
      <c r="I1151">
        <v>1169</v>
      </c>
      <c r="J1151">
        <v>0</v>
      </c>
      <c r="K1151">
        <v>1169</v>
      </c>
      <c r="L1151">
        <v>470947.06</v>
      </c>
      <c r="M1151">
        <v>0</v>
      </c>
      <c r="N1151">
        <v>470947.06</v>
      </c>
      <c r="O1151">
        <v>170210.25</v>
      </c>
      <c r="P1151">
        <v>300736.81</v>
      </c>
      <c r="Q1151">
        <v>0.63859999999999995</v>
      </c>
      <c r="R1151">
        <v>80</v>
      </c>
      <c r="S1151">
        <v>65552.92</v>
      </c>
      <c r="T1151">
        <v>0</v>
      </c>
      <c r="U1151">
        <v>619.66999999999996</v>
      </c>
    </row>
    <row r="1152" spans="1:21" x14ac:dyDescent="0.35">
      <c r="A1152">
        <v>2025</v>
      </c>
      <c r="B1152">
        <v>3</v>
      </c>
      <c r="C1152">
        <v>1</v>
      </c>
      <c r="D1152" s="1">
        <v>45717</v>
      </c>
      <c r="E1152" s="4" t="s">
        <v>30</v>
      </c>
      <c r="F1152" s="4" t="s">
        <v>24</v>
      </c>
      <c r="G1152" s="4" t="s">
        <v>107</v>
      </c>
      <c r="H1152">
        <v>81</v>
      </c>
      <c r="I1152">
        <v>119</v>
      </c>
      <c r="J1152">
        <v>0</v>
      </c>
      <c r="K1152">
        <v>119</v>
      </c>
      <c r="L1152">
        <v>227122.82</v>
      </c>
      <c r="M1152">
        <v>0</v>
      </c>
      <c r="N1152">
        <v>227122.82</v>
      </c>
      <c r="O1152">
        <v>130688.25</v>
      </c>
      <c r="P1152">
        <v>96434.57</v>
      </c>
      <c r="Q1152">
        <v>0.42459999999999998</v>
      </c>
      <c r="R1152">
        <v>13</v>
      </c>
      <c r="S1152">
        <v>44875.82</v>
      </c>
      <c r="T1152">
        <v>0</v>
      </c>
      <c r="U1152">
        <v>2803.99</v>
      </c>
    </row>
    <row r="1153" spans="1:21" x14ac:dyDescent="0.35">
      <c r="A1153">
        <v>2025</v>
      </c>
      <c r="B1153">
        <v>3</v>
      </c>
      <c r="C1153">
        <v>1</v>
      </c>
      <c r="D1153" s="1">
        <v>45717</v>
      </c>
      <c r="E1153" s="4" t="s">
        <v>30</v>
      </c>
      <c r="F1153" s="4" t="s">
        <v>24</v>
      </c>
      <c r="G1153" s="4" t="s">
        <v>108</v>
      </c>
      <c r="H1153">
        <v>11</v>
      </c>
      <c r="I1153">
        <v>18</v>
      </c>
      <c r="J1153">
        <v>0</v>
      </c>
      <c r="K1153">
        <v>18</v>
      </c>
      <c r="L1153">
        <v>41916.6</v>
      </c>
      <c r="M1153">
        <v>0</v>
      </c>
      <c r="N1153">
        <v>41916.6</v>
      </c>
      <c r="O1153">
        <v>23849.1</v>
      </c>
      <c r="P1153">
        <v>18067.5</v>
      </c>
      <c r="Q1153">
        <v>0.43099999999999999</v>
      </c>
      <c r="R1153">
        <v>1</v>
      </c>
      <c r="S1153">
        <v>3372.6</v>
      </c>
      <c r="T1153">
        <v>0</v>
      </c>
      <c r="U1153">
        <v>3810.6</v>
      </c>
    </row>
    <row r="1154" spans="1:21" x14ac:dyDescent="0.35">
      <c r="A1154">
        <v>2025</v>
      </c>
      <c r="B1154">
        <v>3</v>
      </c>
      <c r="C1154">
        <v>1</v>
      </c>
      <c r="D1154" s="1">
        <v>45717</v>
      </c>
      <c r="E1154" s="4" t="s">
        <v>30</v>
      </c>
      <c r="F1154" s="4" t="s">
        <v>24</v>
      </c>
      <c r="G1154" s="4" t="s">
        <v>109</v>
      </c>
      <c r="H1154">
        <v>228</v>
      </c>
      <c r="I1154">
        <v>346</v>
      </c>
      <c r="J1154">
        <v>12</v>
      </c>
      <c r="K1154">
        <v>334</v>
      </c>
      <c r="L1154">
        <v>605837.30000000005</v>
      </c>
      <c r="M1154">
        <v>19992.53</v>
      </c>
      <c r="N1154">
        <v>585844.77</v>
      </c>
      <c r="O1154">
        <v>333230.15000000002</v>
      </c>
      <c r="P1154">
        <v>252614.62</v>
      </c>
      <c r="Q1154">
        <v>0.43120000000000003</v>
      </c>
      <c r="R1154">
        <v>27</v>
      </c>
      <c r="S1154">
        <v>77226.12</v>
      </c>
      <c r="T1154">
        <v>0</v>
      </c>
      <c r="U1154">
        <v>2569.4899999999998</v>
      </c>
    </row>
    <row r="1155" spans="1:21" x14ac:dyDescent="0.35">
      <c r="A1155">
        <v>2025</v>
      </c>
      <c r="B1155">
        <v>3</v>
      </c>
      <c r="C1155">
        <v>1</v>
      </c>
      <c r="D1155" s="1">
        <v>45717</v>
      </c>
      <c r="E1155" s="4" t="s">
        <v>30</v>
      </c>
      <c r="F1155" s="4" t="s">
        <v>26</v>
      </c>
      <c r="G1155" s="4" t="s">
        <v>107</v>
      </c>
      <c r="H1155">
        <v>2</v>
      </c>
      <c r="I1155">
        <v>2</v>
      </c>
      <c r="J1155">
        <v>0</v>
      </c>
      <c r="K1155">
        <v>2</v>
      </c>
      <c r="L1155">
        <v>1849</v>
      </c>
      <c r="M1155">
        <v>0</v>
      </c>
      <c r="N1155">
        <v>1849</v>
      </c>
      <c r="O1155">
        <v>1109.4000000000001</v>
      </c>
      <c r="P1155">
        <v>739.6</v>
      </c>
      <c r="Q1155">
        <v>0.4</v>
      </c>
      <c r="R1155">
        <v>0</v>
      </c>
      <c r="S1155">
        <v>0</v>
      </c>
      <c r="T1155">
        <v>0</v>
      </c>
      <c r="U1155">
        <v>924.5</v>
      </c>
    </row>
    <row r="1156" spans="1:21" x14ac:dyDescent="0.35">
      <c r="A1156">
        <v>2025</v>
      </c>
      <c r="B1156">
        <v>3</v>
      </c>
      <c r="C1156">
        <v>1</v>
      </c>
      <c r="D1156" s="1">
        <v>45717</v>
      </c>
      <c r="E1156" s="4" t="s">
        <v>30</v>
      </c>
      <c r="F1156" s="4" t="s">
        <v>26</v>
      </c>
      <c r="G1156" s="4" t="s">
        <v>109</v>
      </c>
      <c r="H1156">
        <v>65</v>
      </c>
      <c r="I1156">
        <v>98</v>
      </c>
      <c r="J1156">
        <v>3</v>
      </c>
      <c r="K1156">
        <v>95</v>
      </c>
      <c r="L1156">
        <v>75715.27</v>
      </c>
      <c r="M1156">
        <v>2370</v>
      </c>
      <c r="N1156">
        <v>73345.27</v>
      </c>
      <c r="O1156">
        <v>45598.8</v>
      </c>
      <c r="P1156">
        <v>27746.47</v>
      </c>
      <c r="Q1156">
        <v>0.37830000000000003</v>
      </c>
      <c r="R1156">
        <v>8</v>
      </c>
      <c r="S1156">
        <v>11800.27</v>
      </c>
      <c r="T1156">
        <v>0</v>
      </c>
      <c r="U1156">
        <v>1128.3900000000001</v>
      </c>
    </row>
    <row r="1157" spans="1:21" x14ac:dyDescent="0.35">
      <c r="A1157">
        <v>2025</v>
      </c>
      <c r="B1157">
        <v>3</v>
      </c>
      <c r="C1157">
        <v>1</v>
      </c>
      <c r="D1157" s="1">
        <v>45717</v>
      </c>
      <c r="E1157" s="4" t="s">
        <v>78</v>
      </c>
      <c r="F1157" s="4" t="s">
        <v>78</v>
      </c>
      <c r="G1157" s="4" t="s">
        <v>110</v>
      </c>
      <c r="H1157">
        <v>236</v>
      </c>
      <c r="I1157">
        <v>340</v>
      </c>
      <c r="J1157">
        <v>0</v>
      </c>
      <c r="K1157">
        <v>340</v>
      </c>
      <c r="L1157">
        <v>735357</v>
      </c>
      <c r="M1157">
        <v>0</v>
      </c>
      <c r="N1157">
        <v>735357</v>
      </c>
      <c r="O1157">
        <v>110303.55</v>
      </c>
      <c r="P1157">
        <v>625053.44999999995</v>
      </c>
      <c r="Q1157">
        <v>0.85</v>
      </c>
      <c r="R1157">
        <v>1</v>
      </c>
      <c r="S1157">
        <v>7980</v>
      </c>
      <c r="T1157">
        <v>0</v>
      </c>
      <c r="U1157">
        <v>3115.92</v>
      </c>
    </row>
    <row r="1158" spans="1:21" x14ac:dyDescent="0.35">
      <c r="A1158">
        <v>2025</v>
      </c>
      <c r="B1158">
        <v>4</v>
      </c>
      <c r="C1158">
        <v>2</v>
      </c>
      <c r="D1158" s="1">
        <v>45748</v>
      </c>
      <c r="E1158" s="4" t="s">
        <v>33</v>
      </c>
      <c r="F1158" s="4" t="s">
        <v>28</v>
      </c>
      <c r="G1158" s="4" t="s">
        <v>107</v>
      </c>
      <c r="H1158">
        <v>115</v>
      </c>
      <c r="I1158">
        <v>173</v>
      </c>
      <c r="J1158">
        <v>0</v>
      </c>
      <c r="K1158">
        <v>173</v>
      </c>
      <c r="L1158">
        <v>53547.42</v>
      </c>
      <c r="M1158">
        <v>0</v>
      </c>
      <c r="N1158">
        <v>53547.42</v>
      </c>
      <c r="O1158">
        <v>19870.2</v>
      </c>
      <c r="P1158">
        <v>33677.22</v>
      </c>
      <c r="Q1158">
        <v>0.62890000000000001</v>
      </c>
      <c r="R1158">
        <v>22</v>
      </c>
      <c r="S1158">
        <v>11616.42</v>
      </c>
      <c r="T1158">
        <v>0</v>
      </c>
      <c r="U1158">
        <v>465.63</v>
      </c>
    </row>
    <row r="1159" spans="1:21" x14ac:dyDescent="0.35">
      <c r="A1159">
        <v>2025</v>
      </c>
      <c r="B1159">
        <v>4</v>
      </c>
      <c r="C1159">
        <v>2</v>
      </c>
      <c r="D1159" s="1">
        <v>45748</v>
      </c>
      <c r="E1159" s="4" t="s">
        <v>33</v>
      </c>
      <c r="F1159" s="4" t="s">
        <v>28</v>
      </c>
      <c r="G1159" s="4" t="s">
        <v>108</v>
      </c>
      <c r="H1159">
        <v>38</v>
      </c>
      <c r="I1159">
        <v>59</v>
      </c>
      <c r="J1159">
        <v>0</v>
      </c>
      <c r="K1159">
        <v>59</v>
      </c>
      <c r="L1159">
        <v>40519.919999999998</v>
      </c>
      <c r="M1159">
        <v>0</v>
      </c>
      <c r="N1159">
        <v>40519.919999999998</v>
      </c>
      <c r="O1159">
        <v>14702.8</v>
      </c>
      <c r="P1159">
        <v>25817.119999999999</v>
      </c>
      <c r="Q1159">
        <v>0.6371</v>
      </c>
      <c r="R1159">
        <v>6</v>
      </c>
      <c r="S1159">
        <v>7767.92</v>
      </c>
      <c r="T1159">
        <v>0</v>
      </c>
      <c r="U1159">
        <v>1066.31</v>
      </c>
    </row>
    <row r="1160" spans="1:21" x14ac:dyDescent="0.35">
      <c r="A1160">
        <v>2025</v>
      </c>
      <c r="B1160">
        <v>4</v>
      </c>
      <c r="C1160">
        <v>2</v>
      </c>
      <c r="D1160" s="1">
        <v>45748</v>
      </c>
      <c r="E1160" s="4" t="s">
        <v>33</v>
      </c>
      <c r="F1160" s="4" t="s">
        <v>28</v>
      </c>
      <c r="G1160" s="4" t="s">
        <v>109</v>
      </c>
      <c r="H1160">
        <v>654</v>
      </c>
      <c r="I1160">
        <v>1008</v>
      </c>
      <c r="J1160">
        <v>0</v>
      </c>
      <c r="K1160">
        <v>1008</v>
      </c>
      <c r="L1160">
        <v>515247.04</v>
      </c>
      <c r="M1160">
        <v>0</v>
      </c>
      <c r="N1160">
        <v>515247.04</v>
      </c>
      <c r="O1160">
        <v>187785.5</v>
      </c>
      <c r="P1160">
        <v>327461.53999999998</v>
      </c>
      <c r="Q1160">
        <v>0.63549999999999995</v>
      </c>
      <c r="R1160">
        <v>81</v>
      </c>
      <c r="S1160">
        <v>77261.179999999993</v>
      </c>
      <c r="T1160">
        <v>0</v>
      </c>
      <c r="U1160">
        <v>787.84</v>
      </c>
    </row>
    <row r="1161" spans="1:21" x14ac:dyDescent="0.35">
      <c r="A1161">
        <v>2025</v>
      </c>
      <c r="B1161">
        <v>4</v>
      </c>
      <c r="C1161">
        <v>2</v>
      </c>
      <c r="D1161" s="1">
        <v>45748</v>
      </c>
      <c r="E1161" s="4" t="s">
        <v>33</v>
      </c>
      <c r="F1161" s="4" t="s">
        <v>24</v>
      </c>
      <c r="G1161" s="4" t="s">
        <v>107</v>
      </c>
      <c r="H1161">
        <v>15</v>
      </c>
      <c r="I1161">
        <v>22</v>
      </c>
      <c r="J1161">
        <v>0</v>
      </c>
      <c r="K1161">
        <v>22</v>
      </c>
      <c r="L1161">
        <v>35668.5</v>
      </c>
      <c r="M1161">
        <v>0</v>
      </c>
      <c r="N1161">
        <v>35668.5</v>
      </c>
      <c r="O1161">
        <v>20001.3</v>
      </c>
      <c r="P1161">
        <v>15667.2</v>
      </c>
      <c r="Q1161">
        <v>0.43919999999999998</v>
      </c>
      <c r="R1161">
        <v>1</v>
      </c>
      <c r="S1161">
        <v>2092.5</v>
      </c>
      <c r="T1161">
        <v>0</v>
      </c>
      <c r="U1161">
        <v>2377.9</v>
      </c>
    </row>
    <row r="1162" spans="1:21" x14ac:dyDescent="0.35">
      <c r="A1162">
        <v>2025</v>
      </c>
      <c r="B1162">
        <v>4</v>
      </c>
      <c r="C1162">
        <v>2</v>
      </c>
      <c r="D1162" s="1">
        <v>45748</v>
      </c>
      <c r="E1162" s="4" t="s">
        <v>33</v>
      </c>
      <c r="F1162" s="4" t="s">
        <v>24</v>
      </c>
      <c r="G1162" s="4" t="s">
        <v>109</v>
      </c>
      <c r="H1162">
        <v>150</v>
      </c>
      <c r="I1162">
        <v>226</v>
      </c>
      <c r="J1162">
        <v>5</v>
      </c>
      <c r="K1162">
        <v>221</v>
      </c>
      <c r="L1162">
        <v>330123.99</v>
      </c>
      <c r="M1162">
        <v>6023</v>
      </c>
      <c r="N1162">
        <v>324100.99</v>
      </c>
      <c r="O1162">
        <v>186642.5</v>
      </c>
      <c r="P1162">
        <v>137458.49</v>
      </c>
      <c r="Q1162">
        <v>0.42409999999999998</v>
      </c>
      <c r="R1162">
        <v>22</v>
      </c>
      <c r="S1162">
        <v>51359.48</v>
      </c>
      <c r="T1162">
        <v>0</v>
      </c>
      <c r="U1162">
        <v>2160.67</v>
      </c>
    </row>
    <row r="1163" spans="1:21" x14ac:dyDescent="0.35">
      <c r="A1163">
        <v>2025</v>
      </c>
      <c r="B1163">
        <v>4</v>
      </c>
      <c r="C1163">
        <v>2</v>
      </c>
      <c r="D1163" s="1">
        <v>45748</v>
      </c>
      <c r="E1163" s="4" t="s">
        <v>33</v>
      </c>
      <c r="F1163" s="4" t="s">
        <v>26</v>
      </c>
      <c r="G1163" s="4" t="s">
        <v>107</v>
      </c>
      <c r="H1163">
        <v>2</v>
      </c>
      <c r="I1163">
        <v>2</v>
      </c>
      <c r="J1163">
        <v>0</v>
      </c>
      <c r="K1163">
        <v>2</v>
      </c>
      <c r="L1163">
        <v>1169</v>
      </c>
      <c r="M1163">
        <v>0</v>
      </c>
      <c r="N1163">
        <v>1169</v>
      </c>
      <c r="O1163">
        <v>701.4</v>
      </c>
      <c r="P1163">
        <v>467.6</v>
      </c>
      <c r="Q1163">
        <v>0.4</v>
      </c>
      <c r="R1163">
        <v>0</v>
      </c>
      <c r="S1163">
        <v>0</v>
      </c>
      <c r="T1163">
        <v>0</v>
      </c>
      <c r="U1163">
        <v>584.5</v>
      </c>
    </row>
    <row r="1164" spans="1:21" x14ac:dyDescent="0.35">
      <c r="A1164">
        <v>2025</v>
      </c>
      <c r="B1164">
        <v>4</v>
      </c>
      <c r="C1164">
        <v>2</v>
      </c>
      <c r="D1164" s="1">
        <v>45748</v>
      </c>
      <c r="E1164" s="4" t="s">
        <v>33</v>
      </c>
      <c r="F1164" s="4" t="s">
        <v>26</v>
      </c>
      <c r="G1164" s="4" t="s">
        <v>108</v>
      </c>
      <c r="H1164">
        <v>6</v>
      </c>
      <c r="I1164">
        <v>14</v>
      </c>
      <c r="J1164">
        <v>0</v>
      </c>
      <c r="K1164">
        <v>14</v>
      </c>
      <c r="L1164">
        <v>9641.1</v>
      </c>
      <c r="M1164">
        <v>0</v>
      </c>
      <c r="N1164">
        <v>9641.1</v>
      </c>
      <c r="O1164">
        <v>6410.4</v>
      </c>
      <c r="P1164">
        <v>3230.7</v>
      </c>
      <c r="Q1164">
        <v>0.33510000000000001</v>
      </c>
      <c r="R1164">
        <v>2</v>
      </c>
      <c r="S1164">
        <v>4652.1000000000004</v>
      </c>
      <c r="T1164">
        <v>0</v>
      </c>
      <c r="U1164">
        <v>1606.85</v>
      </c>
    </row>
    <row r="1165" spans="1:21" x14ac:dyDescent="0.35">
      <c r="A1165">
        <v>2025</v>
      </c>
      <c r="B1165">
        <v>4</v>
      </c>
      <c r="C1165">
        <v>2</v>
      </c>
      <c r="D1165" s="1">
        <v>45748</v>
      </c>
      <c r="E1165" s="4" t="s">
        <v>33</v>
      </c>
      <c r="F1165" s="4" t="s">
        <v>26</v>
      </c>
      <c r="G1165" s="4" t="s">
        <v>109</v>
      </c>
      <c r="H1165">
        <v>37</v>
      </c>
      <c r="I1165">
        <v>56</v>
      </c>
      <c r="J1165">
        <v>1</v>
      </c>
      <c r="K1165">
        <v>55</v>
      </c>
      <c r="L1165">
        <v>40237.65</v>
      </c>
      <c r="M1165">
        <v>859</v>
      </c>
      <c r="N1165">
        <v>39378.65</v>
      </c>
      <c r="O1165">
        <v>24097.8</v>
      </c>
      <c r="P1165">
        <v>15280.85</v>
      </c>
      <c r="Q1165">
        <v>0.38800000000000001</v>
      </c>
      <c r="R1165">
        <v>3</v>
      </c>
      <c r="S1165">
        <v>3995.65</v>
      </c>
      <c r="T1165">
        <v>0</v>
      </c>
      <c r="U1165">
        <v>1064.29</v>
      </c>
    </row>
    <row r="1166" spans="1:21" x14ac:dyDescent="0.35">
      <c r="A1166">
        <v>2025</v>
      </c>
      <c r="B1166">
        <v>4</v>
      </c>
      <c r="C1166">
        <v>2</v>
      </c>
      <c r="D1166" s="1">
        <v>45748</v>
      </c>
      <c r="E1166" s="4" t="s">
        <v>32</v>
      </c>
      <c r="F1166" s="4" t="s">
        <v>28</v>
      </c>
      <c r="G1166" s="4" t="s">
        <v>107</v>
      </c>
      <c r="H1166">
        <v>19</v>
      </c>
      <c r="I1166">
        <v>27</v>
      </c>
      <c r="J1166">
        <v>0</v>
      </c>
      <c r="K1166">
        <v>27</v>
      </c>
      <c r="L1166">
        <v>11813.08</v>
      </c>
      <c r="M1166">
        <v>0</v>
      </c>
      <c r="N1166">
        <v>11813.08</v>
      </c>
      <c r="O1166">
        <v>4290.3</v>
      </c>
      <c r="P1166">
        <v>7522.78</v>
      </c>
      <c r="Q1166">
        <v>0.63680000000000003</v>
      </c>
      <c r="R1166">
        <v>3</v>
      </c>
      <c r="S1166">
        <v>1825.08</v>
      </c>
      <c r="T1166">
        <v>0</v>
      </c>
      <c r="U1166">
        <v>621.74</v>
      </c>
    </row>
    <row r="1167" spans="1:21" x14ac:dyDescent="0.35">
      <c r="A1167">
        <v>2025</v>
      </c>
      <c r="B1167">
        <v>4</v>
      </c>
      <c r="C1167">
        <v>2</v>
      </c>
      <c r="D1167" s="1">
        <v>45748</v>
      </c>
      <c r="E1167" s="4" t="s">
        <v>32</v>
      </c>
      <c r="F1167" s="4" t="s">
        <v>28</v>
      </c>
      <c r="G1167" s="4" t="s">
        <v>109</v>
      </c>
      <c r="H1167">
        <v>418</v>
      </c>
      <c r="I1167">
        <v>677</v>
      </c>
      <c r="J1167">
        <v>0</v>
      </c>
      <c r="K1167">
        <v>677</v>
      </c>
      <c r="L1167">
        <v>235973.43</v>
      </c>
      <c r="M1167">
        <v>0</v>
      </c>
      <c r="N1167">
        <v>235973.43</v>
      </c>
      <c r="O1167">
        <v>85564.85</v>
      </c>
      <c r="P1167">
        <v>150408.57999999999</v>
      </c>
      <c r="Q1167">
        <v>0.63739999999999997</v>
      </c>
      <c r="R1167">
        <v>54</v>
      </c>
      <c r="S1167">
        <v>38200.559999999998</v>
      </c>
      <c r="T1167">
        <v>0</v>
      </c>
      <c r="U1167">
        <v>564.53</v>
      </c>
    </row>
    <row r="1168" spans="1:21" x14ac:dyDescent="0.35">
      <c r="A1168">
        <v>2025</v>
      </c>
      <c r="B1168">
        <v>4</v>
      </c>
      <c r="C1168">
        <v>2</v>
      </c>
      <c r="D1168" s="1">
        <v>45748</v>
      </c>
      <c r="E1168" s="4" t="s">
        <v>32</v>
      </c>
      <c r="F1168" s="4" t="s">
        <v>35</v>
      </c>
      <c r="G1168" s="4" t="s">
        <v>109</v>
      </c>
      <c r="H1168">
        <v>1</v>
      </c>
      <c r="I1168">
        <v>2</v>
      </c>
      <c r="J1168">
        <v>0</v>
      </c>
      <c r="K1168">
        <v>2</v>
      </c>
      <c r="L1168">
        <v>778</v>
      </c>
      <c r="M1168">
        <v>0</v>
      </c>
      <c r="N1168">
        <v>778</v>
      </c>
      <c r="O1168">
        <v>155.6</v>
      </c>
      <c r="P1168">
        <v>622.4</v>
      </c>
      <c r="Q1168">
        <v>0.8</v>
      </c>
      <c r="R1168">
        <v>0</v>
      </c>
      <c r="S1168">
        <v>0</v>
      </c>
      <c r="T1168">
        <v>0</v>
      </c>
      <c r="U1168">
        <v>778</v>
      </c>
    </row>
    <row r="1169" spans="1:21" x14ac:dyDescent="0.35">
      <c r="A1169">
        <v>2025</v>
      </c>
      <c r="B1169">
        <v>4</v>
      </c>
      <c r="C1169">
        <v>2</v>
      </c>
      <c r="D1169" s="1">
        <v>45748</v>
      </c>
      <c r="E1169" s="4" t="s">
        <v>32</v>
      </c>
      <c r="F1169" s="4" t="s">
        <v>24</v>
      </c>
      <c r="G1169" s="4" t="s">
        <v>107</v>
      </c>
      <c r="H1169">
        <v>51</v>
      </c>
      <c r="I1169">
        <v>74</v>
      </c>
      <c r="J1169">
        <v>0</v>
      </c>
      <c r="K1169">
        <v>74</v>
      </c>
      <c r="L1169">
        <v>103932.78</v>
      </c>
      <c r="M1169">
        <v>0</v>
      </c>
      <c r="N1169">
        <v>103932.78</v>
      </c>
      <c r="O1169">
        <v>60259.65</v>
      </c>
      <c r="P1169">
        <v>43673.13</v>
      </c>
      <c r="Q1169">
        <v>0.42020000000000002</v>
      </c>
      <c r="R1169">
        <v>8</v>
      </c>
      <c r="S1169">
        <v>23241.78</v>
      </c>
      <c r="T1169">
        <v>0</v>
      </c>
      <c r="U1169">
        <v>2037.9</v>
      </c>
    </row>
    <row r="1170" spans="1:21" x14ac:dyDescent="0.35">
      <c r="A1170">
        <v>2025</v>
      </c>
      <c r="B1170">
        <v>4</v>
      </c>
      <c r="C1170">
        <v>2</v>
      </c>
      <c r="D1170" s="1">
        <v>45748</v>
      </c>
      <c r="E1170" s="4" t="s">
        <v>32</v>
      </c>
      <c r="F1170" s="4" t="s">
        <v>24</v>
      </c>
      <c r="G1170" s="4" t="s">
        <v>109</v>
      </c>
      <c r="H1170">
        <v>177</v>
      </c>
      <c r="I1170">
        <v>267</v>
      </c>
      <c r="J1170">
        <v>13</v>
      </c>
      <c r="K1170">
        <v>254</v>
      </c>
      <c r="L1170">
        <v>339830.16</v>
      </c>
      <c r="M1170">
        <v>18115.52</v>
      </c>
      <c r="N1170">
        <v>321714.64</v>
      </c>
      <c r="O1170">
        <v>184500.8</v>
      </c>
      <c r="P1170">
        <v>137213.84</v>
      </c>
      <c r="Q1170">
        <v>0.42649999999999999</v>
      </c>
      <c r="R1170">
        <v>20</v>
      </c>
      <c r="S1170">
        <v>51349.599999999999</v>
      </c>
      <c r="T1170">
        <v>0</v>
      </c>
      <c r="U1170">
        <v>1817.6</v>
      </c>
    </row>
    <row r="1171" spans="1:21" x14ac:dyDescent="0.35">
      <c r="A1171">
        <v>2025</v>
      </c>
      <c r="B1171">
        <v>4</v>
      </c>
      <c r="C1171">
        <v>2</v>
      </c>
      <c r="D1171" s="1">
        <v>45748</v>
      </c>
      <c r="E1171" s="4" t="s">
        <v>32</v>
      </c>
      <c r="F1171" s="4" t="s">
        <v>26</v>
      </c>
      <c r="G1171" s="4" t="s">
        <v>107</v>
      </c>
      <c r="H1171">
        <v>1</v>
      </c>
      <c r="I1171">
        <v>3</v>
      </c>
      <c r="J1171">
        <v>0</v>
      </c>
      <c r="K1171">
        <v>3</v>
      </c>
      <c r="L1171">
        <v>1704</v>
      </c>
      <c r="M1171">
        <v>0</v>
      </c>
      <c r="N1171">
        <v>1704</v>
      </c>
      <c r="O1171">
        <v>1022.4</v>
      </c>
      <c r="P1171">
        <v>681.6</v>
      </c>
      <c r="Q1171">
        <v>0.4</v>
      </c>
      <c r="R1171">
        <v>0</v>
      </c>
      <c r="S1171">
        <v>0</v>
      </c>
      <c r="T1171">
        <v>0</v>
      </c>
      <c r="U1171">
        <v>1704</v>
      </c>
    </row>
    <row r="1172" spans="1:21" x14ac:dyDescent="0.35">
      <c r="A1172">
        <v>2025</v>
      </c>
      <c r="B1172">
        <v>4</v>
      </c>
      <c r="C1172">
        <v>2</v>
      </c>
      <c r="D1172" s="1">
        <v>45748</v>
      </c>
      <c r="E1172" s="4" t="s">
        <v>32</v>
      </c>
      <c r="F1172" s="4" t="s">
        <v>26</v>
      </c>
      <c r="G1172" s="4" t="s">
        <v>108</v>
      </c>
      <c r="H1172">
        <v>9</v>
      </c>
      <c r="I1172">
        <v>12</v>
      </c>
      <c r="J1172">
        <v>0</v>
      </c>
      <c r="K1172">
        <v>12</v>
      </c>
      <c r="L1172">
        <v>3676.05</v>
      </c>
      <c r="M1172">
        <v>0</v>
      </c>
      <c r="N1172">
        <v>3676.05</v>
      </c>
      <c r="O1172">
        <v>2268</v>
      </c>
      <c r="P1172">
        <v>1408.05</v>
      </c>
      <c r="Q1172">
        <v>0.38300000000000001</v>
      </c>
      <c r="R1172">
        <v>2</v>
      </c>
      <c r="S1172">
        <v>841.05</v>
      </c>
      <c r="T1172">
        <v>0</v>
      </c>
      <c r="U1172">
        <v>408.45</v>
      </c>
    </row>
    <row r="1173" spans="1:21" x14ac:dyDescent="0.35">
      <c r="A1173">
        <v>2025</v>
      </c>
      <c r="B1173">
        <v>4</v>
      </c>
      <c r="C1173">
        <v>2</v>
      </c>
      <c r="D1173" s="1">
        <v>45748</v>
      </c>
      <c r="E1173" s="4" t="s">
        <v>32</v>
      </c>
      <c r="F1173" s="4" t="s">
        <v>26</v>
      </c>
      <c r="G1173" s="4" t="s">
        <v>109</v>
      </c>
      <c r="H1173">
        <v>42</v>
      </c>
      <c r="I1173">
        <v>55</v>
      </c>
      <c r="J1173">
        <v>0</v>
      </c>
      <c r="K1173">
        <v>55</v>
      </c>
      <c r="L1173">
        <v>41504</v>
      </c>
      <c r="M1173">
        <v>0</v>
      </c>
      <c r="N1173">
        <v>41504</v>
      </c>
      <c r="O1173">
        <v>25992.6</v>
      </c>
      <c r="P1173">
        <v>15511.4</v>
      </c>
      <c r="Q1173">
        <v>0.37369999999999998</v>
      </c>
      <c r="R1173">
        <v>6</v>
      </c>
      <c r="S1173">
        <v>5885</v>
      </c>
      <c r="T1173">
        <v>0</v>
      </c>
      <c r="U1173">
        <v>988.19</v>
      </c>
    </row>
    <row r="1174" spans="1:21" x14ac:dyDescent="0.35">
      <c r="A1174">
        <v>2025</v>
      </c>
      <c r="B1174">
        <v>4</v>
      </c>
      <c r="C1174">
        <v>2</v>
      </c>
      <c r="D1174" s="1">
        <v>45748</v>
      </c>
      <c r="E1174" s="4" t="s">
        <v>27</v>
      </c>
      <c r="F1174" s="4" t="s">
        <v>28</v>
      </c>
      <c r="G1174" s="4" t="s">
        <v>107</v>
      </c>
      <c r="H1174">
        <v>251</v>
      </c>
      <c r="I1174">
        <v>376</v>
      </c>
      <c r="J1174">
        <v>0</v>
      </c>
      <c r="K1174">
        <v>376</v>
      </c>
      <c r="L1174">
        <v>166099.69</v>
      </c>
      <c r="M1174">
        <v>0</v>
      </c>
      <c r="N1174">
        <v>166099.69</v>
      </c>
      <c r="O1174">
        <v>60355.75</v>
      </c>
      <c r="P1174">
        <v>105743.94</v>
      </c>
      <c r="Q1174">
        <v>0.63660000000000005</v>
      </c>
      <c r="R1174">
        <v>29</v>
      </c>
      <c r="S1174">
        <v>23684.69</v>
      </c>
      <c r="T1174">
        <v>0</v>
      </c>
      <c r="U1174">
        <v>661.75</v>
      </c>
    </row>
    <row r="1175" spans="1:21" x14ac:dyDescent="0.35">
      <c r="A1175">
        <v>2025</v>
      </c>
      <c r="B1175">
        <v>4</v>
      </c>
      <c r="C1175">
        <v>2</v>
      </c>
      <c r="D1175" s="1">
        <v>45748</v>
      </c>
      <c r="E1175" s="4" t="s">
        <v>27</v>
      </c>
      <c r="F1175" s="4" t="s">
        <v>28</v>
      </c>
      <c r="G1175" s="4" t="s">
        <v>109</v>
      </c>
      <c r="H1175">
        <v>734</v>
      </c>
      <c r="I1175">
        <v>1098</v>
      </c>
      <c r="J1175">
        <v>0</v>
      </c>
      <c r="K1175">
        <v>1098</v>
      </c>
      <c r="L1175">
        <v>593602.56999999995</v>
      </c>
      <c r="M1175">
        <v>0</v>
      </c>
      <c r="N1175">
        <v>593602.56999999995</v>
      </c>
      <c r="O1175">
        <v>213965.15</v>
      </c>
      <c r="P1175">
        <v>379637.42</v>
      </c>
      <c r="Q1175">
        <v>0.63949999999999996</v>
      </c>
      <c r="R1175">
        <v>88</v>
      </c>
      <c r="S1175">
        <v>78389.649999999994</v>
      </c>
      <c r="T1175">
        <v>0</v>
      </c>
      <c r="U1175">
        <v>808.72</v>
      </c>
    </row>
    <row r="1176" spans="1:21" x14ac:dyDescent="0.35">
      <c r="A1176">
        <v>2025</v>
      </c>
      <c r="B1176">
        <v>4</v>
      </c>
      <c r="C1176">
        <v>2</v>
      </c>
      <c r="D1176" s="1">
        <v>45748</v>
      </c>
      <c r="E1176" s="4" t="s">
        <v>27</v>
      </c>
      <c r="F1176" s="4" t="s">
        <v>24</v>
      </c>
      <c r="G1176" s="4" t="s">
        <v>107</v>
      </c>
      <c r="H1176">
        <v>45</v>
      </c>
      <c r="I1176">
        <v>71</v>
      </c>
      <c r="J1176">
        <v>2</v>
      </c>
      <c r="K1176">
        <v>69</v>
      </c>
      <c r="L1176">
        <v>128199.44</v>
      </c>
      <c r="M1176">
        <v>3997</v>
      </c>
      <c r="N1176">
        <v>124202.44</v>
      </c>
      <c r="O1176">
        <v>68790.7</v>
      </c>
      <c r="P1176">
        <v>55411.74</v>
      </c>
      <c r="Q1176">
        <v>0.4461</v>
      </c>
      <c r="R1176">
        <v>1</v>
      </c>
      <c r="S1176">
        <v>2356.44</v>
      </c>
      <c r="T1176">
        <v>0</v>
      </c>
      <c r="U1176">
        <v>2760.05</v>
      </c>
    </row>
    <row r="1177" spans="1:21" x14ac:dyDescent="0.35">
      <c r="A1177">
        <v>2025</v>
      </c>
      <c r="B1177">
        <v>4</v>
      </c>
      <c r="C1177">
        <v>2</v>
      </c>
      <c r="D1177" s="1">
        <v>45748</v>
      </c>
      <c r="E1177" s="4" t="s">
        <v>27</v>
      </c>
      <c r="F1177" s="4" t="s">
        <v>24</v>
      </c>
      <c r="G1177" s="4" t="s">
        <v>109</v>
      </c>
      <c r="H1177">
        <v>239</v>
      </c>
      <c r="I1177">
        <v>364</v>
      </c>
      <c r="J1177">
        <v>6</v>
      </c>
      <c r="K1177">
        <v>358</v>
      </c>
      <c r="L1177">
        <v>579213.43000000005</v>
      </c>
      <c r="M1177">
        <v>9180</v>
      </c>
      <c r="N1177">
        <v>570033.43000000005</v>
      </c>
      <c r="O1177">
        <v>323252.05</v>
      </c>
      <c r="P1177">
        <v>246781.38</v>
      </c>
      <c r="Q1177">
        <v>0.43290000000000001</v>
      </c>
      <c r="R1177">
        <v>29</v>
      </c>
      <c r="S1177">
        <v>80323.960000000006</v>
      </c>
      <c r="T1177">
        <v>0</v>
      </c>
      <c r="U1177">
        <v>2385.08</v>
      </c>
    </row>
    <row r="1178" spans="1:21" x14ac:dyDescent="0.35">
      <c r="A1178">
        <v>2025</v>
      </c>
      <c r="B1178">
        <v>4</v>
      </c>
      <c r="C1178">
        <v>2</v>
      </c>
      <c r="D1178" s="1">
        <v>45748</v>
      </c>
      <c r="E1178" s="4" t="s">
        <v>27</v>
      </c>
      <c r="F1178" s="4" t="s">
        <v>26</v>
      </c>
      <c r="G1178" s="4" t="s">
        <v>107</v>
      </c>
      <c r="H1178">
        <v>5</v>
      </c>
      <c r="I1178">
        <v>6</v>
      </c>
      <c r="J1178">
        <v>0</v>
      </c>
      <c r="K1178">
        <v>6</v>
      </c>
      <c r="L1178">
        <v>7114</v>
      </c>
      <c r="M1178">
        <v>0</v>
      </c>
      <c r="N1178">
        <v>7114</v>
      </c>
      <c r="O1178">
        <v>4268.3999999999996</v>
      </c>
      <c r="P1178">
        <v>2845.6</v>
      </c>
      <c r="Q1178">
        <v>0.4</v>
      </c>
      <c r="R1178">
        <v>0</v>
      </c>
      <c r="S1178">
        <v>0</v>
      </c>
      <c r="T1178">
        <v>0</v>
      </c>
      <c r="U1178">
        <v>1422.8</v>
      </c>
    </row>
    <row r="1179" spans="1:21" x14ac:dyDescent="0.35">
      <c r="A1179">
        <v>2025</v>
      </c>
      <c r="B1179">
        <v>4</v>
      </c>
      <c r="C1179">
        <v>2</v>
      </c>
      <c r="D1179" s="1">
        <v>45748</v>
      </c>
      <c r="E1179" s="4" t="s">
        <v>27</v>
      </c>
      <c r="F1179" s="4" t="s">
        <v>26</v>
      </c>
      <c r="G1179" s="4" t="s">
        <v>109</v>
      </c>
      <c r="H1179">
        <v>33</v>
      </c>
      <c r="I1179">
        <v>51</v>
      </c>
      <c r="J1179">
        <v>1</v>
      </c>
      <c r="K1179">
        <v>50</v>
      </c>
      <c r="L1179">
        <v>32370.92</v>
      </c>
      <c r="M1179">
        <v>1041</v>
      </c>
      <c r="N1179">
        <v>31329.919999999998</v>
      </c>
      <c r="O1179">
        <v>20285.400000000001</v>
      </c>
      <c r="P1179">
        <v>11044.52</v>
      </c>
      <c r="Q1179">
        <v>0.35249999999999998</v>
      </c>
      <c r="R1179">
        <v>5</v>
      </c>
      <c r="S1179">
        <v>8031.92</v>
      </c>
      <c r="T1179">
        <v>0</v>
      </c>
      <c r="U1179">
        <v>949.39</v>
      </c>
    </row>
    <row r="1180" spans="1:21" x14ac:dyDescent="0.35">
      <c r="A1180">
        <v>2025</v>
      </c>
      <c r="B1180">
        <v>4</v>
      </c>
      <c r="C1180">
        <v>2</v>
      </c>
      <c r="D1180" s="1">
        <v>45748</v>
      </c>
      <c r="E1180" s="4" t="s">
        <v>34</v>
      </c>
      <c r="F1180" s="4" t="s">
        <v>28</v>
      </c>
      <c r="G1180" s="4" t="s">
        <v>107</v>
      </c>
      <c r="H1180">
        <v>157</v>
      </c>
      <c r="I1180">
        <v>226</v>
      </c>
      <c r="J1180">
        <v>0</v>
      </c>
      <c r="K1180">
        <v>226</v>
      </c>
      <c r="L1180">
        <v>149022.54</v>
      </c>
      <c r="M1180">
        <v>0</v>
      </c>
      <c r="N1180">
        <v>149022.54</v>
      </c>
      <c r="O1180">
        <v>53985.4</v>
      </c>
      <c r="P1180">
        <v>95037.14</v>
      </c>
      <c r="Q1180">
        <v>0.63770000000000004</v>
      </c>
      <c r="R1180">
        <v>18</v>
      </c>
      <c r="S1180">
        <v>19758.16</v>
      </c>
      <c r="T1180">
        <v>0</v>
      </c>
      <c r="U1180">
        <v>949.19</v>
      </c>
    </row>
    <row r="1181" spans="1:21" x14ac:dyDescent="0.35">
      <c r="A1181">
        <v>2025</v>
      </c>
      <c r="B1181">
        <v>4</v>
      </c>
      <c r="C1181">
        <v>2</v>
      </c>
      <c r="D1181" s="1">
        <v>45748</v>
      </c>
      <c r="E1181" s="4" t="s">
        <v>34</v>
      </c>
      <c r="F1181" s="4" t="s">
        <v>28</v>
      </c>
      <c r="G1181" s="4" t="s">
        <v>108</v>
      </c>
      <c r="H1181">
        <v>56</v>
      </c>
      <c r="I1181">
        <v>81</v>
      </c>
      <c r="J1181">
        <v>0</v>
      </c>
      <c r="K1181">
        <v>81</v>
      </c>
      <c r="L1181">
        <v>32533.62</v>
      </c>
      <c r="M1181">
        <v>0</v>
      </c>
      <c r="N1181">
        <v>32533.62</v>
      </c>
      <c r="O1181">
        <v>12077.1</v>
      </c>
      <c r="P1181">
        <v>20456.52</v>
      </c>
      <c r="Q1181">
        <v>0.62880000000000003</v>
      </c>
      <c r="R1181">
        <v>11</v>
      </c>
      <c r="S1181">
        <v>8251.6200000000008</v>
      </c>
      <c r="T1181">
        <v>0</v>
      </c>
      <c r="U1181">
        <v>580.96</v>
      </c>
    </row>
    <row r="1182" spans="1:21" x14ac:dyDescent="0.35">
      <c r="A1182">
        <v>2025</v>
      </c>
      <c r="B1182">
        <v>4</v>
      </c>
      <c r="C1182">
        <v>2</v>
      </c>
      <c r="D1182" s="1">
        <v>45748</v>
      </c>
      <c r="E1182" s="4" t="s">
        <v>34</v>
      </c>
      <c r="F1182" s="4" t="s">
        <v>28</v>
      </c>
      <c r="G1182" s="4" t="s">
        <v>109</v>
      </c>
      <c r="H1182">
        <v>642</v>
      </c>
      <c r="I1182">
        <v>982</v>
      </c>
      <c r="J1182">
        <v>0</v>
      </c>
      <c r="K1182">
        <v>982</v>
      </c>
      <c r="L1182">
        <v>471008.29</v>
      </c>
      <c r="M1182">
        <v>0</v>
      </c>
      <c r="N1182">
        <v>471008.29</v>
      </c>
      <c r="O1182">
        <v>170209.2</v>
      </c>
      <c r="P1182">
        <v>300799.09000000003</v>
      </c>
      <c r="Q1182">
        <v>0.63859999999999995</v>
      </c>
      <c r="R1182">
        <v>78</v>
      </c>
      <c r="S1182">
        <v>65203.62</v>
      </c>
      <c r="T1182">
        <v>0</v>
      </c>
      <c r="U1182">
        <v>733.66</v>
      </c>
    </row>
    <row r="1183" spans="1:21" x14ac:dyDescent="0.35">
      <c r="A1183">
        <v>2025</v>
      </c>
      <c r="B1183">
        <v>4</v>
      </c>
      <c r="C1183">
        <v>2</v>
      </c>
      <c r="D1183" s="1">
        <v>45748</v>
      </c>
      <c r="E1183" s="4" t="s">
        <v>34</v>
      </c>
      <c r="F1183" s="4" t="s">
        <v>35</v>
      </c>
      <c r="G1183" s="4" t="s">
        <v>107</v>
      </c>
      <c r="H1183">
        <v>1</v>
      </c>
      <c r="I1183">
        <v>1</v>
      </c>
      <c r="J1183">
        <v>0</v>
      </c>
      <c r="K1183">
        <v>1</v>
      </c>
      <c r="L1183">
        <v>469</v>
      </c>
      <c r="M1183">
        <v>0</v>
      </c>
      <c r="N1183">
        <v>469</v>
      </c>
      <c r="O1183">
        <v>93.8</v>
      </c>
      <c r="P1183">
        <v>375.2</v>
      </c>
      <c r="Q1183">
        <v>0.8</v>
      </c>
      <c r="R1183">
        <v>0</v>
      </c>
      <c r="S1183">
        <v>0</v>
      </c>
      <c r="T1183">
        <v>0</v>
      </c>
      <c r="U1183">
        <v>469</v>
      </c>
    </row>
    <row r="1184" spans="1:21" x14ac:dyDescent="0.35">
      <c r="A1184">
        <v>2025</v>
      </c>
      <c r="B1184">
        <v>4</v>
      </c>
      <c r="C1184">
        <v>2</v>
      </c>
      <c r="D1184" s="1">
        <v>45748</v>
      </c>
      <c r="E1184" s="4" t="s">
        <v>34</v>
      </c>
      <c r="F1184" s="4" t="s">
        <v>24</v>
      </c>
      <c r="G1184" s="4" t="s">
        <v>107</v>
      </c>
      <c r="H1184">
        <v>102</v>
      </c>
      <c r="I1184">
        <v>158</v>
      </c>
      <c r="J1184">
        <v>1</v>
      </c>
      <c r="K1184">
        <v>157</v>
      </c>
      <c r="L1184">
        <v>271023.89</v>
      </c>
      <c r="M1184">
        <v>1717</v>
      </c>
      <c r="N1184">
        <v>269306.89</v>
      </c>
      <c r="O1184">
        <v>154086.35</v>
      </c>
      <c r="P1184">
        <v>115220.54</v>
      </c>
      <c r="Q1184">
        <v>0.42780000000000001</v>
      </c>
      <c r="R1184">
        <v>13</v>
      </c>
      <c r="S1184">
        <v>43929.89</v>
      </c>
      <c r="T1184">
        <v>0</v>
      </c>
      <c r="U1184">
        <v>2640.26</v>
      </c>
    </row>
    <row r="1185" spans="1:21" x14ac:dyDescent="0.35">
      <c r="A1185">
        <v>2025</v>
      </c>
      <c r="B1185">
        <v>4</v>
      </c>
      <c r="C1185">
        <v>2</v>
      </c>
      <c r="D1185" s="1">
        <v>45748</v>
      </c>
      <c r="E1185" s="4" t="s">
        <v>34</v>
      </c>
      <c r="F1185" s="4" t="s">
        <v>24</v>
      </c>
      <c r="G1185" s="4" t="s">
        <v>108</v>
      </c>
      <c r="H1185">
        <v>13</v>
      </c>
      <c r="I1185">
        <v>18</v>
      </c>
      <c r="J1185">
        <v>0</v>
      </c>
      <c r="K1185">
        <v>18</v>
      </c>
      <c r="L1185">
        <v>23277.52</v>
      </c>
      <c r="M1185">
        <v>0</v>
      </c>
      <c r="N1185">
        <v>23277.52</v>
      </c>
      <c r="O1185">
        <v>13652.1</v>
      </c>
      <c r="P1185">
        <v>9625.42</v>
      </c>
      <c r="Q1185">
        <v>0.41349999999999998</v>
      </c>
      <c r="R1185">
        <v>2</v>
      </c>
      <c r="S1185">
        <v>3971.52</v>
      </c>
      <c r="T1185">
        <v>0</v>
      </c>
      <c r="U1185">
        <v>1790.58</v>
      </c>
    </row>
    <row r="1186" spans="1:21" x14ac:dyDescent="0.35">
      <c r="A1186">
        <v>2025</v>
      </c>
      <c r="B1186">
        <v>4</v>
      </c>
      <c r="C1186">
        <v>2</v>
      </c>
      <c r="D1186" s="1">
        <v>45748</v>
      </c>
      <c r="E1186" s="4" t="s">
        <v>34</v>
      </c>
      <c r="F1186" s="4" t="s">
        <v>24</v>
      </c>
      <c r="G1186" s="4" t="s">
        <v>109</v>
      </c>
      <c r="H1186">
        <v>181</v>
      </c>
      <c r="I1186">
        <v>253</v>
      </c>
      <c r="J1186">
        <v>3</v>
      </c>
      <c r="K1186">
        <v>250</v>
      </c>
      <c r="L1186">
        <v>429628.15</v>
      </c>
      <c r="M1186">
        <v>4481</v>
      </c>
      <c r="N1186">
        <v>425147.15</v>
      </c>
      <c r="O1186">
        <v>241198.65</v>
      </c>
      <c r="P1186">
        <v>183948.5</v>
      </c>
      <c r="Q1186">
        <v>0.43269999999999997</v>
      </c>
      <c r="R1186">
        <v>19</v>
      </c>
      <c r="S1186">
        <v>48493.95</v>
      </c>
      <c r="T1186">
        <v>0</v>
      </c>
      <c r="U1186">
        <v>2348.88</v>
      </c>
    </row>
    <row r="1187" spans="1:21" x14ac:dyDescent="0.35">
      <c r="A1187">
        <v>2025</v>
      </c>
      <c r="B1187">
        <v>4</v>
      </c>
      <c r="C1187">
        <v>2</v>
      </c>
      <c r="D1187" s="1">
        <v>45748</v>
      </c>
      <c r="E1187" s="4" t="s">
        <v>34</v>
      </c>
      <c r="F1187" s="4" t="s">
        <v>26</v>
      </c>
      <c r="G1187" s="4" t="s">
        <v>107</v>
      </c>
      <c r="H1187">
        <v>6</v>
      </c>
      <c r="I1187">
        <v>10</v>
      </c>
      <c r="J1187">
        <v>0</v>
      </c>
      <c r="K1187">
        <v>10</v>
      </c>
      <c r="L1187">
        <v>5363.2</v>
      </c>
      <c r="M1187">
        <v>0</v>
      </c>
      <c r="N1187">
        <v>5363.2</v>
      </c>
      <c r="O1187">
        <v>3267.6</v>
      </c>
      <c r="P1187">
        <v>2095.6</v>
      </c>
      <c r="Q1187">
        <v>0.39069999999999999</v>
      </c>
      <c r="R1187">
        <v>1</v>
      </c>
      <c r="S1187">
        <v>607.20000000000005</v>
      </c>
      <c r="T1187">
        <v>0</v>
      </c>
      <c r="U1187">
        <v>893.87</v>
      </c>
    </row>
    <row r="1188" spans="1:21" x14ac:dyDescent="0.35">
      <c r="A1188">
        <v>2025</v>
      </c>
      <c r="B1188">
        <v>4</v>
      </c>
      <c r="C1188">
        <v>2</v>
      </c>
      <c r="D1188" s="1">
        <v>45748</v>
      </c>
      <c r="E1188" s="4" t="s">
        <v>34</v>
      </c>
      <c r="F1188" s="4" t="s">
        <v>26</v>
      </c>
      <c r="G1188" s="4" t="s">
        <v>108</v>
      </c>
      <c r="H1188">
        <v>2</v>
      </c>
      <c r="I1188">
        <v>2</v>
      </c>
      <c r="J1188">
        <v>0</v>
      </c>
      <c r="K1188">
        <v>2</v>
      </c>
      <c r="L1188">
        <v>1275</v>
      </c>
      <c r="M1188">
        <v>0</v>
      </c>
      <c r="N1188">
        <v>1275</v>
      </c>
      <c r="O1188">
        <v>765</v>
      </c>
      <c r="P1188">
        <v>510</v>
      </c>
      <c r="Q1188">
        <v>0.4</v>
      </c>
      <c r="R1188">
        <v>0</v>
      </c>
      <c r="S1188">
        <v>0</v>
      </c>
      <c r="T1188">
        <v>0</v>
      </c>
      <c r="U1188">
        <v>637.5</v>
      </c>
    </row>
    <row r="1189" spans="1:21" x14ac:dyDescent="0.35">
      <c r="A1189">
        <v>2025</v>
      </c>
      <c r="B1189">
        <v>4</v>
      </c>
      <c r="C1189">
        <v>2</v>
      </c>
      <c r="D1189" s="1">
        <v>45748</v>
      </c>
      <c r="E1189" s="4" t="s">
        <v>34</v>
      </c>
      <c r="F1189" s="4" t="s">
        <v>26</v>
      </c>
      <c r="G1189" s="4" t="s">
        <v>109</v>
      </c>
      <c r="H1189">
        <v>45</v>
      </c>
      <c r="I1189">
        <v>62</v>
      </c>
      <c r="J1189">
        <v>0</v>
      </c>
      <c r="K1189">
        <v>62</v>
      </c>
      <c r="L1189">
        <v>40037.339999999997</v>
      </c>
      <c r="M1189">
        <v>0</v>
      </c>
      <c r="N1189">
        <v>40037.339999999997</v>
      </c>
      <c r="O1189">
        <v>24637.8</v>
      </c>
      <c r="P1189">
        <v>15399.54</v>
      </c>
      <c r="Q1189">
        <v>0.3846</v>
      </c>
      <c r="R1189">
        <v>4</v>
      </c>
      <c r="S1189">
        <v>3585.34</v>
      </c>
      <c r="T1189">
        <v>0</v>
      </c>
      <c r="U1189">
        <v>889.72</v>
      </c>
    </row>
    <row r="1190" spans="1:21" x14ac:dyDescent="0.35">
      <c r="A1190">
        <v>2025</v>
      </c>
      <c r="B1190">
        <v>4</v>
      </c>
      <c r="C1190">
        <v>2</v>
      </c>
      <c r="D1190" s="1">
        <v>45748</v>
      </c>
      <c r="E1190" s="4" t="s">
        <v>36</v>
      </c>
      <c r="F1190" s="4" t="s">
        <v>28</v>
      </c>
      <c r="G1190" s="4" t="s">
        <v>107</v>
      </c>
      <c r="H1190">
        <v>78</v>
      </c>
      <c r="I1190">
        <v>128</v>
      </c>
      <c r="J1190">
        <v>0</v>
      </c>
      <c r="K1190">
        <v>128</v>
      </c>
      <c r="L1190">
        <v>82983.27</v>
      </c>
      <c r="M1190">
        <v>0</v>
      </c>
      <c r="N1190">
        <v>82983.27</v>
      </c>
      <c r="O1190">
        <v>30190.3</v>
      </c>
      <c r="P1190">
        <v>52792.97</v>
      </c>
      <c r="Q1190">
        <v>0.63619999999999999</v>
      </c>
      <c r="R1190">
        <v>10</v>
      </c>
      <c r="S1190">
        <v>15207.27</v>
      </c>
      <c r="T1190">
        <v>0</v>
      </c>
      <c r="U1190">
        <v>1063.8900000000001</v>
      </c>
    </row>
    <row r="1191" spans="1:21" x14ac:dyDescent="0.35">
      <c r="A1191">
        <v>2025</v>
      </c>
      <c r="B1191">
        <v>4</v>
      </c>
      <c r="C1191">
        <v>2</v>
      </c>
      <c r="D1191" s="1">
        <v>45748</v>
      </c>
      <c r="E1191" s="4" t="s">
        <v>36</v>
      </c>
      <c r="F1191" s="4" t="s">
        <v>28</v>
      </c>
      <c r="G1191" s="4" t="s">
        <v>108</v>
      </c>
      <c r="H1191">
        <v>149</v>
      </c>
      <c r="I1191">
        <v>228</v>
      </c>
      <c r="J1191">
        <v>0</v>
      </c>
      <c r="K1191">
        <v>228</v>
      </c>
      <c r="L1191">
        <v>74329.69</v>
      </c>
      <c r="M1191">
        <v>0</v>
      </c>
      <c r="N1191">
        <v>74329.69</v>
      </c>
      <c r="O1191">
        <v>26604.55</v>
      </c>
      <c r="P1191">
        <v>47725.14</v>
      </c>
      <c r="Q1191">
        <v>0.6421</v>
      </c>
      <c r="R1191">
        <v>10</v>
      </c>
      <c r="S1191">
        <v>4989.6899999999996</v>
      </c>
      <c r="T1191">
        <v>0</v>
      </c>
      <c r="U1191">
        <v>498.86</v>
      </c>
    </row>
    <row r="1192" spans="1:21" x14ac:dyDescent="0.35">
      <c r="A1192">
        <v>2025</v>
      </c>
      <c r="B1192">
        <v>4</v>
      </c>
      <c r="C1192">
        <v>2</v>
      </c>
      <c r="D1192" s="1">
        <v>45748</v>
      </c>
      <c r="E1192" s="4" t="s">
        <v>36</v>
      </c>
      <c r="F1192" s="4" t="s">
        <v>28</v>
      </c>
      <c r="G1192" s="4" t="s">
        <v>109</v>
      </c>
      <c r="H1192">
        <v>691</v>
      </c>
      <c r="I1192">
        <v>1052</v>
      </c>
      <c r="J1192">
        <v>0</v>
      </c>
      <c r="K1192">
        <v>1052</v>
      </c>
      <c r="L1192">
        <v>507300.09</v>
      </c>
      <c r="M1192">
        <v>0</v>
      </c>
      <c r="N1192">
        <v>507300.09</v>
      </c>
      <c r="O1192">
        <v>183670.2</v>
      </c>
      <c r="P1192">
        <v>323629.89</v>
      </c>
      <c r="Q1192">
        <v>0.63790000000000002</v>
      </c>
      <c r="R1192">
        <v>95</v>
      </c>
      <c r="S1192">
        <v>80628.09</v>
      </c>
      <c r="T1192">
        <v>0</v>
      </c>
      <c r="U1192">
        <v>734.15</v>
      </c>
    </row>
    <row r="1193" spans="1:21" x14ac:dyDescent="0.35">
      <c r="A1193">
        <v>2025</v>
      </c>
      <c r="B1193">
        <v>4</v>
      </c>
      <c r="C1193">
        <v>2</v>
      </c>
      <c r="D1193" s="1">
        <v>45748</v>
      </c>
      <c r="E1193" s="4" t="s">
        <v>36</v>
      </c>
      <c r="F1193" s="4" t="s">
        <v>35</v>
      </c>
      <c r="G1193" s="4" t="s">
        <v>109</v>
      </c>
      <c r="H1193">
        <v>1</v>
      </c>
      <c r="I1193">
        <v>1</v>
      </c>
      <c r="J1193">
        <v>0</v>
      </c>
      <c r="K1193">
        <v>1</v>
      </c>
      <c r="L1193">
        <v>222</v>
      </c>
      <c r="M1193">
        <v>0</v>
      </c>
      <c r="N1193">
        <v>222</v>
      </c>
      <c r="O1193">
        <v>44.4</v>
      </c>
      <c r="P1193">
        <v>177.6</v>
      </c>
      <c r="Q1193">
        <v>0.8</v>
      </c>
      <c r="R1193">
        <v>0</v>
      </c>
      <c r="S1193">
        <v>0</v>
      </c>
      <c r="T1193">
        <v>0</v>
      </c>
      <c r="U1193">
        <v>222</v>
      </c>
    </row>
    <row r="1194" spans="1:21" x14ac:dyDescent="0.35">
      <c r="A1194">
        <v>2025</v>
      </c>
      <c r="B1194">
        <v>4</v>
      </c>
      <c r="C1194">
        <v>2</v>
      </c>
      <c r="D1194" s="1">
        <v>45748</v>
      </c>
      <c r="E1194" s="4" t="s">
        <v>36</v>
      </c>
      <c r="F1194" s="4" t="s">
        <v>24</v>
      </c>
      <c r="G1194" s="4" t="s">
        <v>107</v>
      </c>
      <c r="H1194">
        <v>45</v>
      </c>
      <c r="I1194">
        <v>61</v>
      </c>
      <c r="J1194">
        <v>1</v>
      </c>
      <c r="K1194">
        <v>60</v>
      </c>
      <c r="L1194">
        <v>94056.36</v>
      </c>
      <c r="M1194">
        <v>2055.7800000000002</v>
      </c>
      <c r="N1194">
        <v>92000.58</v>
      </c>
      <c r="O1194">
        <v>52982.05</v>
      </c>
      <c r="P1194">
        <v>39018.53</v>
      </c>
      <c r="Q1194">
        <v>0.42409999999999998</v>
      </c>
      <c r="R1194">
        <v>7</v>
      </c>
      <c r="S1194">
        <v>14961.58</v>
      </c>
      <c r="T1194">
        <v>0</v>
      </c>
      <c r="U1194">
        <v>2044.46</v>
      </c>
    </row>
    <row r="1195" spans="1:21" x14ac:dyDescent="0.35">
      <c r="A1195">
        <v>2025</v>
      </c>
      <c r="B1195">
        <v>4</v>
      </c>
      <c r="C1195">
        <v>2</v>
      </c>
      <c r="D1195" s="1">
        <v>45748</v>
      </c>
      <c r="E1195" s="4" t="s">
        <v>36</v>
      </c>
      <c r="F1195" s="4" t="s">
        <v>24</v>
      </c>
      <c r="G1195" s="4" t="s">
        <v>108</v>
      </c>
      <c r="H1195">
        <v>31</v>
      </c>
      <c r="I1195">
        <v>50</v>
      </c>
      <c r="J1195">
        <v>0</v>
      </c>
      <c r="K1195">
        <v>50</v>
      </c>
      <c r="L1195">
        <v>79379</v>
      </c>
      <c r="M1195">
        <v>0</v>
      </c>
      <c r="N1195">
        <v>79379</v>
      </c>
      <c r="O1195">
        <v>47720.2</v>
      </c>
      <c r="P1195">
        <v>31658.799999999999</v>
      </c>
      <c r="Q1195">
        <v>0.39879999999999999</v>
      </c>
      <c r="R1195">
        <v>6</v>
      </c>
      <c r="S1195">
        <v>21771</v>
      </c>
      <c r="T1195">
        <v>0</v>
      </c>
      <c r="U1195">
        <v>2560.61</v>
      </c>
    </row>
    <row r="1196" spans="1:21" x14ac:dyDescent="0.35">
      <c r="A1196">
        <v>2025</v>
      </c>
      <c r="B1196">
        <v>4</v>
      </c>
      <c r="C1196">
        <v>2</v>
      </c>
      <c r="D1196" s="1">
        <v>45748</v>
      </c>
      <c r="E1196" s="4" t="s">
        <v>36</v>
      </c>
      <c r="F1196" s="4" t="s">
        <v>24</v>
      </c>
      <c r="G1196" s="4" t="s">
        <v>109</v>
      </c>
      <c r="H1196">
        <v>118</v>
      </c>
      <c r="I1196">
        <v>190</v>
      </c>
      <c r="J1196">
        <v>1</v>
      </c>
      <c r="K1196">
        <v>189</v>
      </c>
      <c r="L1196">
        <v>295127.7</v>
      </c>
      <c r="M1196">
        <v>1873</v>
      </c>
      <c r="N1196">
        <v>293254.7</v>
      </c>
      <c r="O1196">
        <v>168160.3</v>
      </c>
      <c r="P1196">
        <v>125094.39999999999</v>
      </c>
      <c r="Q1196">
        <v>0.42659999999999998</v>
      </c>
      <c r="R1196">
        <v>20</v>
      </c>
      <c r="S1196">
        <v>66821.7</v>
      </c>
      <c r="T1196">
        <v>0</v>
      </c>
      <c r="U1196">
        <v>2485.21</v>
      </c>
    </row>
    <row r="1197" spans="1:21" x14ac:dyDescent="0.35">
      <c r="A1197">
        <v>2025</v>
      </c>
      <c r="B1197">
        <v>4</v>
      </c>
      <c r="C1197">
        <v>2</v>
      </c>
      <c r="D1197" s="1">
        <v>45748</v>
      </c>
      <c r="E1197" s="4" t="s">
        <v>36</v>
      </c>
      <c r="F1197" s="4" t="s">
        <v>26</v>
      </c>
      <c r="G1197" s="4" t="s">
        <v>107</v>
      </c>
      <c r="H1197">
        <v>1</v>
      </c>
      <c r="I1197">
        <v>1</v>
      </c>
      <c r="J1197">
        <v>0</v>
      </c>
      <c r="K1197">
        <v>1</v>
      </c>
      <c r="L1197">
        <v>469</v>
      </c>
      <c r="M1197">
        <v>0</v>
      </c>
      <c r="N1197">
        <v>469</v>
      </c>
      <c r="O1197">
        <v>281.39999999999998</v>
      </c>
      <c r="P1197">
        <v>187.6</v>
      </c>
      <c r="Q1197">
        <v>0.4</v>
      </c>
      <c r="R1197">
        <v>0</v>
      </c>
      <c r="S1197">
        <v>0</v>
      </c>
      <c r="T1197">
        <v>0</v>
      </c>
      <c r="U1197">
        <v>469</v>
      </c>
    </row>
    <row r="1198" spans="1:21" x14ac:dyDescent="0.35">
      <c r="A1198">
        <v>2025</v>
      </c>
      <c r="B1198">
        <v>4</v>
      </c>
      <c r="C1198">
        <v>2</v>
      </c>
      <c r="D1198" s="1">
        <v>45748</v>
      </c>
      <c r="E1198" s="4" t="s">
        <v>36</v>
      </c>
      <c r="F1198" s="4" t="s">
        <v>26</v>
      </c>
      <c r="G1198" s="4" t="s">
        <v>109</v>
      </c>
      <c r="H1198">
        <v>50</v>
      </c>
      <c r="I1198">
        <v>75</v>
      </c>
      <c r="J1198">
        <v>0</v>
      </c>
      <c r="K1198">
        <v>75</v>
      </c>
      <c r="L1198">
        <v>67871.39</v>
      </c>
      <c r="M1198">
        <v>0</v>
      </c>
      <c r="N1198">
        <v>67871.39</v>
      </c>
      <c r="O1198">
        <v>41924.400000000001</v>
      </c>
      <c r="P1198">
        <v>25946.99</v>
      </c>
      <c r="Q1198">
        <v>0.38229999999999997</v>
      </c>
      <c r="R1198">
        <v>6</v>
      </c>
      <c r="S1198">
        <v>9760.39</v>
      </c>
      <c r="T1198">
        <v>0</v>
      </c>
      <c r="U1198">
        <v>1357.43</v>
      </c>
    </row>
    <row r="1199" spans="1:21" x14ac:dyDescent="0.35">
      <c r="A1199">
        <v>2025</v>
      </c>
      <c r="B1199">
        <v>4</v>
      </c>
      <c r="C1199">
        <v>2</v>
      </c>
      <c r="D1199" s="1">
        <v>45748</v>
      </c>
      <c r="E1199" s="4" t="s">
        <v>23</v>
      </c>
      <c r="F1199" s="4" t="s">
        <v>28</v>
      </c>
      <c r="G1199" s="4" t="s">
        <v>107</v>
      </c>
      <c r="H1199">
        <v>104</v>
      </c>
      <c r="I1199">
        <v>162</v>
      </c>
      <c r="J1199">
        <v>0</v>
      </c>
      <c r="K1199">
        <v>162</v>
      </c>
      <c r="L1199">
        <v>51991.16</v>
      </c>
      <c r="M1199">
        <v>0</v>
      </c>
      <c r="N1199">
        <v>51991.16</v>
      </c>
      <c r="O1199">
        <v>19164.599999999999</v>
      </c>
      <c r="P1199">
        <v>32826.559999999998</v>
      </c>
      <c r="Q1199">
        <v>0.63139999999999996</v>
      </c>
      <c r="R1199">
        <v>17</v>
      </c>
      <c r="S1199">
        <v>10417.16</v>
      </c>
      <c r="T1199">
        <v>0</v>
      </c>
      <c r="U1199">
        <v>499.92</v>
      </c>
    </row>
    <row r="1200" spans="1:21" x14ac:dyDescent="0.35">
      <c r="A1200">
        <v>2025</v>
      </c>
      <c r="B1200">
        <v>4</v>
      </c>
      <c r="C1200">
        <v>2</v>
      </c>
      <c r="D1200" s="1">
        <v>45748</v>
      </c>
      <c r="E1200" s="4" t="s">
        <v>23</v>
      </c>
      <c r="F1200" s="4" t="s">
        <v>28</v>
      </c>
      <c r="G1200" s="4" t="s">
        <v>108</v>
      </c>
      <c r="H1200">
        <v>41</v>
      </c>
      <c r="I1200">
        <v>66</v>
      </c>
      <c r="J1200">
        <v>0</v>
      </c>
      <c r="K1200">
        <v>66</v>
      </c>
      <c r="L1200">
        <v>46271.46</v>
      </c>
      <c r="M1200">
        <v>0</v>
      </c>
      <c r="N1200">
        <v>46271.46</v>
      </c>
      <c r="O1200">
        <v>16239.3</v>
      </c>
      <c r="P1200">
        <v>30032.16</v>
      </c>
      <c r="Q1200">
        <v>0.64900000000000002</v>
      </c>
      <c r="R1200">
        <v>1</v>
      </c>
      <c r="S1200">
        <v>1982.46</v>
      </c>
      <c r="T1200">
        <v>0</v>
      </c>
      <c r="U1200">
        <v>1128.57</v>
      </c>
    </row>
    <row r="1201" spans="1:21" x14ac:dyDescent="0.35">
      <c r="A1201">
        <v>2025</v>
      </c>
      <c r="B1201">
        <v>4</v>
      </c>
      <c r="C1201">
        <v>2</v>
      </c>
      <c r="D1201" s="1">
        <v>45748</v>
      </c>
      <c r="E1201" s="4" t="s">
        <v>23</v>
      </c>
      <c r="F1201" s="4" t="s">
        <v>28</v>
      </c>
      <c r="G1201" s="4" t="s">
        <v>109</v>
      </c>
      <c r="H1201">
        <v>572</v>
      </c>
      <c r="I1201">
        <v>855</v>
      </c>
      <c r="J1201">
        <v>0</v>
      </c>
      <c r="K1201">
        <v>855</v>
      </c>
      <c r="L1201">
        <v>396911.75</v>
      </c>
      <c r="M1201">
        <v>0</v>
      </c>
      <c r="N1201">
        <v>396911.75</v>
      </c>
      <c r="O1201">
        <v>143458</v>
      </c>
      <c r="P1201">
        <v>253453.75</v>
      </c>
      <c r="Q1201">
        <v>0.63859999999999995</v>
      </c>
      <c r="R1201">
        <v>63</v>
      </c>
      <c r="S1201">
        <v>52950.26</v>
      </c>
      <c r="T1201">
        <v>0</v>
      </c>
      <c r="U1201">
        <v>693.9</v>
      </c>
    </row>
    <row r="1202" spans="1:21" x14ac:dyDescent="0.35">
      <c r="A1202">
        <v>2025</v>
      </c>
      <c r="B1202">
        <v>4</v>
      </c>
      <c r="C1202">
        <v>2</v>
      </c>
      <c r="D1202" s="1">
        <v>45748</v>
      </c>
      <c r="E1202" s="4" t="s">
        <v>23</v>
      </c>
      <c r="F1202" s="4" t="s">
        <v>24</v>
      </c>
      <c r="G1202" s="4" t="s">
        <v>107</v>
      </c>
      <c r="H1202">
        <v>58</v>
      </c>
      <c r="I1202">
        <v>80</v>
      </c>
      <c r="J1202">
        <v>4</v>
      </c>
      <c r="K1202">
        <v>76</v>
      </c>
      <c r="L1202">
        <v>140416.22</v>
      </c>
      <c r="M1202">
        <v>7440</v>
      </c>
      <c r="N1202">
        <v>132976.22</v>
      </c>
      <c r="O1202">
        <v>75208.649999999994</v>
      </c>
      <c r="P1202">
        <v>57767.57</v>
      </c>
      <c r="Q1202">
        <v>0.43440000000000001</v>
      </c>
      <c r="R1202">
        <v>3</v>
      </c>
      <c r="S1202">
        <v>12443.22</v>
      </c>
      <c r="T1202">
        <v>0</v>
      </c>
      <c r="U1202">
        <v>2292.69</v>
      </c>
    </row>
    <row r="1203" spans="1:21" x14ac:dyDescent="0.35">
      <c r="A1203">
        <v>2025</v>
      </c>
      <c r="B1203">
        <v>4</v>
      </c>
      <c r="C1203">
        <v>2</v>
      </c>
      <c r="D1203" s="1">
        <v>45748</v>
      </c>
      <c r="E1203" s="4" t="s">
        <v>23</v>
      </c>
      <c r="F1203" s="4" t="s">
        <v>24</v>
      </c>
      <c r="G1203" s="4" t="s">
        <v>109</v>
      </c>
      <c r="H1203">
        <v>141</v>
      </c>
      <c r="I1203">
        <v>210</v>
      </c>
      <c r="J1203">
        <v>2</v>
      </c>
      <c r="K1203">
        <v>208</v>
      </c>
      <c r="L1203">
        <v>221925.62</v>
      </c>
      <c r="M1203">
        <v>1750</v>
      </c>
      <c r="N1203">
        <v>220175.62</v>
      </c>
      <c r="O1203">
        <v>123872.65</v>
      </c>
      <c r="P1203">
        <v>96302.97</v>
      </c>
      <c r="Q1203">
        <v>0.43740000000000001</v>
      </c>
      <c r="R1203">
        <v>13</v>
      </c>
      <c r="S1203">
        <v>26973.81</v>
      </c>
      <c r="T1203">
        <v>0</v>
      </c>
      <c r="U1203">
        <v>1561.53</v>
      </c>
    </row>
    <row r="1204" spans="1:21" x14ac:dyDescent="0.35">
      <c r="A1204">
        <v>2025</v>
      </c>
      <c r="B1204">
        <v>4</v>
      </c>
      <c r="C1204">
        <v>2</v>
      </c>
      <c r="D1204" s="1">
        <v>45748</v>
      </c>
      <c r="E1204" s="4" t="s">
        <v>23</v>
      </c>
      <c r="F1204" s="4" t="s">
        <v>26</v>
      </c>
      <c r="G1204" s="4" t="s">
        <v>107</v>
      </c>
      <c r="H1204">
        <v>15</v>
      </c>
      <c r="I1204">
        <v>21</v>
      </c>
      <c r="J1204">
        <v>0</v>
      </c>
      <c r="K1204">
        <v>21</v>
      </c>
      <c r="L1204">
        <v>10989.3</v>
      </c>
      <c r="M1204">
        <v>0</v>
      </c>
      <c r="N1204">
        <v>10989.3</v>
      </c>
      <c r="O1204">
        <v>6913.8</v>
      </c>
      <c r="P1204">
        <v>4075.5</v>
      </c>
      <c r="Q1204">
        <v>0.37090000000000001</v>
      </c>
      <c r="R1204">
        <v>1</v>
      </c>
      <c r="S1204">
        <v>1245.3</v>
      </c>
      <c r="T1204">
        <v>0</v>
      </c>
      <c r="U1204">
        <v>732.62</v>
      </c>
    </row>
    <row r="1205" spans="1:21" x14ac:dyDescent="0.35">
      <c r="A1205">
        <v>2025</v>
      </c>
      <c r="B1205">
        <v>4</v>
      </c>
      <c r="C1205">
        <v>2</v>
      </c>
      <c r="D1205" s="1">
        <v>45748</v>
      </c>
      <c r="E1205" s="4" t="s">
        <v>23</v>
      </c>
      <c r="F1205" s="4" t="s">
        <v>26</v>
      </c>
      <c r="G1205" s="4" t="s">
        <v>109</v>
      </c>
      <c r="H1205">
        <v>32</v>
      </c>
      <c r="I1205">
        <v>55</v>
      </c>
      <c r="J1205">
        <v>0</v>
      </c>
      <c r="K1205">
        <v>55</v>
      </c>
      <c r="L1205">
        <v>35308.620000000003</v>
      </c>
      <c r="M1205">
        <v>0</v>
      </c>
      <c r="N1205">
        <v>35308.620000000003</v>
      </c>
      <c r="O1205">
        <v>22081.200000000001</v>
      </c>
      <c r="P1205">
        <v>13227.42</v>
      </c>
      <c r="Q1205">
        <v>0.37459999999999999</v>
      </c>
      <c r="R1205">
        <v>6</v>
      </c>
      <c r="S1205">
        <v>9362.6200000000008</v>
      </c>
      <c r="T1205">
        <v>0</v>
      </c>
      <c r="U1205">
        <v>1103.3900000000001</v>
      </c>
    </row>
    <row r="1206" spans="1:21" x14ac:dyDescent="0.35">
      <c r="A1206">
        <v>2025</v>
      </c>
      <c r="B1206">
        <v>4</v>
      </c>
      <c r="C1206">
        <v>2</v>
      </c>
      <c r="D1206" s="1">
        <v>45748</v>
      </c>
      <c r="E1206" s="4" t="s">
        <v>25</v>
      </c>
      <c r="F1206" s="4" t="s">
        <v>28</v>
      </c>
      <c r="G1206" s="4" t="s">
        <v>107</v>
      </c>
      <c r="H1206">
        <v>24</v>
      </c>
      <c r="I1206">
        <v>34</v>
      </c>
      <c r="J1206">
        <v>0</v>
      </c>
      <c r="K1206">
        <v>34</v>
      </c>
      <c r="L1206">
        <v>16634.59</v>
      </c>
      <c r="M1206">
        <v>0</v>
      </c>
      <c r="N1206">
        <v>16634.59</v>
      </c>
      <c r="O1206">
        <v>5914.3</v>
      </c>
      <c r="P1206">
        <v>10720.29</v>
      </c>
      <c r="Q1206">
        <v>0.64449999999999996</v>
      </c>
      <c r="R1206">
        <v>2</v>
      </c>
      <c r="S1206">
        <v>1227.5899999999999</v>
      </c>
      <c r="T1206">
        <v>0</v>
      </c>
      <c r="U1206">
        <v>693.11</v>
      </c>
    </row>
    <row r="1207" spans="1:21" x14ac:dyDescent="0.35">
      <c r="A1207">
        <v>2025</v>
      </c>
      <c r="B1207">
        <v>4</v>
      </c>
      <c r="C1207">
        <v>2</v>
      </c>
      <c r="D1207" s="1">
        <v>45748</v>
      </c>
      <c r="E1207" s="4" t="s">
        <v>25</v>
      </c>
      <c r="F1207" s="4" t="s">
        <v>28</v>
      </c>
      <c r="G1207" s="4" t="s">
        <v>109</v>
      </c>
      <c r="H1207">
        <v>645</v>
      </c>
      <c r="I1207">
        <v>997</v>
      </c>
      <c r="J1207">
        <v>0</v>
      </c>
      <c r="K1207">
        <v>997</v>
      </c>
      <c r="L1207">
        <v>514931.91</v>
      </c>
      <c r="M1207">
        <v>0</v>
      </c>
      <c r="N1207">
        <v>514931.91</v>
      </c>
      <c r="O1207">
        <v>186978.4</v>
      </c>
      <c r="P1207">
        <v>327953.51</v>
      </c>
      <c r="Q1207">
        <v>0.63690000000000002</v>
      </c>
      <c r="R1207">
        <v>80</v>
      </c>
      <c r="S1207">
        <v>68975.98</v>
      </c>
      <c r="T1207">
        <v>0</v>
      </c>
      <c r="U1207">
        <v>798.34</v>
      </c>
    </row>
    <row r="1208" spans="1:21" x14ac:dyDescent="0.35">
      <c r="A1208">
        <v>2025</v>
      </c>
      <c r="B1208">
        <v>4</v>
      </c>
      <c r="C1208">
        <v>2</v>
      </c>
      <c r="D1208" s="1">
        <v>45748</v>
      </c>
      <c r="E1208" s="4" t="s">
        <v>25</v>
      </c>
      <c r="F1208" s="4" t="s">
        <v>24</v>
      </c>
      <c r="G1208" s="4" t="s">
        <v>107</v>
      </c>
      <c r="H1208">
        <v>16</v>
      </c>
      <c r="I1208">
        <v>27</v>
      </c>
      <c r="J1208">
        <v>1</v>
      </c>
      <c r="K1208">
        <v>26</v>
      </c>
      <c r="L1208">
        <v>47951.4</v>
      </c>
      <c r="M1208">
        <v>1835</v>
      </c>
      <c r="N1208">
        <v>46116.4</v>
      </c>
      <c r="O1208">
        <v>26735.5</v>
      </c>
      <c r="P1208">
        <v>19380.900000000001</v>
      </c>
      <c r="Q1208">
        <v>0.42030000000000001</v>
      </c>
      <c r="R1208">
        <v>3</v>
      </c>
      <c r="S1208">
        <v>16208.4</v>
      </c>
      <c r="T1208">
        <v>0</v>
      </c>
      <c r="U1208">
        <v>2882.28</v>
      </c>
    </row>
    <row r="1209" spans="1:21" x14ac:dyDescent="0.35">
      <c r="A1209">
        <v>2025</v>
      </c>
      <c r="B1209">
        <v>4</v>
      </c>
      <c r="C1209">
        <v>2</v>
      </c>
      <c r="D1209" s="1">
        <v>45748</v>
      </c>
      <c r="E1209" s="4" t="s">
        <v>25</v>
      </c>
      <c r="F1209" s="4" t="s">
        <v>24</v>
      </c>
      <c r="G1209" s="4" t="s">
        <v>109</v>
      </c>
      <c r="H1209">
        <v>209</v>
      </c>
      <c r="I1209">
        <v>321</v>
      </c>
      <c r="J1209">
        <v>9</v>
      </c>
      <c r="K1209">
        <v>312</v>
      </c>
      <c r="L1209">
        <v>481604.58</v>
      </c>
      <c r="M1209">
        <v>16059</v>
      </c>
      <c r="N1209">
        <v>465545.58</v>
      </c>
      <c r="O1209">
        <v>260613.65</v>
      </c>
      <c r="P1209">
        <v>204931.93</v>
      </c>
      <c r="Q1209">
        <v>0.44019999999999998</v>
      </c>
      <c r="R1209">
        <v>18</v>
      </c>
      <c r="S1209">
        <v>36408.58</v>
      </c>
      <c r="T1209">
        <v>0</v>
      </c>
      <c r="U1209">
        <v>2227.4899999999998</v>
      </c>
    </row>
    <row r="1210" spans="1:21" x14ac:dyDescent="0.35">
      <c r="A1210">
        <v>2025</v>
      </c>
      <c r="B1210">
        <v>4</v>
      </c>
      <c r="C1210">
        <v>2</v>
      </c>
      <c r="D1210" s="1">
        <v>45748</v>
      </c>
      <c r="E1210" s="4" t="s">
        <v>25</v>
      </c>
      <c r="F1210" s="4" t="s">
        <v>26</v>
      </c>
      <c r="G1210" s="4" t="s">
        <v>107</v>
      </c>
      <c r="H1210">
        <v>9</v>
      </c>
      <c r="I1210">
        <v>21</v>
      </c>
      <c r="J1210">
        <v>2</v>
      </c>
      <c r="K1210">
        <v>19</v>
      </c>
      <c r="L1210">
        <v>14416.33</v>
      </c>
      <c r="M1210">
        <v>2394</v>
      </c>
      <c r="N1210">
        <v>12022.33</v>
      </c>
      <c r="O1210">
        <v>8248.2000000000007</v>
      </c>
      <c r="P1210">
        <v>3774.13</v>
      </c>
      <c r="Q1210">
        <v>0.31390000000000001</v>
      </c>
      <c r="R1210">
        <v>3</v>
      </c>
      <c r="S1210">
        <v>5582.33</v>
      </c>
      <c r="T1210">
        <v>0</v>
      </c>
      <c r="U1210">
        <v>1335.81</v>
      </c>
    </row>
    <row r="1211" spans="1:21" x14ac:dyDescent="0.35">
      <c r="A1211">
        <v>2025</v>
      </c>
      <c r="B1211">
        <v>4</v>
      </c>
      <c r="C1211">
        <v>2</v>
      </c>
      <c r="D1211" s="1">
        <v>45748</v>
      </c>
      <c r="E1211" s="4" t="s">
        <v>25</v>
      </c>
      <c r="F1211" s="4" t="s">
        <v>26</v>
      </c>
      <c r="G1211" s="4" t="s">
        <v>109</v>
      </c>
      <c r="H1211">
        <v>54</v>
      </c>
      <c r="I1211">
        <v>86</v>
      </c>
      <c r="J1211">
        <v>3</v>
      </c>
      <c r="K1211">
        <v>83</v>
      </c>
      <c r="L1211">
        <v>67624.34</v>
      </c>
      <c r="M1211">
        <v>3435</v>
      </c>
      <c r="N1211">
        <v>64189.34</v>
      </c>
      <c r="O1211">
        <v>39322.800000000003</v>
      </c>
      <c r="P1211">
        <v>24866.54</v>
      </c>
      <c r="Q1211">
        <v>0.38740000000000002</v>
      </c>
      <c r="R1211">
        <v>5</v>
      </c>
      <c r="S1211">
        <v>4851.34</v>
      </c>
      <c r="T1211">
        <v>0</v>
      </c>
      <c r="U1211">
        <v>1188.69</v>
      </c>
    </row>
    <row r="1212" spans="1:21" x14ac:dyDescent="0.35">
      <c r="A1212">
        <v>2025</v>
      </c>
      <c r="B1212">
        <v>4</v>
      </c>
      <c r="C1212">
        <v>2</v>
      </c>
      <c r="D1212" s="1">
        <v>45748</v>
      </c>
      <c r="E1212" s="4" t="s">
        <v>29</v>
      </c>
      <c r="F1212" s="4" t="s">
        <v>28</v>
      </c>
      <c r="G1212" s="4" t="s">
        <v>107</v>
      </c>
      <c r="H1212">
        <v>180</v>
      </c>
      <c r="I1212">
        <v>279</v>
      </c>
      <c r="J1212">
        <v>0</v>
      </c>
      <c r="K1212">
        <v>279</v>
      </c>
      <c r="L1212">
        <v>128007.12</v>
      </c>
      <c r="M1212">
        <v>0</v>
      </c>
      <c r="N1212">
        <v>128007.12</v>
      </c>
      <c r="O1212">
        <v>46027.8</v>
      </c>
      <c r="P1212">
        <v>81979.320000000007</v>
      </c>
      <c r="Q1212">
        <v>0.64039999999999997</v>
      </c>
      <c r="R1212">
        <v>23</v>
      </c>
      <c r="S1212">
        <v>17055.12</v>
      </c>
      <c r="T1212">
        <v>0</v>
      </c>
      <c r="U1212">
        <v>711.15</v>
      </c>
    </row>
    <row r="1213" spans="1:21" x14ac:dyDescent="0.35">
      <c r="A1213">
        <v>2025</v>
      </c>
      <c r="B1213">
        <v>4</v>
      </c>
      <c r="C1213">
        <v>2</v>
      </c>
      <c r="D1213" s="1">
        <v>45748</v>
      </c>
      <c r="E1213" s="4" t="s">
        <v>29</v>
      </c>
      <c r="F1213" s="4" t="s">
        <v>28</v>
      </c>
      <c r="G1213" s="4" t="s">
        <v>108</v>
      </c>
      <c r="H1213">
        <v>25</v>
      </c>
      <c r="I1213">
        <v>38</v>
      </c>
      <c r="J1213">
        <v>0</v>
      </c>
      <c r="K1213">
        <v>38</v>
      </c>
      <c r="L1213">
        <v>22751.360000000001</v>
      </c>
      <c r="M1213">
        <v>0</v>
      </c>
      <c r="N1213">
        <v>22751.360000000001</v>
      </c>
      <c r="O1213">
        <v>8086.4</v>
      </c>
      <c r="P1213">
        <v>14664.96</v>
      </c>
      <c r="Q1213">
        <v>0.64459999999999995</v>
      </c>
      <c r="R1213">
        <v>3</v>
      </c>
      <c r="S1213">
        <v>4511.3599999999997</v>
      </c>
      <c r="T1213">
        <v>0</v>
      </c>
      <c r="U1213">
        <v>910.05</v>
      </c>
    </row>
    <row r="1214" spans="1:21" x14ac:dyDescent="0.35">
      <c r="A1214">
        <v>2025</v>
      </c>
      <c r="B1214">
        <v>4</v>
      </c>
      <c r="C1214">
        <v>2</v>
      </c>
      <c r="D1214" s="1">
        <v>45748</v>
      </c>
      <c r="E1214" s="4" t="s">
        <v>29</v>
      </c>
      <c r="F1214" s="4" t="s">
        <v>28</v>
      </c>
      <c r="G1214" s="4" t="s">
        <v>109</v>
      </c>
      <c r="H1214">
        <v>819</v>
      </c>
      <c r="I1214">
        <v>1264</v>
      </c>
      <c r="J1214">
        <v>0</v>
      </c>
      <c r="K1214">
        <v>1264</v>
      </c>
      <c r="L1214">
        <v>608944.49</v>
      </c>
      <c r="M1214">
        <v>0</v>
      </c>
      <c r="N1214">
        <v>608944.49</v>
      </c>
      <c r="O1214">
        <v>221345.95</v>
      </c>
      <c r="P1214">
        <v>387598.54</v>
      </c>
      <c r="Q1214">
        <v>0.63649999999999995</v>
      </c>
      <c r="R1214">
        <v>100</v>
      </c>
      <c r="S1214">
        <v>94037.49</v>
      </c>
      <c r="T1214">
        <v>0</v>
      </c>
      <c r="U1214">
        <v>743.52</v>
      </c>
    </row>
    <row r="1215" spans="1:21" x14ac:dyDescent="0.35">
      <c r="A1215">
        <v>2025</v>
      </c>
      <c r="B1215">
        <v>4</v>
      </c>
      <c r="C1215">
        <v>2</v>
      </c>
      <c r="D1215" s="1">
        <v>45748</v>
      </c>
      <c r="E1215" s="4" t="s">
        <v>29</v>
      </c>
      <c r="F1215" s="4" t="s">
        <v>24</v>
      </c>
      <c r="G1215" s="4" t="s">
        <v>107</v>
      </c>
      <c r="H1215">
        <v>5</v>
      </c>
      <c r="I1215">
        <v>8</v>
      </c>
      <c r="J1215">
        <v>0</v>
      </c>
      <c r="K1215">
        <v>8</v>
      </c>
      <c r="L1215">
        <v>6307.2</v>
      </c>
      <c r="M1215">
        <v>0</v>
      </c>
      <c r="N1215">
        <v>6307.2</v>
      </c>
      <c r="O1215">
        <v>3801.6</v>
      </c>
      <c r="P1215">
        <v>2505.6</v>
      </c>
      <c r="Q1215">
        <v>0.39729999999999999</v>
      </c>
      <c r="R1215">
        <v>2</v>
      </c>
      <c r="S1215">
        <v>2851.2</v>
      </c>
      <c r="T1215">
        <v>0</v>
      </c>
      <c r="U1215">
        <v>1261.44</v>
      </c>
    </row>
    <row r="1216" spans="1:21" x14ac:dyDescent="0.35">
      <c r="A1216">
        <v>2025</v>
      </c>
      <c r="B1216">
        <v>4</v>
      </c>
      <c r="C1216">
        <v>2</v>
      </c>
      <c r="D1216" s="1">
        <v>45748</v>
      </c>
      <c r="E1216" s="4" t="s">
        <v>29</v>
      </c>
      <c r="F1216" s="4" t="s">
        <v>24</v>
      </c>
      <c r="G1216" s="4" t="s">
        <v>108</v>
      </c>
      <c r="H1216">
        <v>8</v>
      </c>
      <c r="I1216">
        <v>15</v>
      </c>
      <c r="J1216">
        <v>1</v>
      </c>
      <c r="K1216">
        <v>14</v>
      </c>
      <c r="L1216">
        <v>10017</v>
      </c>
      <c r="M1216">
        <v>742</v>
      </c>
      <c r="N1216">
        <v>9275</v>
      </c>
      <c r="O1216">
        <v>5713.4</v>
      </c>
      <c r="P1216">
        <v>3561.6</v>
      </c>
      <c r="Q1216">
        <v>0.38400000000000001</v>
      </c>
      <c r="R1216">
        <v>2</v>
      </c>
      <c r="S1216">
        <v>3339</v>
      </c>
      <c r="T1216">
        <v>0</v>
      </c>
      <c r="U1216">
        <v>1159.3800000000001</v>
      </c>
    </row>
    <row r="1217" spans="1:21" x14ac:dyDescent="0.35">
      <c r="A1217">
        <v>2025</v>
      </c>
      <c r="B1217">
        <v>4</v>
      </c>
      <c r="C1217">
        <v>2</v>
      </c>
      <c r="D1217" s="1">
        <v>45748</v>
      </c>
      <c r="E1217" s="4" t="s">
        <v>29</v>
      </c>
      <c r="F1217" s="4" t="s">
        <v>24</v>
      </c>
      <c r="G1217" s="4" t="s">
        <v>109</v>
      </c>
      <c r="H1217">
        <v>154</v>
      </c>
      <c r="I1217">
        <v>245</v>
      </c>
      <c r="J1217">
        <v>1</v>
      </c>
      <c r="K1217">
        <v>244</v>
      </c>
      <c r="L1217">
        <v>484648.02</v>
      </c>
      <c r="M1217">
        <v>777</v>
      </c>
      <c r="N1217">
        <v>483871.02</v>
      </c>
      <c r="O1217">
        <v>274657.90000000002</v>
      </c>
      <c r="P1217">
        <v>209213.12</v>
      </c>
      <c r="Q1217">
        <v>0.43240000000000001</v>
      </c>
      <c r="R1217">
        <v>17</v>
      </c>
      <c r="S1217">
        <v>67595.02</v>
      </c>
      <c r="T1217">
        <v>0</v>
      </c>
      <c r="U1217">
        <v>3142.02</v>
      </c>
    </row>
    <row r="1218" spans="1:21" x14ac:dyDescent="0.35">
      <c r="A1218">
        <v>2025</v>
      </c>
      <c r="B1218">
        <v>4</v>
      </c>
      <c r="C1218">
        <v>2</v>
      </c>
      <c r="D1218" s="1">
        <v>45748</v>
      </c>
      <c r="E1218" s="4" t="s">
        <v>29</v>
      </c>
      <c r="F1218" s="4" t="s">
        <v>26</v>
      </c>
      <c r="G1218" s="4" t="s">
        <v>107</v>
      </c>
      <c r="H1218">
        <v>20</v>
      </c>
      <c r="I1218">
        <v>31</v>
      </c>
      <c r="J1218">
        <v>3</v>
      </c>
      <c r="K1218">
        <v>28</v>
      </c>
      <c r="L1218">
        <v>19196.91</v>
      </c>
      <c r="M1218">
        <v>803.67</v>
      </c>
      <c r="N1218">
        <v>18393.240000000002</v>
      </c>
      <c r="O1218">
        <v>11475.6</v>
      </c>
      <c r="P1218">
        <v>6917.64</v>
      </c>
      <c r="Q1218">
        <v>0.37609999999999999</v>
      </c>
      <c r="R1218">
        <v>4</v>
      </c>
      <c r="S1218">
        <v>2222.2399999999998</v>
      </c>
      <c r="T1218">
        <v>0</v>
      </c>
      <c r="U1218">
        <v>919.66</v>
      </c>
    </row>
    <row r="1219" spans="1:21" x14ac:dyDescent="0.35">
      <c r="A1219">
        <v>2025</v>
      </c>
      <c r="B1219">
        <v>4</v>
      </c>
      <c r="C1219">
        <v>2</v>
      </c>
      <c r="D1219" s="1">
        <v>45748</v>
      </c>
      <c r="E1219" s="4" t="s">
        <v>29</v>
      </c>
      <c r="F1219" s="4" t="s">
        <v>26</v>
      </c>
      <c r="G1219" s="4" t="s">
        <v>109</v>
      </c>
      <c r="H1219">
        <v>20</v>
      </c>
      <c r="I1219">
        <v>31</v>
      </c>
      <c r="J1219">
        <v>0</v>
      </c>
      <c r="K1219">
        <v>31</v>
      </c>
      <c r="L1219">
        <v>18912.599999999999</v>
      </c>
      <c r="M1219">
        <v>0</v>
      </c>
      <c r="N1219">
        <v>18912.599999999999</v>
      </c>
      <c r="O1219">
        <v>11767.2</v>
      </c>
      <c r="P1219">
        <v>7145.4</v>
      </c>
      <c r="Q1219">
        <v>0.37780000000000002</v>
      </c>
      <c r="R1219">
        <v>1</v>
      </c>
      <c r="S1219">
        <v>1990.6</v>
      </c>
      <c r="T1219">
        <v>0</v>
      </c>
      <c r="U1219">
        <v>945.63</v>
      </c>
    </row>
    <row r="1220" spans="1:21" x14ac:dyDescent="0.35">
      <c r="A1220">
        <v>2025</v>
      </c>
      <c r="B1220">
        <v>4</v>
      </c>
      <c r="C1220">
        <v>2</v>
      </c>
      <c r="D1220" s="1">
        <v>45748</v>
      </c>
      <c r="E1220" s="4" t="s">
        <v>31</v>
      </c>
      <c r="F1220" s="4" t="s">
        <v>28</v>
      </c>
      <c r="G1220" s="4" t="s">
        <v>107</v>
      </c>
      <c r="H1220">
        <v>83</v>
      </c>
      <c r="I1220">
        <v>132</v>
      </c>
      <c r="J1220">
        <v>0</v>
      </c>
      <c r="K1220">
        <v>132</v>
      </c>
      <c r="L1220">
        <v>50444.09</v>
      </c>
      <c r="M1220">
        <v>0</v>
      </c>
      <c r="N1220">
        <v>50444.09</v>
      </c>
      <c r="O1220">
        <v>18530.05</v>
      </c>
      <c r="P1220">
        <v>31914.04</v>
      </c>
      <c r="Q1220">
        <v>0.63270000000000004</v>
      </c>
      <c r="R1220">
        <v>15</v>
      </c>
      <c r="S1220">
        <v>10248.09</v>
      </c>
      <c r="T1220">
        <v>0</v>
      </c>
      <c r="U1220">
        <v>607.76</v>
      </c>
    </row>
    <row r="1221" spans="1:21" x14ac:dyDescent="0.35">
      <c r="A1221">
        <v>2025</v>
      </c>
      <c r="B1221">
        <v>4</v>
      </c>
      <c r="C1221">
        <v>2</v>
      </c>
      <c r="D1221" s="1">
        <v>45748</v>
      </c>
      <c r="E1221" s="4" t="s">
        <v>31</v>
      </c>
      <c r="F1221" s="4" t="s">
        <v>28</v>
      </c>
      <c r="G1221" s="4" t="s">
        <v>108</v>
      </c>
      <c r="H1221">
        <v>302</v>
      </c>
      <c r="I1221">
        <v>456</v>
      </c>
      <c r="J1221">
        <v>0</v>
      </c>
      <c r="K1221">
        <v>456</v>
      </c>
      <c r="L1221">
        <v>170118.64</v>
      </c>
      <c r="M1221">
        <v>0</v>
      </c>
      <c r="N1221">
        <v>170118.64</v>
      </c>
      <c r="O1221">
        <v>61031.25</v>
      </c>
      <c r="P1221">
        <v>109087.39</v>
      </c>
      <c r="Q1221">
        <v>0.64119999999999999</v>
      </c>
      <c r="R1221">
        <v>33</v>
      </c>
      <c r="S1221">
        <v>22519.64</v>
      </c>
      <c r="T1221">
        <v>0</v>
      </c>
      <c r="U1221">
        <v>563.30999999999995</v>
      </c>
    </row>
    <row r="1222" spans="1:21" x14ac:dyDescent="0.35">
      <c r="A1222">
        <v>2025</v>
      </c>
      <c r="B1222">
        <v>4</v>
      </c>
      <c r="C1222">
        <v>2</v>
      </c>
      <c r="D1222" s="1">
        <v>45748</v>
      </c>
      <c r="E1222" s="4" t="s">
        <v>31</v>
      </c>
      <c r="F1222" s="4" t="s">
        <v>28</v>
      </c>
      <c r="G1222" s="4" t="s">
        <v>109</v>
      </c>
      <c r="H1222">
        <v>897</v>
      </c>
      <c r="I1222">
        <v>1374</v>
      </c>
      <c r="J1222">
        <v>0</v>
      </c>
      <c r="K1222">
        <v>1374</v>
      </c>
      <c r="L1222">
        <v>671874.03</v>
      </c>
      <c r="M1222">
        <v>0</v>
      </c>
      <c r="N1222">
        <v>671874.03</v>
      </c>
      <c r="O1222">
        <v>243969.25</v>
      </c>
      <c r="P1222">
        <v>427904.78</v>
      </c>
      <c r="Q1222">
        <v>0.63690000000000002</v>
      </c>
      <c r="R1222">
        <v>115</v>
      </c>
      <c r="S1222">
        <v>94388.03</v>
      </c>
      <c r="T1222">
        <v>0</v>
      </c>
      <c r="U1222">
        <v>749.02</v>
      </c>
    </row>
    <row r="1223" spans="1:21" x14ac:dyDescent="0.35">
      <c r="A1223">
        <v>2025</v>
      </c>
      <c r="B1223">
        <v>4</v>
      </c>
      <c r="C1223">
        <v>2</v>
      </c>
      <c r="D1223" s="1">
        <v>45748</v>
      </c>
      <c r="E1223" s="4" t="s">
        <v>31</v>
      </c>
      <c r="F1223" s="4" t="s">
        <v>35</v>
      </c>
      <c r="G1223" s="4" t="s">
        <v>107</v>
      </c>
      <c r="H1223">
        <v>1</v>
      </c>
      <c r="I1223">
        <v>3</v>
      </c>
      <c r="J1223">
        <v>0</v>
      </c>
      <c r="K1223">
        <v>3</v>
      </c>
      <c r="L1223">
        <v>1221</v>
      </c>
      <c r="M1223">
        <v>0</v>
      </c>
      <c r="N1223">
        <v>1221</v>
      </c>
      <c r="O1223">
        <v>244.2</v>
      </c>
      <c r="P1223">
        <v>976.8</v>
      </c>
      <c r="Q1223">
        <v>0.8</v>
      </c>
      <c r="R1223">
        <v>0</v>
      </c>
      <c r="S1223">
        <v>0</v>
      </c>
      <c r="T1223">
        <v>0</v>
      </c>
      <c r="U1223">
        <v>1221</v>
      </c>
    </row>
    <row r="1224" spans="1:21" x14ac:dyDescent="0.35">
      <c r="A1224">
        <v>2025</v>
      </c>
      <c r="B1224">
        <v>4</v>
      </c>
      <c r="C1224">
        <v>2</v>
      </c>
      <c r="D1224" s="1">
        <v>45748</v>
      </c>
      <c r="E1224" s="4" t="s">
        <v>31</v>
      </c>
      <c r="F1224" s="4" t="s">
        <v>24</v>
      </c>
      <c r="G1224" s="4" t="s">
        <v>107</v>
      </c>
      <c r="H1224">
        <v>10</v>
      </c>
      <c r="I1224">
        <v>15</v>
      </c>
      <c r="J1224">
        <v>3</v>
      </c>
      <c r="K1224">
        <v>12</v>
      </c>
      <c r="L1224">
        <v>25991.599999999999</v>
      </c>
      <c r="M1224">
        <v>5430</v>
      </c>
      <c r="N1224">
        <v>20561.599999999999</v>
      </c>
      <c r="O1224">
        <v>11946</v>
      </c>
      <c r="P1224">
        <v>8615.6</v>
      </c>
      <c r="Q1224">
        <v>0.41899999999999998</v>
      </c>
      <c r="R1224">
        <v>2</v>
      </c>
      <c r="S1224">
        <v>6081.6</v>
      </c>
      <c r="T1224">
        <v>0</v>
      </c>
      <c r="U1224">
        <v>2056.16</v>
      </c>
    </row>
    <row r="1225" spans="1:21" x14ac:dyDescent="0.35">
      <c r="A1225">
        <v>2025</v>
      </c>
      <c r="B1225">
        <v>4</v>
      </c>
      <c r="C1225">
        <v>2</v>
      </c>
      <c r="D1225" s="1">
        <v>45748</v>
      </c>
      <c r="E1225" s="4" t="s">
        <v>31</v>
      </c>
      <c r="F1225" s="4" t="s">
        <v>24</v>
      </c>
      <c r="G1225" s="4" t="s">
        <v>109</v>
      </c>
      <c r="H1225">
        <v>246</v>
      </c>
      <c r="I1225">
        <v>388</v>
      </c>
      <c r="J1225">
        <v>3</v>
      </c>
      <c r="K1225">
        <v>385</v>
      </c>
      <c r="L1225">
        <v>553620.85</v>
      </c>
      <c r="M1225">
        <v>3999</v>
      </c>
      <c r="N1225">
        <v>549621.85</v>
      </c>
      <c r="O1225">
        <v>312504.5</v>
      </c>
      <c r="P1225">
        <v>237117.35</v>
      </c>
      <c r="Q1225">
        <v>0.43140000000000001</v>
      </c>
      <c r="R1225">
        <v>34</v>
      </c>
      <c r="S1225">
        <v>84774.63</v>
      </c>
      <c r="T1225">
        <v>0</v>
      </c>
      <c r="U1225">
        <v>2234.2399999999998</v>
      </c>
    </row>
    <row r="1226" spans="1:21" x14ac:dyDescent="0.35">
      <c r="A1226">
        <v>2025</v>
      </c>
      <c r="B1226">
        <v>4</v>
      </c>
      <c r="C1226">
        <v>2</v>
      </c>
      <c r="D1226" s="1">
        <v>45748</v>
      </c>
      <c r="E1226" s="4" t="s">
        <v>31</v>
      </c>
      <c r="F1226" s="4" t="s">
        <v>26</v>
      </c>
      <c r="G1226" s="4" t="s">
        <v>107</v>
      </c>
      <c r="H1226">
        <v>7</v>
      </c>
      <c r="I1226">
        <v>12</v>
      </c>
      <c r="J1226">
        <v>0</v>
      </c>
      <c r="K1226">
        <v>12</v>
      </c>
      <c r="L1226">
        <v>5504.7</v>
      </c>
      <c r="M1226">
        <v>0</v>
      </c>
      <c r="N1226">
        <v>5504.7</v>
      </c>
      <c r="O1226">
        <v>3441.6</v>
      </c>
      <c r="P1226">
        <v>2063.1</v>
      </c>
      <c r="Q1226">
        <v>0.37480000000000002</v>
      </c>
      <c r="R1226">
        <v>2</v>
      </c>
      <c r="S1226">
        <v>2338.6999999999998</v>
      </c>
      <c r="T1226">
        <v>0</v>
      </c>
      <c r="U1226">
        <v>786.39</v>
      </c>
    </row>
    <row r="1227" spans="1:21" x14ac:dyDescent="0.35">
      <c r="A1227">
        <v>2025</v>
      </c>
      <c r="B1227">
        <v>4</v>
      </c>
      <c r="C1227">
        <v>2</v>
      </c>
      <c r="D1227" s="1">
        <v>45748</v>
      </c>
      <c r="E1227" s="4" t="s">
        <v>31</v>
      </c>
      <c r="F1227" s="4" t="s">
        <v>26</v>
      </c>
      <c r="G1227" s="4" t="s">
        <v>108</v>
      </c>
      <c r="H1227">
        <v>1</v>
      </c>
      <c r="I1227">
        <v>2</v>
      </c>
      <c r="J1227">
        <v>0</v>
      </c>
      <c r="K1227">
        <v>2</v>
      </c>
      <c r="L1227">
        <v>1452</v>
      </c>
      <c r="M1227">
        <v>0</v>
      </c>
      <c r="N1227">
        <v>1452</v>
      </c>
      <c r="O1227">
        <v>871.2</v>
      </c>
      <c r="P1227">
        <v>580.79999999999995</v>
      </c>
      <c r="Q1227">
        <v>0.4</v>
      </c>
      <c r="R1227">
        <v>0</v>
      </c>
      <c r="S1227">
        <v>0</v>
      </c>
      <c r="T1227">
        <v>0</v>
      </c>
      <c r="U1227">
        <v>1452</v>
      </c>
    </row>
    <row r="1228" spans="1:21" x14ac:dyDescent="0.35">
      <c r="A1228">
        <v>2025</v>
      </c>
      <c r="B1228">
        <v>4</v>
      </c>
      <c r="C1228">
        <v>2</v>
      </c>
      <c r="D1228" s="1">
        <v>45748</v>
      </c>
      <c r="E1228" s="4" t="s">
        <v>31</v>
      </c>
      <c r="F1228" s="4" t="s">
        <v>26</v>
      </c>
      <c r="G1228" s="4" t="s">
        <v>109</v>
      </c>
      <c r="H1228">
        <v>39</v>
      </c>
      <c r="I1228">
        <v>55</v>
      </c>
      <c r="J1228">
        <v>1</v>
      </c>
      <c r="K1228">
        <v>54</v>
      </c>
      <c r="L1228">
        <v>42433.56</v>
      </c>
      <c r="M1228">
        <v>1127</v>
      </c>
      <c r="N1228">
        <v>41306.559999999998</v>
      </c>
      <c r="O1228">
        <v>25168.799999999999</v>
      </c>
      <c r="P1228">
        <v>16137.76</v>
      </c>
      <c r="Q1228">
        <v>0.39069999999999999</v>
      </c>
      <c r="R1228">
        <v>2</v>
      </c>
      <c r="S1228">
        <v>3196.56</v>
      </c>
      <c r="T1228">
        <v>0</v>
      </c>
      <c r="U1228">
        <v>1059.1400000000001</v>
      </c>
    </row>
    <row r="1229" spans="1:21" x14ac:dyDescent="0.35">
      <c r="A1229">
        <v>2025</v>
      </c>
      <c r="B1229">
        <v>4</v>
      </c>
      <c r="C1229">
        <v>2</v>
      </c>
      <c r="D1229" s="1">
        <v>45748</v>
      </c>
      <c r="E1229" s="4" t="s">
        <v>30</v>
      </c>
      <c r="F1229" s="4" t="s">
        <v>28</v>
      </c>
      <c r="G1229" s="4" t="s">
        <v>107</v>
      </c>
      <c r="H1229">
        <v>114</v>
      </c>
      <c r="I1229">
        <v>167</v>
      </c>
      <c r="J1229">
        <v>0</v>
      </c>
      <c r="K1229">
        <v>167</v>
      </c>
      <c r="L1229">
        <v>73422.8</v>
      </c>
      <c r="M1229">
        <v>0</v>
      </c>
      <c r="N1229">
        <v>73422.8</v>
      </c>
      <c r="O1229">
        <v>26360.95</v>
      </c>
      <c r="P1229">
        <v>47061.85</v>
      </c>
      <c r="Q1229">
        <v>0.64100000000000001</v>
      </c>
      <c r="R1229">
        <v>13</v>
      </c>
      <c r="S1229">
        <v>6674.8</v>
      </c>
      <c r="T1229">
        <v>0</v>
      </c>
      <c r="U1229">
        <v>644.05999999999995</v>
      </c>
    </row>
    <row r="1230" spans="1:21" x14ac:dyDescent="0.35">
      <c r="A1230">
        <v>2025</v>
      </c>
      <c r="B1230">
        <v>4</v>
      </c>
      <c r="C1230">
        <v>2</v>
      </c>
      <c r="D1230" s="1">
        <v>45748</v>
      </c>
      <c r="E1230" s="4" t="s">
        <v>30</v>
      </c>
      <c r="F1230" s="4" t="s">
        <v>28</v>
      </c>
      <c r="G1230" s="4" t="s">
        <v>108</v>
      </c>
      <c r="H1230">
        <v>49</v>
      </c>
      <c r="I1230">
        <v>73</v>
      </c>
      <c r="J1230">
        <v>0</v>
      </c>
      <c r="K1230">
        <v>73</v>
      </c>
      <c r="L1230">
        <v>43252.02</v>
      </c>
      <c r="M1230">
        <v>0</v>
      </c>
      <c r="N1230">
        <v>43252.02</v>
      </c>
      <c r="O1230">
        <v>15713.25</v>
      </c>
      <c r="P1230">
        <v>27538.77</v>
      </c>
      <c r="Q1230">
        <v>0.63670000000000004</v>
      </c>
      <c r="R1230">
        <v>8</v>
      </c>
      <c r="S1230">
        <v>5928.6</v>
      </c>
      <c r="T1230">
        <v>0</v>
      </c>
      <c r="U1230">
        <v>882.69</v>
      </c>
    </row>
    <row r="1231" spans="1:21" x14ac:dyDescent="0.35">
      <c r="A1231">
        <v>2025</v>
      </c>
      <c r="B1231">
        <v>4</v>
      </c>
      <c r="C1231">
        <v>2</v>
      </c>
      <c r="D1231" s="1">
        <v>45748</v>
      </c>
      <c r="E1231" s="4" t="s">
        <v>30</v>
      </c>
      <c r="F1231" s="4" t="s">
        <v>28</v>
      </c>
      <c r="G1231" s="4" t="s">
        <v>109</v>
      </c>
      <c r="H1231">
        <v>639</v>
      </c>
      <c r="I1231">
        <v>1006</v>
      </c>
      <c r="J1231">
        <v>0</v>
      </c>
      <c r="K1231">
        <v>1006</v>
      </c>
      <c r="L1231">
        <v>396704.24</v>
      </c>
      <c r="M1231">
        <v>0</v>
      </c>
      <c r="N1231">
        <v>396704.24</v>
      </c>
      <c r="O1231">
        <v>143793.65</v>
      </c>
      <c r="P1231">
        <v>252910.59</v>
      </c>
      <c r="Q1231">
        <v>0.63749999999999996</v>
      </c>
      <c r="R1231">
        <v>73</v>
      </c>
      <c r="S1231">
        <v>54647.24</v>
      </c>
      <c r="T1231">
        <v>0</v>
      </c>
      <c r="U1231">
        <v>620.82000000000005</v>
      </c>
    </row>
    <row r="1232" spans="1:21" x14ac:dyDescent="0.35">
      <c r="A1232">
        <v>2025</v>
      </c>
      <c r="B1232">
        <v>4</v>
      </c>
      <c r="C1232">
        <v>2</v>
      </c>
      <c r="D1232" s="1">
        <v>45748</v>
      </c>
      <c r="E1232" s="4" t="s">
        <v>30</v>
      </c>
      <c r="F1232" s="4" t="s">
        <v>24</v>
      </c>
      <c r="G1232" s="4" t="s">
        <v>107</v>
      </c>
      <c r="H1232">
        <v>67</v>
      </c>
      <c r="I1232">
        <v>119</v>
      </c>
      <c r="J1232">
        <v>1</v>
      </c>
      <c r="K1232">
        <v>118</v>
      </c>
      <c r="L1232">
        <v>222113.51</v>
      </c>
      <c r="M1232">
        <v>2018</v>
      </c>
      <c r="N1232">
        <v>220095.51</v>
      </c>
      <c r="O1232">
        <v>123962.85</v>
      </c>
      <c r="P1232">
        <v>96132.66</v>
      </c>
      <c r="Q1232">
        <v>0.43680000000000002</v>
      </c>
      <c r="R1232">
        <v>7</v>
      </c>
      <c r="S1232">
        <v>36924.51</v>
      </c>
      <c r="T1232">
        <v>0</v>
      </c>
      <c r="U1232">
        <v>3285.01</v>
      </c>
    </row>
    <row r="1233" spans="1:21" x14ac:dyDescent="0.35">
      <c r="A1233">
        <v>2025</v>
      </c>
      <c r="B1233">
        <v>4</v>
      </c>
      <c r="C1233">
        <v>2</v>
      </c>
      <c r="D1233" s="1">
        <v>45748</v>
      </c>
      <c r="E1233" s="4" t="s">
        <v>30</v>
      </c>
      <c r="F1233" s="4" t="s">
        <v>24</v>
      </c>
      <c r="G1233" s="4" t="s">
        <v>108</v>
      </c>
      <c r="H1233">
        <v>7</v>
      </c>
      <c r="I1233">
        <v>10</v>
      </c>
      <c r="J1233">
        <v>0</v>
      </c>
      <c r="K1233">
        <v>10</v>
      </c>
      <c r="L1233">
        <v>23270.94</v>
      </c>
      <c r="M1233">
        <v>0</v>
      </c>
      <c r="N1233">
        <v>23270.94</v>
      </c>
      <c r="O1233">
        <v>13249.5</v>
      </c>
      <c r="P1233">
        <v>10021.44</v>
      </c>
      <c r="Q1233">
        <v>0.43059999999999998</v>
      </c>
      <c r="R1233">
        <v>1</v>
      </c>
      <c r="S1233">
        <v>3998.94</v>
      </c>
      <c r="T1233">
        <v>0</v>
      </c>
      <c r="U1233">
        <v>3324.42</v>
      </c>
    </row>
    <row r="1234" spans="1:21" x14ac:dyDescent="0.35">
      <c r="A1234">
        <v>2025</v>
      </c>
      <c r="B1234">
        <v>4</v>
      </c>
      <c r="C1234">
        <v>2</v>
      </c>
      <c r="D1234" s="1">
        <v>45748</v>
      </c>
      <c r="E1234" s="4" t="s">
        <v>30</v>
      </c>
      <c r="F1234" s="4" t="s">
        <v>24</v>
      </c>
      <c r="G1234" s="4" t="s">
        <v>109</v>
      </c>
      <c r="H1234">
        <v>201</v>
      </c>
      <c r="I1234">
        <v>305</v>
      </c>
      <c r="J1234">
        <v>3</v>
      </c>
      <c r="K1234">
        <v>302</v>
      </c>
      <c r="L1234">
        <v>535574.22</v>
      </c>
      <c r="M1234">
        <v>7060</v>
      </c>
      <c r="N1234">
        <v>528514.22</v>
      </c>
      <c r="O1234">
        <v>302408.15000000002</v>
      </c>
      <c r="P1234">
        <v>226106.07</v>
      </c>
      <c r="Q1234">
        <v>0.42780000000000001</v>
      </c>
      <c r="R1234">
        <v>26</v>
      </c>
      <c r="S1234">
        <v>78840.22</v>
      </c>
      <c r="T1234">
        <v>0</v>
      </c>
      <c r="U1234">
        <v>2629.42</v>
      </c>
    </row>
    <row r="1235" spans="1:21" x14ac:dyDescent="0.35">
      <c r="A1235">
        <v>2025</v>
      </c>
      <c r="B1235">
        <v>4</v>
      </c>
      <c r="C1235">
        <v>2</v>
      </c>
      <c r="D1235" s="1">
        <v>45748</v>
      </c>
      <c r="E1235" s="4" t="s">
        <v>30</v>
      </c>
      <c r="F1235" s="4" t="s">
        <v>26</v>
      </c>
      <c r="G1235" s="4" t="s">
        <v>107</v>
      </c>
      <c r="H1235">
        <v>1</v>
      </c>
      <c r="I1235">
        <v>1</v>
      </c>
      <c r="J1235">
        <v>0</v>
      </c>
      <c r="K1235">
        <v>1</v>
      </c>
      <c r="L1235">
        <v>908</v>
      </c>
      <c r="M1235">
        <v>0</v>
      </c>
      <c r="N1235">
        <v>908</v>
      </c>
      <c r="O1235">
        <v>544.79999999999995</v>
      </c>
      <c r="P1235">
        <v>363.2</v>
      </c>
      <c r="Q1235">
        <v>0.4</v>
      </c>
      <c r="R1235">
        <v>0</v>
      </c>
      <c r="S1235">
        <v>0</v>
      </c>
      <c r="T1235">
        <v>0</v>
      </c>
      <c r="U1235">
        <v>908</v>
      </c>
    </row>
    <row r="1236" spans="1:21" x14ac:dyDescent="0.35">
      <c r="A1236">
        <v>2025</v>
      </c>
      <c r="B1236">
        <v>4</v>
      </c>
      <c r="C1236">
        <v>2</v>
      </c>
      <c r="D1236" s="1">
        <v>45748</v>
      </c>
      <c r="E1236" s="4" t="s">
        <v>30</v>
      </c>
      <c r="F1236" s="4" t="s">
        <v>26</v>
      </c>
      <c r="G1236" s="4" t="s">
        <v>109</v>
      </c>
      <c r="H1236">
        <v>49</v>
      </c>
      <c r="I1236">
        <v>76</v>
      </c>
      <c r="J1236">
        <v>3</v>
      </c>
      <c r="K1236">
        <v>73</v>
      </c>
      <c r="L1236">
        <v>60661.760000000002</v>
      </c>
      <c r="M1236">
        <v>1878.2</v>
      </c>
      <c r="N1236">
        <v>58783.56</v>
      </c>
      <c r="O1236">
        <v>37750.199999999997</v>
      </c>
      <c r="P1236">
        <v>21033.360000000001</v>
      </c>
      <c r="Q1236">
        <v>0.35780000000000001</v>
      </c>
      <c r="R1236">
        <v>12</v>
      </c>
      <c r="S1236">
        <v>16571.560000000001</v>
      </c>
      <c r="T1236">
        <v>0</v>
      </c>
      <c r="U1236">
        <v>1199.6600000000001</v>
      </c>
    </row>
    <row r="1237" spans="1:21" x14ac:dyDescent="0.35">
      <c r="A1237">
        <v>2025</v>
      </c>
      <c r="B1237">
        <v>4</v>
      </c>
      <c r="C1237">
        <v>2</v>
      </c>
      <c r="D1237" s="1">
        <v>45748</v>
      </c>
      <c r="E1237" s="4" t="s">
        <v>78</v>
      </c>
      <c r="F1237" s="4" t="s">
        <v>78</v>
      </c>
      <c r="G1237" s="4" t="s">
        <v>110</v>
      </c>
      <c r="H1237">
        <v>237</v>
      </c>
      <c r="I1237">
        <v>337</v>
      </c>
      <c r="J1237">
        <v>0</v>
      </c>
      <c r="K1237">
        <v>337</v>
      </c>
      <c r="L1237">
        <v>716544.68</v>
      </c>
      <c r="M1237">
        <v>0</v>
      </c>
      <c r="N1237">
        <v>716544.68</v>
      </c>
      <c r="O1237">
        <v>107430.75</v>
      </c>
      <c r="P1237">
        <v>609113.93000000005</v>
      </c>
      <c r="Q1237">
        <v>0.85009999999999997</v>
      </c>
      <c r="R1237">
        <v>2</v>
      </c>
      <c r="S1237">
        <v>4389</v>
      </c>
      <c r="T1237">
        <v>0</v>
      </c>
      <c r="U1237">
        <v>3023.4</v>
      </c>
    </row>
    <row r="1238" spans="1:21" x14ac:dyDescent="0.35">
      <c r="A1238">
        <v>2025</v>
      </c>
      <c r="B1238">
        <v>5</v>
      </c>
      <c r="C1238">
        <v>2</v>
      </c>
      <c r="D1238" s="1">
        <v>45778</v>
      </c>
      <c r="E1238" s="4" t="s">
        <v>33</v>
      </c>
      <c r="F1238" s="4" t="s">
        <v>28</v>
      </c>
      <c r="G1238" s="4" t="s">
        <v>107</v>
      </c>
      <c r="H1238">
        <v>107</v>
      </c>
      <c r="I1238">
        <v>166</v>
      </c>
      <c r="J1238">
        <v>0</v>
      </c>
      <c r="K1238">
        <v>166</v>
      </c>
      <c r="L1238">
        <v>53321.01</v>
      </c>
      <c r="M1238">
        <v>0</v>
      </c>
      <c r="N1238">
        <v>53321.01</v>
      </c>
      <c r="O1238">
        <v>18976.650000000001</v>
      </c>
      <c r="P1238">
        <v>34344.36</v>
      </c>
      <c r="Q1238">
        <v>0.64410000000000001</v>
      </c>
      <c r="R1238">
        <v>8</v>
      </c>
      <c r="S1238">
        <v>4976.01</v>
      </c>
      <c r="T1238">
        <v>0</v>
      </c>
      <c r="U1238">
        <v>498.33</v>
      </c>
    </row>
    <row r="1239" spans="1:21" x14ac:dyDescent="0.35">
      <c r="A1239">
        <v>2025</v>
      </c>
      <c r="B1239">
        <v>5</v>
      </c>
      <c r="C1239">
        <v>2</v>
      </c>
      <c r="D1239" s="1">
        <v>45778</v>
      </c>
      <c r="E1239" s="4" t="s">
        <v>33</v>
      </c>
      <c r="F1239" s="4" t="s">
        <v>28</v>
      </c>
      <c r="G1239" s="4" t="s">
        <v>108</v>
      </c>
      <c r="H1239">
        <v>48</v>
      </c>
      <c r="I1239">
        <v>72</v>
      </c>
      <c r="J1239">
        <v>0</v>
      </c>
      <c r="K1239">
        <v>72</v>
      </c>
      <c r="L1239">
        <v>49192.08</v>
      </c>
      <c r="M1239">
        <v>0</v>
      </c>
      <c r="N1239">
        <v>49192.08</v>
      </c>
      <c r="O1239">
        <v>17942.400000000001</v>
      </c>
      <c r="P1239">
        <v>31249.68</v>
      </c>
      <c r="Q1239">
        <v>0.63529999999999998</v>
      </c>
      <c r="R1239">
        <v>6</v>
      </c>
      <c r="S1239">
        <v>7896.08</v>
      </c>
      <c r="T1239">
        <v>0</v>
      </c>
      <c r="U1239">
        <v>1024.8399999999999</v>
      </c>
    </row>
    <row r="1240" spans="1:21" x14ac:dyDescent="0.35">
      <c r="A1240">
        <v>2025</v>
      </c>
      <c r="B1240">
        <v>5</v>
      </c>
      <c r="C1240">
        <v>2</v>
      </c>
      <c r="D1240" s="1">
        <v>45778</v>
      </c>
      <c r="E1240" s="4" t="s">
        <v>33</v>
      </c>
      <c r="F1240" s="4" t="s">
        <v>28</v>
      </c>
      <c r="G1240" s="4" t="s">
        <v>109</v>
      </c>
      <c r="H1240">
        <v>697</v>
      </c>
      <c r="I1240">
        <v>1110</v>
      </c>
      <c r="J1240">
        <v>0</v>
      </c>
      <c r="K1240">
        <v>1110</v>
      </c>
      <c r="L1240">
        <v>562251.25</v>
      </c>
      <c r="M1240">
        <v>0</v>
      </c>
      <c r="N1240">
        <v>562251.25</v>
      </c>
      <c r="O1240">
        <v>203296.45</v>
      </c>
      <c r="P1240">
        <v>358954.8</v>
      </c>
      <c r="Q1240">
        <v>0.63839999999999997</v>
      </c>
      <c r="R1240">
        <v>77</v>
      </c>
      <c r="S1240">
        <v>77016.5</v>
      </c>
      <c r="T1240">
        <v>0</v>
      </c>
      <c r="U1240">
        <v>806.67</v>
      </c>
    </row>
    <row r="1241" spans="1:21" x14ac:dyDescent="0.35">
      <c r="A1241">
        <v>2025</v>
      </c>
      <c r="B1241">
        <v>5</v>
      </c>
      <c r="C1241">
        <v>2</v>
      </c>
      <c r="D1241" s="1">
        <v>45778</v>
      </c>
      <c r="E1241" s="4" t="s">
        <v>33</v>
      </c>
      <c r="F1241" s="4" t="s">
        <v>24</v>
      </c>
      <c r="G1241" s="4" t="s">
        <v>107</v>
      </c>
      <c r="H1241">
        <v>8</v>
      </c>
      <c r="I1241">
        <v>9</v>
      </c>
      <c r="J1241">
        <v>0</v>
      </c>
      <c r="K1241">
        <v>9</v>
      </c>
      <c r="L1241">
        <v>15393</v>
      </c>
      <c r="M1241">
        <v>0</v>
      </c>
      <c r="N1241">
        <v>15393</v>
      </c>
      <c r="O1241">
        <v>8466.15</v>
      </c>
      <c r="P1241">
        <v>6926.85</v>
      </c>
      <c r="Q1241">
        <v>0.45</v>
      </c>
      <c r="R1241">
        <v>0</v>
      </c>
      <c r="S1241">
        <v>0</v>
      </c>
      <c r="T1241">
        <v>0</v>
      </c>
      <c r="U1241">
        <v>1924.13</v>
      </c>
    </row>
    <row r="1242" spans="1:21" x14ac:dyDescent="0.35">
      <c r="A1242">
        <v>2025</v>
      </c>
      <c r="B1242">
        <v>5</v>
      </c>
      <c r="C1242">
        <v>2</v>
      </c>
      <c r="D1242" s="1">
        <v>45778</v>
      </c>
      <c r="E1242" s="4" t="s">
        <v>33</v>
      </c>
      <c r="F1242" s="4" t="s">
        <v>24</v>
      </c>
      <c r="G1242" s="4" t="s">
        <v>109</v>
      </c>
      <c r="H1242">
        <v>165</v>
      </c>
      <c r="I1242">
        <v>243</v>
      </c>
      <c r="J1242">
        <v>4</v>
      </c>
      <c r="K1242">
        <v>239</v>
      </c>
      <c r="L1242">
        <v>371745.16</v>
      </c>
      <c r="M1242">
        <v>6018.4</v>
      </c>
      <c r="N1242">
        <v>365726.76</v>
      </c>
      <c r="O1242">
        <v>209723.25</v>
      </c>
      <c r="P1242">
        <v>156003.51</v>
      </c>
      <c r="Q1242">
        <v>0.42659999999999998</v>
      </c>
      <c r="R1242">
        <v>22</v>
      </c>
      <c r="S1242">
        <v>57846.76</v>
      </c>
      <c r="T1242">
        <v>0</v>
      </c>
      <c r="U1242">
        <v>2216.5300000000002</v>
      </c>
    </row>
    <row r="1243" spans="1:21" x14ac:dyDescent="0.35">
      <c r="A1243">
        <v>2025</v>
      </c>
      <c r="B1243">
        <v>5</v>
      </c>
      <c r="C1243">
        <v>2</v>
      </c>
      <c r="D1243" s="1">
        <v>45778</v>
      </c>
      <c r="E1243" s="4" t="s">
        <v>33</v>
      </c>
      <c r="F1243" s="4" t="s">
        <v>26</v>
      </c>
      <c r="G1243" s="4" t="s">
        <v>107</v>
      </c>
      <c r="H1243">
        <v>1</v>
      </c>
      <c r="I1243">
        <v>1</v>
      </c>
      <c r="J1243">
        <v>0</v>
      </c>
      <c r="K1243">
        <v>1</v>
      </c>
      <c r="L1243">
        <v>581</v>
      </c>
      <c r="M1243">
        <v>0</v>
      </c>
      <c r="N1243">
        <v>581</v>
      </c>
      <c r="O1243">
        <v>348.6</v>
      </c>
      <c r="P1243">
        <v>232.4</v>
      </c>
      <c r="Q1243">
        <v>0.4</v>
      </c>
      <c r="R1243">
        <v>0</v>
      </c>
      <c r="S1243">
        <v>0</v>
      </c>
      <c r="T1243">
        <v>0</v>
      </c>
      <c r="U1243">
        <v>581</v>
      </c>
    </row>
    <row r="1244" spans="1:21" x14ac:dyDescent="0.35">
      <c r="A1244">
        <v>2025</v>
      </c>
      <c r="B1244">
        <v>5</v>
      </c>
      <c r="C1244">
        <v>2</v>
      </c>
      <c r="D1244" s="1">
        <v>45778</v>
      </c>
      <c r="E1244" s="4" t="s">
        <v>33</v>
      </c>
      <c r="F1244" s="4" t="s">
        <v>26</v>
      </c>
      <c r="G1244" s="4" t="s">
        <v>108</v>
      </c>
      <c r="H1244">
        <v>8</v>
      </c>
      <c r="I1244">
        <v>8</v>
      </c>
      <c r="J1244">
        <v>0</v>
      </c>
      <c r="K1244">
        <v>8</v>
      </c>
      <c r="L1244">
        <v>6478</v>
      </c>
      <c r="M1244">
        <v>0</v>
      </c>
      <c r="N1244">
        <v>6478</v>
      </c>
      <c r="O1244">
        <v>3886.8</v>
      </c>
      <c r="P1244">
        <v>2591.1999999999998</v>
      </c>
      <c r="Q1244">
        <v>0.4</v>
      </c>
      <c r="R1244">
        <v>0</v>
      </c>
      <c r="S1244">
        <v>0</v>
      </c>
      <c r="T1244">
        <v>0</v>
      </c>
      <c r="U1244">
        <v>809.75</v>
      </c>
    </row>
    <row r="1245" spans="1:21" x14ac:dyDescent="0.35">
      <c r="A1245">
        <v>2025</v>
      </c>
      <c r="B1245">
        <v>5</v>
      </c>
      <c r="C1245">
        <v>2</v>
      </c>
      <c r="D1245" s="1">
        <v>45778</v>
      </c>
      <c r="E1245" s="4" t="s">
        <v>33</v>
      </c>
      <c r="F1245" s="4" t="s">
        <v>26</v>
      </c>
      <c r="G1245" s="4" t="s">
        <v>109</v>
      </c>
      <c r="H1245">
        <v>51</v>
      </c>
      <c r="I1245">
        <v>80</v>
      </c>
      <c r="J1245">
        <v>6</v>
      </c>
      <c r="K1245">
        <v>74</v>
      </c>
      <c r="L1245">
        <v>59134.46</v>
      </c>
      <c r="M1245">
        <v>6556</v>
      </c>
      <c r="N1245">
        <v>52578.46</v>
      </c>
      <c r="O1245">
        <v>33608.400000000001</v>
      </c>
      <c r="P1245">
        <v>18970.060000000001</v>
      </c>
      <c r="Q1245">
        <v>0.36080000000000001</v>
      </c>
      <c r="R1245">
        <v>7</v>
      </c>
      <c r="S1245">
        <v>13177.46</v>
      </c>
      <c r="T1245">
        <v>0</v>
      </c>
      <c r="U1245">
        <v>1030.95</v>
      </c>
    </row>
    <row r="1246" spans="1:21" x14ac:dyDescent="0.35">
      <c r="A1246">
        <v>2025</v>
      </c>
      <c r="B1246">
        <v>5</v>
      </c>
      <c r="C1246">
        <v>2</v>
      </c>
      <c r="D1246" s="1">
        <v>45778</v>
      </c>
      <c r="E1246" s="4" t="s">
        <v>32</v>
      </c>
      <c r="F1246" s="4" t="s">
        <v>28</v>
      </c>
      <c r="G1246" s="4" t="s">
        <v>107</v>
      </c>
      <c r="H1246">
        <v>26</v>
      </c>
      <c r="I1246">
        <v>42</v>
      </c>
      <c r="J1246">
        <v>0</v>
      </c>
      <c r="K1246">
        <v>42</v>
      </c>
      <c r="L1246">
        <v>18464.18</v>
      </c>
      <c r="M1246">
        <v>0</v>
      </c>
      <c r="N1246">
        <v>18464.18</v>
      </c>
      <c r="O1246">
        <v>6673.8</v>
      </c>
      <c r="P1246">
        <v>11790.38</v>
      </c>
      <c r="Q1246">
        <v>0.63859999999999995</v>
      </c>
      <c r="R1246">
        <v>2</v>
      </c>
      <c r="S1246">
        <v>1212.18</v>
      </c>
      <c r="T1246">
        <v>0</v>
      </c>
      <c r="U1246">
        <v>710.16</v>
      </c>
    </row>
    <row r="1247" spans="1:21" x14ac:dyDescent="0.35">
      <c r="A1247">
        <v>2025</v>
      </c>
      <c r="B1247">
        <v>5</v>
      </c>
      <c r="C1247">
        <v>2</v>
      </c>
      <c r="D1247" s="1">
        <v>45778</v>
      </c>
      <c r="E1247" s="4" t="s">
        <v>32</v>
      </c>
      <c r="F1247" s="4" t="s">
        <v>28</v>
      </c>
      <c r="G1247" s="4" t="s">
        <v>109</v>
      </c>
      <c r="H1247">
        <v>527</v>
      </c>
      <c r="I1247">
        <v>814</v>
      </c>
      <c r="J1247">
        <v>0</v>
      </c>
      <c r="K1247">
        <v>814</v>
      </c>
      <c r="L1247">
        <v>273334.84000000003</v>
      </c>
      <c r="M1247">
        <v>0</v>
      </c>
      <c r="N1247">
        <v>273334.84000000003</v>
      </c>
      <c r="O1247">
        <v>98885.85</v>
      </c>
      <c r="P1247">
        <v>174448.99</v>
      </c>
      <c r="Q1247">
        <v>0.63819999999999999</v>
      </c>
      <c r="R1247">
        <v>62</v>
      </c>
      <c r="S1247">
        <v>35596.18</v>
      </c>
      <c r="T1247">
        <v>0</v>
      </c>
      <c r="U1247">
        <v>518.66</v>
      </c>
    </row>
    <row r="1248" spans="1:21" x14ac:dyDescent="0.35">
      <c r="A1248">
        <v>2025</v>
      </c>
      <c r="B1248">
        <v>5</v>
      </c>
      <c r="C1248">
        <v>2</v>
      </c>
      <c r="D1248" s="1">
        <v>45778</v>
      </c>
      <c r="E1248" s="4" t="s">
        <v>32</v>
      </c>
      <c r="F1248" s="4" t="s">
        <v>35</v>
      </c>
      <c r="G1248" s="4" t="s">
        <v>109</v>
      </c>
      <c r="H1248">
        <v>1</v>
      </c>
      <c r="I1248">
        <v>2</v>
      </c>
      <c r="J1248">
        <v>0</v>
      </c>
      <c r="K1248">
        <v>2</v>
      </c>
      <c r="L1248">
        <v>424</v>
      </c>
      <c r="M1248">
        <v>0</v>
      </c>
      <c r="N1248">
        <v>424</v>
      </c>
      <c r="O1248">
        <v>84.8</v>
      </c>
      <c r="P1248">
        <v>339.2</v>
      </c>
      <c r="Q1248">
        <v>0.8</v>
      </c>
      <c r="R1248">
        <v>0</v>
      </c>
      <c r="S1248">
        <v>0</v>
      </c>
      <c r="T1248">
        <v>0</v>
      </c>
      <c r="U1248">
        <v>424</v>
      </c>
    </row>
    <row r="1249" spans="1:21" x14ac:dyDescent="0.35">
      <c r="A1249">
        <v>2025</v>
      </c>
      <c r="B1249">
        <v>5</v>
      </c>
      <c r="C1249">
        <v>2</v>
      </c>
      <c r="D1249" s="1">
        <v>45778</v>
      </c>
      <c r="E1249" s="4" t="s">
        <v>32</v>
      </c>
      <c r="F1249" s="4" t="s">
        <v>24</v>
      </c>
      <c r="G1249" s="4" t="s">
        <v>107</v>
      </c>
      <c r="H1249">
        <v>56</v>
      </c>
      <c r="I1249">
        <v>90</v>
      </c>
      <c r="J1249">
        <v>2</v>
      </c>
      <c r="K1249">
        <v>88</v>
      </c>
      <c r="L1249">
        <v>139694.64000000001</v>
      </c>
      <c r="M1249">
        <v>2715</v>
      </c>
      <c r="N1249">
        <v>136979.64000000001</v>
      </c>
      <c r="O1249">
        <v>78145.649999999994</v>
      </c>
      <c r="P1249">
        <v>58833.99</v>
      </c>
      <c r="Q1249">
        <v>0.42949999999999999</v>
      </c>
      <c r="R1249">
        <v>7</v>
      </c>
      <c r="S1249">
        <v>25421.64</v>
      </c>
      <c r="T1249">
        <v>0</v>
      </c>
      <c r="U1249">
        <v>2446.0700000000002</v>
      </c>
    </row>
    <row r="1250" spans="1:21" x14ac:dyDescent="0.35">
      <c r="A1250">
        <v>2025</v>
      </c>
      <c r="B1250">
        <v>5</v>
      </c>
      <c r="C1250">
        <v>2</v>
      </c>
      <c r="D1250" s="1">
        <v>45778</v>
      </c>
      <c r="E1250" s="4" t="s">
        <v>32</v>
      </c>
      <c r="F1250" s="4" t="s">
        <v>24</v>
      </c>
      <c r="G1250" s="4" t="s">
        <v>109</v>
      </c>
      <c r="H1250">
        <v>195</v>
      </c>
      <c r="I1250">
        <v>285</v>
      </c>
      <c r="J1250">
        <v>2</v>
      </c>
      <c r="K1250">
        <v>283</v>
      </c>
      <c r="L1250">
        <v>371235.43</v>
      </c>
      <c r="M1250">
        <v>2653</v>
      </c>
      <c r="N1250">
        <v>368582.43</v>
      </c>
      <c r="O1250">
        <v>208918.05</v>
      </c>
      <c r="P1250">
        <v>159664.38</v>
      </c>
      <c r="Q1250">
        <v>0.43319999999999997</v>
      </c>
      <c r="R1250">
        <v>19</v>
      </c>
      <c r="S1250">
        <v>49346.43</v>
      </c>
      <c r="T1250">
        <v>0</v>
      </c>
      <c r="U1250">
        <v>1890.17</v>
      </c>
    </row>
    <row r="1251" spans="1:21" x14ac:dyDescent="0.35">
      <c r="A1251">
        <v>2025</v>
      </c>
      <c r="B1251">
        <v>5</v>
      </c>
      <c r="C1251">
        <v>2</v>
      </c>
      <c r="D1251" s="1">
        <v>45778</v>
      </c>
      <c r="E1251" s="4" t="s">
        <v>32</v>
      </c>
      <c r="F1251" s="4" t="s">
        <v>26</v>
      </c>
      <c r="G1251" s="4" t="s">
        <v>107</v>
      </c>
      <c r="H1251">
        <v>4</v>
      </c>
      <c r="I1251">
        <v>5</v>
      </c>
      <c r="J1251">
        <v>0</v>
      </c>
      <c r="K1251">
        <v>5</v>
      </c>
      <c r="L1251">
        <v>3066</v>
      </c>
      <c r="M1251">
        <v>0</v>
      </c>
      <c r="N1251">
        <v>3066</v>
      </c>
      <c r="O1251">
        <v>1839.6</v>
      </c>
      <c r="P1251">
        <v>1226.4000000000001</v>
      </c>
      <c r="Q1251">
        <v>0.4</v>
      </c>
      <c r="R1251">
        <v>0</v>
      </c>
      <c r="S1251">
        <v>0</v>
      </c>
      <c r="T1251">
        <v>0</v>
      </c>
      <c r="U1251">
        <v>766.5</v>
      </c>
    </row>
    <row r="1252" spans="1:21" x14ac:dyDescent="0.35">
      <c r="A1252">
        <v>2025</v>
      </c>
      <c r="B1252">
        <v>5</v>
      </c>
      <c r="C1252">
        <v>2</v>
      </c>
      <c r="D1252" s="1">
        <v>45778</v>
      </c>
      <c r="E1252" s="4" t="s">
        <v>32</v>
      </c>
      <c r="F1252" s="4" t="s">
        <v>26</v>
      </c>
      <c r="G1252" s="4" t="s">
        <v>108</v>
      </c>
      <c r="H1252">
        <v>6</v>
      </c>
      <c r="I1252">
        <v>11</v>
      </c>
      <c r="J1252">
        <v>0</v>
      </c>
      <c r="K1252">
        <v>11</v>
      </c>
      <c r="L1252">
        <v>3036.6</v>
      </c>
      <c r="M1252">
        <v>0</v>
      </c>
      <c r="N1252">
        <v>3036.6</v>
      </c>
      <c r="O1252">
        <v>2079</v>
      </c>
      <c r="P1252">
        <v>957.6</v>
      </c>
      <c r="Q1252">
        <v>0.31540000000000001</v>
      </c>
      <c r="R1252">
        <v>1</v>
      </c>
      <c r="S1252">
        <v>831.6</v>
      </c>
      <c r="T1252">
        <v>0</v>
      </c>
      <c r="U1252">
        <v>506.1</v>
      </c>
    </row>
    <row r="1253" spans="1:21" x14ac:dyDescent="0.35">
      <c r="A1253">
        <v>2025</v>
      </c>
      <c r="B1253">
        <v>5</v>
      </c>
      <c r="C1253">
        <v>2</v>
      </c>
      <c r="D1253" s="1">
        <v>45778</v>
      </c>
      <c r="E1253" s="4" t="s">
        <v>32</v>
      </c>
      <c r="F1253" s="4" t="s">
        <v>26</v>
      </c>
      <c r="G1253" s="4" t="s">
        <v>109</v>
      </c>
      <c r="H1253">
        <v>52</v>
      </c>
      <c r="I1253">
        <v>71</v>
      </c>
      <c r="J1253">
        <v>1</v>
      </c>
      <c r="K1253">
        <v>70</v>
      </c>
      <c r="L1253">
        <v>47453.35</v>
      </c>
      <c r="M1253">
        <v>920</v>
      </c>
      <c r="N1253">
        <v>46533.35</v>
      </c>
      <c r="O1253">
        <v>28957.8</v>
      </c>
      <c r="P1253">
        <v>17575.55</v>
      </c>
      <c r="Q1253">
        <v>0.37769999999999998</v>
      </c>
      <c r="R1253">
        <v>3</v>
      </c>
      <c r="S1253">
        <v>4795.3500000000004</v>
      </c>
      <c r="T1253">
        <v>0</v>
      </c>
      <c r="U1253">
        <v>894.87</v>
      </c>
    </row>
    <row r="1254" spans="1:21" x14ac:dyDescent="0.35">
      <c r="A1254">
        <v>2025</v>
      </c>
      <c r="B1254">
        <v>5</v>
      </c>
      <c r="C1254">
        <v>2</v>
      </c>
      <c r="D1254" s="1">
        <v>45778</v>
      </c>
      <c r="E1254" s="4" t="s">
        <v>27</v>
      </c>
      <c r="F1254" s="4" t="s">
        <v>28</v>
      </c>
      <c r="G1254" s="4" t="s">
        <v>107</v>
      </c>
      <c r="H1254">
        <v>290</v>
      </c>
      <c r="I1254">
        <v>426</v>
      </c>
      <c r="J1254">
        <v>0</v>
      </c>
      <c r="K1254">
        <v>426</v>
      </c>
      <c r="L1254">
        <v>187435.85</v>
      </c>
      <c r="M1254">
        <v>0</v>
      </c>
      <c r="N1254">
        <v>187435.85</v>
      </c>
      <c r="O1254">
        <v>68336.100000000006</v>
      </c>
      <c r="P1254">
        <v>119099.75</v>
      </c>
      <c r="Q1254">
        <v>0.63539999999999996</v>
      </c>
      <c r="R1254">
        <v>39</v>
      </c>
      <c r="S1254">
        <v>32230.95</v>
      </c>
      <c r="T1254">
        <v>0</v>
      </c>
      <c r="U1254">
        <v>646.33000000000004</v>
      </c>
    </row>
    <row r="1255" spans="1:21" x14ac:dyDescent="0.35">
      <c r="A1255">
        <v>2025</v>
      </c>
      <c r="B1255">
        <v>5</v>
      </c>
      <c r="C1255">
        <v>2</v>
      </c>
      <c r="D1255" s="1">
        <v>45778</v>
      </c>
      <c r="E1255" s="4" t="s">
        <v>27</v>
      </c>
      <c r="F1255" s="4" t="s">
        <v>28</v>
      </c>
      <c r="G1255" s="4" t="s">
        <v>109</v>
      </c>
      <c r="H1255">
        <v>812</v>
      </c>
      <c r="I1255">
        <v>1263</v>
      </c>
      <c r="J1255">
        <v>0</v>
      </c>
      <c r="K1255">
        <v>1263</v>
      </c>
      <c r="L1255">
        <v>676997.21</v>
      </c>
      <c r="M1255">
        <v>0</v>
      </c>
      <c r="N1255">
        <v>676997.21</v>
      </c>
      <c r="O1255">
        <v>245788.55</v>
      </c>
      <c r="P1255">
        <v>431208.66</v>
      </c>
      <c r="Q1255">
        <v>0.63690000000000002</v>
      </c>
      <c r="R1255">
        <v>103</v>
      </c>
      <c r="S1255">
        <v>107968.12</v>
      </c>
      <c r="T1255">
        <v>0</v>
      </c>
      <c r="U1255">
        <v>833.74</v>
      </c>
    </row>
    <row r="1256" spans="1:21" x14ac:dyDescent="0.35">
      <c r="A1256">
        <v>2025</v>
      </c>
      <c r="B1256">
        <v>5</v>
      </c>
      <c r="C1256">
        <v>2</v>
      </c>
      <c r="D1256" s="1">
        <v>45778</v>
      </c>
      <c r="E1256" s="4" t="s">
        <v>27</v>
      </c>
      <c r="F1256" s="4" t="s">
        <v>35</v>
      </c>
      <c r="G1256" s="4" t="s">
        <v>109</v>
      </c>
      <c r="H1256">
        <v>2</v>
      </c>
      <c r="I1256">
        <v>5</v>
      </c>
      <c r="J1256">
        <v>0</v>
      </c>
      <c r="K1256">
        <v>5</v>
      </c>
      <c r="L1256">
        <v>2413</v>
      </c>
      <c r="M1256">
        <v>0</v>
      </c>
      <c r="N1256">
        <v>2413</v>
      </c>
      <c r="O1256">
        <v>482.6</v>
      </c>
      <c r="P1256">
        <v>1930.4</v>
      </c>
      <c r="Q1256">
        <v>0.8</v>
      </c>
      <c r="R1256">
        <v>0</v>
      </c>
      <c r="S1256">
        <v>0</v>
      </c>
      <c r="T1256">
        <v>0</v>
      </c>
      <c r="U1256">
        <v>1206.5</v>
      </c>
    </row>
    <row r="1257" spans="1:21" x14ac:dyDescent="0.35">
      <c r="A1257">
        <v>2025</v>
      </c>
      <c r="B1257">
        <v>5</v>
      </c>
      <c r="C1257">
        <v>2</v>
      </c>
      <c r="D1257" s="1">
        <v>45778</v>
      </c>
      <c r="E1257" s="4" t="s">
        <v>27</v>
      </c>
      <c r="F1257" s="4" t="s">
        <v>24</v>
      </c>
      <c r="G1257" s="4" t="s">
        <v>107</v>
      </c>
      <c r="H1257">
        <v>60</v>
      </c>
      <c r="I1257">
        <v>97</v>
      </c>
      <c r="J1257">
        <v>7</v>
      </c>
      <c r="K1257">
        <v>90</v>
      </c>
      <c r="L1257">
        <v>178221.21</v>
      </c>
      <c r="M1257">
        <v>14374</v>
      </c>
      <c r="N1257">
        <v>163847.21</v>
      </c>
      <c r="O1257">
        <v>92076.05</v>
      </c>
      <c r="P1257">
        <v>71771.16</v>
      </c>
      <c r="Q1257">
        <v>0.438</v>
      </c>
      <c r="R1257">
        <v>5</v>
      </c>
      <c r="S1257">
        <v>11982.21</v>
      </c>
      <c r="T1257">
        <v>0</v>
      </c>
      <c r="U1257">
        <v>2730.79</v>
      </c>
    </row>
    <row r="1258" spans="1:21" x14ac:dyDescent="0.35">
      <c r="A1258">
        <v>2025</v>
      </c>
      <c r="B1258">
        <v>5</v>
      </c>
      <c r="C1258">
        <v>2</v>
      </c>
      <c r="D1258" s="1">
        <v>45778</v>
      </c>
      <c r="E1258" s="4" t="s">
        <v>27</v>
      </c>
      <c r="F1258" s="4" t="s">
        <v>24</v>
      </c>
      <c r="G1258" s="4" t="s">
        <v>109</v>
      </c>
      <c r="H1258">
        <v>271</v>
      </c>
      <c r="I1258">
        <v>404</v>
      </c>
      <c r="J1258">
        <v>10</v>
      </c>
      <c r="K1258">
        <v>394</v>
      </c>
      <c r="L1258">
        <v>638710.46</v>
      </c>
      <c r="M1258">
        <v>14760</v>
      </c>
      <c r="N1258">
        <v>623950.46</v>
      </c>
      <c r="O1258">
        <v>358406.40000000002</v>
      </c>
      <c r="P1258">
        <v>265544.06</v>
      </c>
      <c r="Q1258">
        <v>0.42559999999999998</v>
      </c>
      <c r="R1258">
        <v>40</v>
      </c>
      <c r="S1258">
        <v>104358.52</v>
      </c>
      <c r="T1258">
        <v>0</v>
      </c>
      <c r="U1258">
        <v>2302.4</v>
      </c>
    </row>
    <row r="1259" spans="1:21" x14ac:dyDescent="0.35">
      <c r="A1259">
        <v>2025</v>
      </c>
      <c r="B1259">
        <v>5</v>
      </c>
      <c r="C1259">
        <v>2</v>
      </c>
      <c r="D1259" s="1">
        <v>45778</v>
      </c>
      <c r="E1259" s="4" t="s">
        <v>27</v>
      </c>
      <c r="F1259" s="4" t="s">
        <v>26</v>
      </c>
      <c r="G1259" s="4" t="s">
        <v>107</v>
      </c>
      <c r="H1259">
        <v>12</v>
      </c>
      <c r="I1259">
        <v>18</v>
      </c>
      <c r="J1259">
        <v>0</v>
      </c>
      <c r="K1259">
        <v>18</v>
      </c>
      <c r="L1259">
        <v>19218</v>
      </c>
      <c r="M1259">
        <v>0</v>
      </c>
      <c r="N1259">
        <v>19218</v>
      </c>
      <c r="O1259">
        <v>11530.8</v>
      </c>
      <c r="P1259">
        <v>7687.2</v>
      </c>
      <c r="Q1259">
        <v>0.4</v>
      </c>
      <c r="R1259">
        <v>0</v>
      </c>
      <c r="S1259">
        <v>0</v>
      </c>
      <c r="T1259">
        <v>0</v>
      </c>
      <c r="U1259">
        <v>1601.5</v>
      </c>
    </row>
    <row r="1260" spans="1:21" x14ac:dyDescent="0.35">
      <c r="A1260">
        <v>2025</v>
      </c>
      <c r="B1260">
        <v>5</v>
      </c>
      <c r="C1260">
        <v>2</v>
      </c>
      <c r="D1260" s="1">
        <v>45778</v>
      </c>
      <c r="E1260" s="4" t="s">
        <v>27</v>
      </c>
      <c r="F1260" s="4" t="s">
        <v>26</v>
      </c>
      <c r="G1260" s="4" t="s">
        <v>109</v>
      </c>
      <c r="H1260">
        <v>50</v>
      </c>
      <c r="I1260">
        <v>67</v>
      </c>
      <c r="J1260">
        <v>1</v>
      </c>
      <c r="K1260">
        <v>66</v>
      </c>
      <c r="L1260">
        <v>45063.7</v>
      </c>
      <c r="M1260">
        <v>1138</v>
      </c>
      <c r="N1260">
        <v>43925.7</v>
      </c>
      <c r="O1260">
        <v>27618</v>
      </c>
      <c r="P1260">
        <v>16307.7</v>
      </c>
      <c r="Q1260">
        <v>0.37130000000000002</v>
      </c>
      <c r="R1260">
        <v>5</v>
      </c>
      <c r="S1260">
        <v>6709.7</v>
      </c>
      <c r="T1260">
        <v>0</v>
      </c>
      <c r="U1260">
        <v>878.51</v>
      </c>
    </row>
    <row r="1261" spans="1:21" x14ac:dyDescent="0.35">
      <c r="A1261">
        <v>2025</v>
      </c>
      <c r="B1261">
        <v>5</v>
      </c>
      <c r="C1261">
        <v>2</v>
      </c>
      <c r="D1261" s="1">
        <v>45778</v>
      </c>
      <c r="E1261" s="4" t="s">
        <v>34</v>
      </c>
      <c r="F1261" s="4" t="s">
        <v>28</v>
      </c>
      <c r="G1261" s="4" t="s">
        <v>107</v>
      </c>
      <c r="H1261">
        <v>139</v>
      </c>
      <c r="I1261">
        <v>206</v>
      </c>
      <c r="J1261">
        <v>0</v>
      </c>
      <c r="K1261">
        <v>206</v>
      </c>
      <c r="L1261">
        <v>132364.04</v>
      </c>
      <c r="M1261">
        <v>0</v>
      </c>
      <c r="N1261">
        <v>132364.04</v>
      </c>
      <c r="O1261">
        <v>48794.2</v>
      </c>
      <c r="P1261">
        <v>83569.84</v>
      </c>
      <c r="Q1261">
        <v>0.63139999999999996</v>
      </c>
      <c r="R1261">
        <v>22</v>
      </c>
      <c r="S1261">
        <v>30434.97</v>
      </c>
      <c r="T1261">
        <v>0</v>
      </c>
      <c r="U1261">
        <v>952.26</v>
      </c>
    </row>
    <row r="1262" spans="1:21" x14ac:dyDescent="0.35">
      <c r="A1262">
        <v>2025</v>
      </c>
      <c r="B1262">
        <v>5</v>
      </c>
      <c r="C1262">
        <v>2</v>
      </c>
      <c r="D1262" s="1">
        <v>45778</v>
      </c>
      <c r="E1262" s="4" t="s">
        <v>34</v>
      </c>
      <c r="F1262" s="4" t="s">
        <v>28</v>
      </c>
      <c r="G1262" s="4" t="s">
        <v>108</v>
      </c>
      <c r="H1262">
        <v>63</v>
      </c>
      <c r="I1262">
        <v>96</v>
      </c>
      <c r="J1262">
        <v>0</v>
      </c>
      <c r="K1262">
        <v>96</v>
      </c>
      <c r="L1262">
        <v>40452.959999999999</v>
      </c>
      <c r="M1262">
        <v>0</v>
      </c>
      <c r="N1262">
        <v>40452.959999999999</v>
      </c>
      <c r="O1262">
        <v>14313.6</v>
      </c>
      <c r="P1262">
        <v>26139.360000000001</v>
      </c>
      <c r="Q1262">
        <v>0.6462</v>
      </c>
      <c r="R1262">
        <v>4</v>
      </c>
      <c r="S1262">
        <v>2964.96</v>
      </c>
      <c r="T1262">
        <v>0</v>
      </c>
      <c r="U1262">
        <v>642.11</v>
      </c>
    </row>
    <row r="1263" spans="1:21" x14ac:dyDescent="0.35">
      <c r="A1263">
        <v>2025</v>
      </c>
      <c r="B1263">
        <v>5</v>
      </c>
      <c r="C1263">
        <v>2</v>
      </c>
      <c r="D1263" s="1">
        <v>45778</v>
      </c>
      <c r="E1263" s="4" t="s">
        <v>34</v>
      </c>
      <c r="F1263" s="4" t="s">
        <v>28</v>
      </c>
      <c r="G1263" s="4" t="s">
        <v>109</v>
      </c>
      <c r="H1263">
        <v>690</v>
      </c>
      <c r="I1263">
        <v>1063</v>
      </c>
      <c r="J1263">
        <v>0</v>
      </c>
      <c r="K1263">
        <v>1063</v>
      </c>
      <c r="L1263">
        <v>507389.22</v>
      </c>
      <c r="M1263">
        <v>0</v>
      </c>
      <c r="N1263">
        <v>507389.22</v>
      </c>
      <c r="O1263">
        <v>186343.5</v>
      </c>
      <c r="P1263">
        <v>321045.71999999997</v>
      </c>
      <c r="Q1263">
        <v>0.63270000000000004</v>
      </c>
      <c r="R1263">
        <v>93</v>
      </c>
      <c r="S1263">
        <v>89399.22</v>
      </c>
      <c r="T1263">
        <v>0</v>
      </c>
      <c r="U1263">
        <v>735.35</v>
      </c>
    </row>
    <row r="1264" spans="1:21" x14ac:dyDescent="0.35">
      <c r="A1264">
        <v>2025</v>
      </c>
      <c r="B1264">
        <v>5</v>
      </c>
      <c r="C1264">
        <v>2</v>
      </c>
      <c r="D1264" s="1">
        <v>45778</v>
      </c>
      <c r="E1264" s="4" t="s">
        <v>34</v>
      </c>
      <c r="F1264" s="4" t="s">
        <v>24</v>
      </c>
      <c r="G1264" s="4" t="s">
        <v>107</v>
      </c>
      <c r="H1264">
        <v>78</v>
      </c>
      <c r="I1264">
        <v>125</v>
      </c>
      <c r="J1264">
        <v>5</v>
      </c>
      <c r="K1264">
        <v>120</v>
      </c>
      <c r="L1264">
        <v>222180.29</v>
      </c>
      <c r="M1264">
        <v>8140</v>
      </c>
      <c r="N1264">
        <v>214040.29</v>
      </c>
      <c r="O1264">
        <v>121342.65</v>
      </c>
      <c r="P1264">
        <v>92697.64</v>
      </c>
      <c r="Q1264">
        <v>0.43309999999999998</v>
      </c>
      <c r="R1264">
        <v>10</v>
      </c>
      <c r="S1264">
        <v>27928.29</v>
      </c>
      <c r="T1264">
        <v>0</v>
      </c>
      <c r="U1264">
        <v>2744.11</v>
      </c>
    </row>
    <row r="1265" spans="1:21" x14ac:dyDescent="0.35">
      <c r="A1265">
        <v>2025</v>
      </c>
      <c r="B1265">
        <v>5</v>
      </c>
      <c r="C1265">
        <v>2</v>
      </c>
      <c r="D1265" s="1">
        <v>45778</v>
      </c>
      <c r="E1265" s="4" t="s">
        <v>34</v>
      </c>
      <c r="F1265" s="4" t="s">
        <v>24</v>
      </c>
      <c r="G1265" s="4" t="s">
        <v>108</v>
      </c>
      <c r="H1265">
        <v>13</v>
      </c>
      <c r="I1265">
        <v>19</v>
      </c>
      <c r="J1265">
        <v>0</v>
      </c>
      <c r="K1265">
        <v>19</v>
      </c>
      <c r="L1265">
        <v>23387.84</v>
      </c>
      <c r="M1265">
        <v>0</v>
      </c>
      <c r="N1265">
        <v>23387.84</v>
      </c>
      <c r="O1265">
        <v>14410.55</v>
      </c>
      <c r="P1265">
        <v>8977.2900000000009</v>
      </c>
      <c r="Q1265">
        <v>0.38379999999999997</v>
      </c>
      <c r="R1265">
        <v>5</v>
      </c>
      <c r="S1265">
        <v>9597.84</v>
      </c>
      <c r="T1265">
        <v>0</v>
      </c>
      <c r="U1265">
        <v>1799.06</v>
      </c>
    </row>
    <row r="1266" spans="1:21" x14ac:dyDescent="0.35">
      <c r="A1266">
        <v>2025</v>
      </c>
      <c r="B1266">
        <v>5</v>
      </c>
      <c r="C1266">
        <v>2</v>
      </c>
      <c r="D1266" s="1">
        <v>45778</v>
      </c>
      <c r="E1266" s="4" t="s">
        <v>34</v>
      </c>
      <c r="F1266" s="4" t="s">
        <v>24</v>
      </c>
      <c r="G1266" s="4" t="s">
        <v>109</v>
      </c>
      <c r="H1266">
        <v>204</v>
      </c>
      <c r="I1266">
        <v>324</v>
      </c>
      <c r="J1266">
        <v>4</v>
      </c>
      <c r="K1266">
        <v>320</v>
      </c>
      <c r="L1266">
        <v>564055.38</v>
      </c>
      <c r="M1266">
        <v>6290.24</v>
      </c>
      <c r="N1266">
        <v>557765.14</v>
      </c>
      <c r="O1266">
        <v>317783.95</v>
      </c>
      <c r="P1266">
        <v>239981.19</v>
      </c>
      <c r="Q1266">
        <v>0.43030000000000002</v>
      </c>
      <c r="R1266">
        <v>26</v>
      </c>
      <c r="S1266">
        <v>71403.14</v>
      </c>
      <c r="T1266">
        <v>0</v>
      </c>
      <c r="U1266">
        <v>2734.14</v>
      </c>
    </row>
    <row r="1267" spans="1:21" x14ac:dyDescent="0.35">
      <c r="A1267">
        <v>2025</v>
      </c>
      <c r="B1267">
        <v>5</v>
      </c>
      <c r="C1267">
        <v>2</v>
      </c>
      <c r="D1267" s="1">
        <v>45778</v>
      </c>
      <c r="E1267" s="4" t="s">
        <v>34</v>
      </c>
      <c r="F1267" s="4" t="s">
        <v>26</v>
      </c>
      <c r="G1267" s="4" t="s">
        <v>107</v>
      </c>
      <c r="H1267">
        <v>5</v>
      </c>
      <c r="I1267">
        <v>10</v>
      </c>
      <c r="J1267">
        <v>0</v>
      </c>
      <c r="K1267">
        <v>10</v>
      </c>
      <c r="L1267">
        <v>4981.42</v>
      </c>
      <c r="M1267">
        <v>0</v>
      </c>
      <c r="N1267">
        <v>4981.42</v>
      </c>
      <c r="O1267">
        <v>3350.4</v>
      </c>
      <c r="P1267">
        <v>1631.02</v>
      </c>
      <c r="Q1267">
        <v>0.32740000000000002</v>
      </c>
      <c r="R1267">
        <v>2</v>
      </c>
      <c r="S1267">
        <v>2523.42</v>
      </c>
      <c r="T1267">
        <v>0</v>
      </c>
      <c r="U1267">
        <v>996.28</v>
      </c>
    </row>
    <row r="1268" spans="1:21" x14ac:dyDescent="0.35">
      <c r="A1268">
        <v>2025</v>
      </c>
      <c r="B1268">
        <v>5</v>
      </c>
      <c r="C1268">
        <v>2</v>
      </c>
      <c r="D1268" s="1">
        <v>45778</v>
      </c>
      <c r="E1268" s="4" t="s">
        <v>34</v>
      </c>
      <c r="F1268" s="4" t="s">
        <v>26</v>
      </c>
      <c r="G1268" s="4" t="s">
        <v>108</v>
      </c>
      <c r="H1268">
        <v>4</v>
      </c>
      <c r="I1268">
        <v>6</v>
      </c>
      <c r="J1268">
        <v>0</v>
      </c>
      <c r="K1268">
        <v>6</v>
      </c>
      <c r="L1268">
        <v>2196</v>
      </c>
      <c r="M1268">
        <v>0</v>
      </c>
      <c r="N1268">
        <v>2196</v>
      </c>
      <c r="O1268">
        <v>1317.6</v>
      </c>
      <c r="P1268">
        <v>878.4</v>
      </c>
      <c r="Q1268">
        <v>0.4</v>
      </c>
      <c r="R1268">
        <v>0</v>
      </c>
      <c r="S1268">
        <v>0</v>
      </c>
      <c r="T1268">
        <v>0</v>
      </c>
      <c r="U1268">
        <v>549</v>
      </c>
    </row>
    <row r="1269" spans="1:21" x14ac:dyDescent="0.35">
      <c r="A1269">
        <v>2025</v>
      </c>
      <c r="B1269">
        <v>5</v>
      </c>
      <c r="C1269">
        <v>2</v>
      </c>
      <c r="D1269" s="1">
        <v>45778</v>
      </c>
      <c r="E1269" s="4" t="s">
        <v>34</v>
      </c>
      <c r="F1269" s="4" t="s">
        <v>26</v>
      </c>
      <c r="G1269" s="4" t="s">
        <v>109</v>
      </c>
      <c r="H1269">
        <v>46</v>
      </c>
      <c r="I1269">
        <v>75</v>
      </c>
      <c r="J1269">
        <v>2</v>
      </c>
      <c r="K1269">
        <v>73</v>
      </c>
      <c r="L1269">
        <v>51638.73</v>
      </c>
      <c r="M1269">
        <v>1530</v>
      </c>
      <c r="N1269">
        <v>50108.73</v>
      </c>
      <c r="O1269">
        <v>31729.200000000001</v>
      </c>
      <c r="P1269">
        <v>18379.53</v>
      </c>
      <c r="Q1269">
        <v>0.36680000000000001</v>
      </c>
      <c r="R1269">
        <v>8</v>
      </c>
      <c r="S1269">
        <v>13599.73</v>
      </c>
      <c r="T1269">
        <v>0</v>
      </c>
      <c r="U1269">
        <v>1089.32</v>
      </c>
    </row>
    <row r="1270" spans="1:21" x14ac:dyDescent="0.35">
      <c r="A1270">
        <v>2025</v>
      </c>
      <c r="B1270">
        <v>5</v>
      </c>
      <c r="C1270">
        <v>2</v>
      </c>
      <c r="D1270" s="1">
        <v>45778</v>
      </c>
      <c r="E1270" s="4" t="s">
        <v>36</v>
      </c>
      <c r="F1270" s="4" t="s">
        <v>28</v>
      </c>
      <c r="G1270" s="4" t="s">
        <v>107</v>
      </c>
      <c r="H1270">
        <v>99</v>
      </c>
      <c r="I1270">
        <v>134</v>
      </c>
      <c r="J1270">
        <v>0</v>
      </c>
      <c r="K1270">
        <v>134</v>
      </c>
      <c r="L1270">
        <v>88604.18</v>
      </c>
      <c r="M1270">
        <v>0</v>
      </c>
      <c r="N1270">
        <v>88604.18</v>
      </c>
      <c r="O1270">
        <v>31680.25</v>
      </c>
      <c r="P1270">
        <v>56923.93</v>
      </c>
      <c r="Q1270">
        <v>0.64249999999999996</v>
      </c>
      <c r="R1270">
        <v>8</v>
      </c>
      <c r="S1270">
        <v>7442.44</v>
      </c>
      <c r="T1270">
        <v>0</v>
      </c>
      <c r="U1270">
        <v>894.99</v>
      </c>
    </row>
    <row r="1271" spans="1:21" x14ac:dyDescent="0.35">
      <c r="A1271">
        <v>2025</v>
      </c>
      <c r="B1271">
        <v>5</v>
      </c>
      <c r="C1271">
        <v>2</v>
      </c>
      <c r="D1271" s="1">
        <v>45778</v>
      </c>
      <c r="E1271" s="4" t="s">
        <v>36</v>
      </c>
      <c r="F1271" s="4" t="s">
        <v>28</v>
      </c>
      <c r="G1271" s="4" t="s">
        <v>108</v>
      </c>
      <c r="H1271">
        <v>147</v>
      </c>
      <c r="I1271">
        <v>204</v>
      </c>
      <c r="J1271">
        <v>0</v>
      </c>
      <c r="K1271">
        <v>204</v>
      </c>
      <c r="L1271">
        <v>67533.539999999994</v>
      </c>
      <c r="M1271">
        <v>0</v>
      </c>
      <c r="N1271">
        <v>67533.539999999994</v>
      </c>
      <c r="O1271">
        <v>24123.05</v>
      </c>
      <c r="P1271">
        <v>43410.49</v>
      </c>
      <c r="Q1271">
        <v>0.64280000000000004</v>
      </c>
      <c r="R1271">
        <v>8</v>
      </c>
      <c r="S1271">
        <v>4126.54</v>
      </c>
      <c r="T1271">
        <v>0</v>
      </c>
      <c r="U1271">
        <v>459.41</v>
      </c>
    </row>
    <row r="1272" spans="1:21" x14ac:dyDescent="0.35">
      <c r="A1272">
        <v>2025</v>
      </c>
      <c r="B1272">
        <v>5</v>
      </c>
      <c r="C1272">
        <v>2</v>
      </c>
      <c r="D1272" s="1">
        <v>45778</v>
      </c>
      <c r="E1272" s="4" t="s">
        <v>36</v>
      </c>
      <c r="F1272" s="4" t="s">
        <v>28</v>
      </c>
      <c r="G1272" s="4" t="s">
        <v>109</v>
      </c>
      <c r="H1272">
        <v>776</v>
      </c>
      <c r="I1272">
        <v>1198</v>
      </c>
      <c r="J1272">
        <v>0</v>
      </c>
      <c r="K1272">
        <v>1198</v>
      </c>
      <c r="L1272">
        <v>581004.53</v>
      </c>
      <c r="M1272">
        <v>0</v>
      </c>
      <c r="N1272">
        <v>581004.53</v>
      </c>
      <c r="O1272">
        <v>211743</v>
      </c>
      <c r="P1272">
        <v>369261.53</v>
      </c>
      <c r="Q1272">
        <v>0.63560000000000005</v>
      </c>
      <c r="R1272">
        <v>106</v>
      </c>
      <c r="S1272">
        <v>87183.53</v>
      </c>
      <c r="T1272">
        <v>0</v>
      </c>
      <c r="U1272">
        <v>748.72</v>
      </c>
    </row>
    <row r="1273" spans="1:21" x14ac:dyDescent="0.35">
      <c r="A1273">
        <v>2025</v>
      </c>
      <c r="B1273">
        <v>5</v>
      </c>
      <c r="C1273">
        <v>2</v>
      </c>
      <c r="D1273" s="1">
        <v>45778</v>
      </c>
      <c r="E1273" s="4" t="s">
        <v>36</v>
      </c>
      <c r="F1273" s="4" t="s">
        <v>24</v>
      </c>
      <c r="G1273" s="4" t="s">
        <v>107</v>
      </c>
      <c r="H1273">
        <v>58</v>
      </c>
      <c r="I1273">
        <v>97</v>
      </c>
      <c r="J1273">
        <v>2</v>
      </c>
      <c r="K1273">
        <v>95</v>
      </c>
      <c r="L1273">
        <v>124190.13</v>
      </c>
      <c r="M1273">
        <v>3327.09</v>
      </c>
      <c r="N1273">
        <v>120863.03999999999</v>
      </c>
      <c r="O1273">
        <v>69263.149999999994</v>
      </c>
      <c r="P1273">
        <v>51599.89</v>
      </c>
      <c r="Q1273">
        <v>0.4269</v>
      </c>
      <c r="R1273">
        <v>8</v>
      </c>
      <c r="S1273">
        <v>21985.040000000001</v>
      </c>
      <c r="T1273">
        <v>0</v>
      </c>
      <c r="U1273">
        <v>2083.85</v>
      </c>
    </row>
    <row r="1274" spans="1:21" x14ac:dyDescent="0.35">
      <c r="A1274">
        <v>2025</v>
      </c>
      <c r="B1274">
        <v>5</v>
      </c>
      <c r="C1274">
        <v>2</v>
      </c>
      <c r="D1274" s="1">
        <v>45778</v>
      </c>
      <c r="E1274" s="4" t="s">
        <v>36</v>
      </c>
      <c r="F1274" s="4" t="s">
        <v>24</v>
      </c>
      <c r="G1274" s="4" t="s">
        <v>108</v>
      </c>
      <c r="H1274">
        <v>32</v>
      </c>
      <c r="I1274">
        <v>54</v>
      </c>
      <c r="J1274">
        <v>0</v>
      </c>
      <c r="K1274">
        <v>54</v>
      </c>
      <c r="L1274">
        <v>88107.199999999997</v>
      </c>
      <c r="M1274">
        <v>0</v>
      </c>
      <c r="N1274">
        <v>88107.199999999997</v>
      </c>
      <c r="O1274">
        <v>51044.4</v>
      </c>
      <c r="P1274">
        <v>37062.800000000003</v>
      </c>
      <c r="Q1274">
        <v>0.42070000000000002</v>
      </c>
      <c r="R1274">
        <v>6</v>
      </c>
      <c r="S1274">
        <v>24635.200000000001</v>
      </c>
      <c r="T1274">
        <v>0</v>
      </c>
      <c r="U1274">
        <v>2753.35</v>
      </c>
    </row>
    <row r="1275" spans="1:21" x14ac:dyDescent="0.35">
      <c r="A1275">
        <v>2025</v>
      </c>
      <c r="B1275">
        <v>5</v>
      </c>
      <c r="C1275">
        <v>2</v>
      </c>
      <c r="D1275" s="1">
        <v>45778</v>
      </c>
      <c r="E1275" s="4" t="s">
        <v>36</v>
      </c>
      <c r="F1275" s="4" t="s">
        <v>24</v>
      </c>
      <c r="G1275" s="4" t="s">
        <v>109</v>
      </c>
      <c r="H1275">
        <v>134</v>
      </c>
      <c r="I1275">
        <v>213</v>
      </c>
      <c r="J1275">
        <v>1</v>
      </c>
      <c r="K1275">
        <v>212</v>
      </c>
      <c r="L1275">
        <v>338833.89</v>
      </c>
      <c r="M1275">
        <v>1873</v>
      </c>
      <c r="N1275">
        <v>336960.89</v>
      </c>
      <c r="O1275">
        <v>190361.60000000001</v>
      </c>
      <c r="P1275">
        <v>146599.29</v>
      </c>
      <c r="Q1275">
        <v>0.43509999999999999</v>
      </c>
      <c r="R1275">
        <v>13</v>
      </c>
      <c r="S1275">
        <v>49341.89</v>
      </c>
      <c r="T1275">
        <v>0</v>
      </c>
      <c r="U1275">
        <v>2514.63</v>
      </c>
    </row>
    <row r="1276" spans="1:21" x14ac:dyDescent="0.35">
      <c r="A1276">
        <v>2025</v>
      </c>
      <c r="B1276">
        <v>5</v>
      </c>
      <c r="C1276">
        <v>2</v>
      </c>
      <c r="D1276" s="1">
        <v>45778</v>
      </c>
      <c r="E1276" s="4" t="s">
        <v>36</v>
      </c>
      <c r="F1276" s="4" t="s">
        <v>26</v>
      </c>
      <c r="G1276" s="4" t="s">
        <v>107</v>
      </c>
      <c r="H1276">
        <v>2</v>
      </c>
      <c r="I1276">
        <v>6</v>
      </c>
      <c r="J1276">
        <v>0</v>
      </c>
      <c r="K1276">
        <v>6</v>
      </c>
      <c r="L1276">
        <v>3741.5</v>
      </c>
      <c r="M1276">
        <v>0</v>
      </c>
      <c r="N1276">
        <v>3741.5</v>
      </c>
      <c r="O1276">
        <v>3086.4</v>
      </c>
      <c r="P1276">
        <v>655.1</v>
      </c>
      <c r="Q1276">
        <v>0.17510000000000001</v>
      </c>
      <c r="R1276">
        <v>1</v>
      </c>
      <c r="S1276">
        <v>3272.5</v>
      </c>
      <c r="T1276">
        <v>0</v>
      </c>
      <c r="U1276">
        <v>1870.75</v>
      </c>
    </row>
    <row r="1277" spans="1:21" x14ac:dyDescent="0.35">
      <c r="A1277">
        <v>2025</v>
      </c>
      <c r="B1277">
        <v>5</v>
      </c>
      <c r="C1277">
        <v>2</v>
      </c>
      <c r="D1277" s="1">
        <v>45778</v>
      </c>
      <c r="E1277" s="4" t="s">
        <v>36</v>
      </c>
      <c r="F1277" s="4" t="s">
        <v>26</v>
      </c>
      <c r="G1277" s="4" t="s">
        <v>109</v>
      </c>
      <c r="H1277">
        <v>56</v>
      </c>
      <c r="I1277">
        <v>75</v>
      </c>
      <c r="J1277">
        <v>3</v>
      </c>
      <c r="K1277">
        <v>72</v>
      </c>
      <c r="L1277">
        <v>64107.6</v>
      </c>
      <c r="M1277">
        <v>3507</v>
      </c>
      <c r="N1277">
        <v>60600.6</v>
      </c>
      <c r="O1277">
        <v>37340.400000000001</v>
      </c>
      <c r="P1277">
        <v>23260.2</v>
      </c>
      <c r="Q1277">
        <v>0.38379999999999997</v>
      </c>
      <c r="R1277">
        <v>4</v>
      </c>
      <c r="S1277">
        <v>7780.6</v>
      </c>
      <c r="T1277">
        <v>0</v>
      </c>
      <c r="U1277">
        <v>1082.1500000000001</v>
      </c>
    </row>
    <row r="1278" spans="1:21" x14ac:dyDescent="0.35">
      <c r="A1278">
        <v>2025</v>
      </c>
      <c r="B1278">
        <v>5</v>
      </c>
      <c r="C1278">
        <v>2</v>
      </c>
      <c r="D1278" s="1">
        <v>45778</v>
      </c>
      <c r="E1278" s="4" t="s">
        <v>23</v>
      </c>
      <c r="F1278" s="4" t="s">
        <v>28</v>
      </c>
      <c r="G1278" s="4" t="s">
        <v>107</v>
      </c>
      <c r="H1278">
        <v>104</v>
      </c>
      <c r="I1278">
        <v>157</v>
      </c>
      <c r="J1278">
        <v>0</v>
      </c>
      <c r="K1278">
        <v>157</v>
      </c>
      <c r="L1278">
        <v>51930.32</v>
      </c>
      <c r="M1278">
        <v>0</v>
      </c>
      <c r="N1278">
        <v>51930.32</v>
      </c>
      <c r="O1278">
        <v>18573.099999999999</v>
      </c>
      <c r="P1278">
        <v>33357.22</v>
      </c>
      <c r="Q1278">
        <v>0.64229999999999998</v>
      </c>
      <c r="R1278">
        <v>11</v>
      </c>
      <c r="S1278">
        <v>5624.32</v>
      </c>
      <c r="T1278">
        <v>0</v>
      </c>
      <c r="U1278">
        <v>499.33</v>
      </c>
    </row>
    <row r="1279" spans="1:21" x14ac:dyDescent="0.35">
      <c r="A1279">
        <v>2025</v>
      </c>
      <c r="B1279">
        <v>5</v>
      </c>
      <c r="C1279">
        <v>2</v>
      </c>
      <c r="D1279" s="1">
        <v>45778</v>
      </c>
      <c r="E1279" s="4" t="s">
        <v>23</v>
      </c>
      <c r="F1279" s="4" t="s">
        <v>28</v>
      </c>
      <c r="G1279" s="4" t="s">
        <v>108</v>
      </c>
      <c r="H1279">
        <v>47</v>
      </c>
      <c r="I1279">
        <v>72</v>
      </c>
      <c r="J1279">
        <v>0</v>
      </c>
      <c r="K1279">
        <v>72</v>
      </c>
      <c r="L1279">
        <v>49589.62</v>
      </c>
      <c r="M1279">
        <v>0</v>
      </c>
      <c r="N1279">
        <v>49589.62</v>
      </c>
      <c r="O1279">
        <v>17715.599999999999</v>
      </c>
      <c r="P1279">
        <v>31874.02</v>
      </c>
      <c r="Q1279">
        <v>0.64280000000000004</v>
      </c>
      <c r="R1279">
        <v>5</v>
      </c>
      <c r="S1279">
        <v>6706.62</v>
      </c>
      <c r="T1279">
        <v>0</v>
      </c>
      <c r="U1279">
        <v>1055.0999999999999</v>
      </c>
    </row>
    <row r="1280" spans="1:21" x14ac:dyDescent="0.35">
      <c r="A1280">
        <v>2025</v>
      </c>
      <c r="B1280">
        <v>5</v>
      </c>
      <c r="C1280">
        <v>2</v>
      </c>
      <c r="D1280" s="1">
        <v>45778</v>
      </c>
      <c r="E1280" s="4" t="s">
        <v>23</v>
      </c>
      <c r="F1280" s="4" t="s">
        <v>28</v>
      </c>
      <c r="G1280" s="4" t="s">
        <v>109</v>
      </c>
      <c r="H1280">
        <v>630</v>
      </c>
      <c r="I1280">
        <v>945</v>
      </c>
      <c r="J1280">
        <v>0</v>
      </c>
      <c r="K1280">
        <v>945</v>
      </c>
      <c r="L1280">
        <v>439857.5</v>
      </c>
      <c r="M1280">
        <v>0</v>
      </c>
      <c r="N1280">
        <v>439857.5</v>
      </c>
      <c r="O1280">
        <v>159480.29999999999</v>
      </c>
      <c r="P1280">
        <v>280377.2</v>
      </c>
      <c r="Q1280">
        <v>0.63739999999999997</v>
      </c>
      <c r="R1280">
        <v>70</v>
      </c>
      <c r="S1280">
        <v>59810.34</v>
      </c>
      <c r="T1280">
        <v>0</v>
      </c>
      <c r="U1280">
        <v>698.19</v>
      </c>
    </row>
    <row r="1281" spans="1:21" x14ac:dyDescent="0.35">
      <c r="A1281">
        <v>2025</v>
      </c>
      <c r="B1281">
        <v>5</v>
      </c>
      <c r="C1281">
        <v>2</v>
      </c>
      <c r="D1281" s="1">
        <v>45778</v>
      </c>
      <c r="E1281" s="4" t="s">
        <v>23</v>
      </c>
      <c r="F1281" s="4" t="s">
        <v>35</v>
      </c>
      <c r="G1281" s="4" t="s">
        <v>109</v>
      </c>
      <c r="H1281">
        <v>1</v>
      </c>
      <c r="I1281">
        <v>1</v>
      </c>
      <c r="J1281">
        <v>0</v>
      </c>
      <c r="K1281">
        <v>1</v>
      </c>
      <c r="L1281">
        <v>497</v>
      </c>
      <c r="M1281">
        <v>0</v>
      </c>
      <c r="N1281">
        <v>497</v>
      </c>
      <c r="O1281">
        <v>99.4</v>
      </c>
      <c r="P1281">
        <v>397.6</v>
      </c>
      <c r="Q1281">
        <v>0.8</v>
      </c>
      <c r="R1281">
        <v>0</v>
      </c>
      <c r="S1281">
        <v>0</v>
      </c>
      <c r="T1281">
        <v>0</v>
      </c>
      <c r="U1281">
        <v>497</v>
      </c>
    </row>
    <row r="1282" spans="1:21" x14ac:dyDescent="0.35">
      <c r="A1282">
        <v>2025</v>
      </c>
      <c r="B1282">
        <v>5</v>
      </c>
      <c r="C1282">
        <v>2</v>
      </c>
      <c r="D1282" s="1">
        <v>45778</v>
      </c>
      <c r="E1282" s="4" t="s">
        <v>23</v>
      </c>
      <c r="F1282" s="4" t="s">
        <v>24</v>
      </c>
      <c r="G1282" s="4" t="s">
        <v>107</v>
      </c>
      <c r="H1282">
        <v>65</v>
      </c>
      <c r="I1282">
        <v>90</v>
      </c>
      <c r="J1282">
        <v>0</v>
      </c>
      <c r="K1282">
        <v>90</v>
      </c>
      <c r="L1282">
        <v>172338.18</v>
      </c>
      <c r="M1282">
        <v>0</v>
      </c>
      <c r="N1282">
        <v>172338.18</v>
      </c>
      <c r="O1282">
        <v>96375.4</v>
      </c>
      <c r="P1282">
        <v>75962.78</v>
      </c>
      <c r="Q1282">
        <v>0.44080000000000003</v>
      </c>
      <c r="R1282">
        <v>3</v>
      </c>
      <c r="S1282">
        <v>11804.18</v>
      </c>
      <c r="T1282">
        <v>0</v>
      </c>
      <c r="U1282">
        <v>2651.36</v>
      </c>
    </row>
    <row r="1283" spans="1:21" x14ac:dyDescent="0.35">
      <c r="A1283">
        <v>2025</v>
      </c>
      <c r="B1283">
        <v>5</v>
      </c>
      <c r="C1283">
        <v>2</v>
      </c>
      <c r="D1283" s="1">
        <v>45778</v>
      </c>
      <c r="E1283" s="4" t="s">
        <v>23</v>
      </c>
      <c r="F1283" s="4" t="s">
        <v>24</v>
      </c>
      <c r="G1283" s="4" t="s">
        <v>109</v>
      </c>
      <c r="H1283">
        <v>164</v>
      </c>
      <c r="I1283">
        <v>246</v>
      </c>
      <c r="J1283">
        <v>3</v>
      </c>
      <c r="K1283">
        <v>243</v>
      </c>
      <c r="L1283">
        <v>267330.15000000002</v>
      </c>
      <c r="M1283">
        <v>4092</v>
      </c>
      <c r="N1283">
        <v>263238.15000000002</v>
      </c>
      <c r="O1283">
        <v>150335.9</v>
      </c>
      <c r="P1283">
        <v>112902.25</v>
      </c>
      <c r="Q1283">
        <v>0.4289</v>
      </c>
      <c r="R1283">
        <v>15</v>
      </c>
      <c r="S1283">
        <v>34224.15</v>
      </c>
      <c r="T1283">
        <v>0</v>
      </c>
      <c r="U1283">
        <v>1605.11</v>
      </c>
    </row>
    <row r="1284" spans="1:21" x14ac:dyDescent="0.35">
      <c r="A1284">
        <v>2025</v>
      </c>
      <c r="B1284">
        <v>5</v>
      </c>
      <c r="C1284">
        <v>2</v>
      </c>
      <c r="D1284" s="1">
        <v>45778</v>
      </c>
      <c r="E1284" s="4" t="s">
        <v>23</v>
      </c>
      <c r="F1284" s="4" t="s">
        <v>26</v>
      </c>
      <c r="G1284" s="4" t="s">
        <v>107</v>
      </c>
      <c r="H1284">
        <v>8</v>
      </c>
      <c r="I1284">
        <v>9</v>
      </c>
      <c r="J1284">
        <v>0</v>
      </c>
      <c r="K1284">
        <v>9</v>
      </c>
      <c r="L1284">
        <v>4903</v>
      </c>
      <c r="M1284">
        <v>0</v>
      </c>
      <c r="N1284">
        <v>4903</v>
      </c>
      <c r="O1284">
        <v>2941.8</v>
      </c>
      <c r="P1284">
        <v>1961.2</v>
      </c>
      <c r="Q1284">
        <v>0.4</v>
      </c>
      <c r="R1284">
        <v>0</v>
      </c>
      <c r="S1284">
        <v>0</v>
      </c>
      <c r="T1284">
        <v>0</v>
      </c>
      <c r="U1284">
        <v>612.88</v>
      </c>
    </row>
    <row r="1285" spans="1:21" x14ac:dyDescent="0.35">
      <c r="A1285">
        <v>2025</v>
      </c>
      <c r="B1285">
        <v>5</v>
      </c>
      <c r="C1285">
        <v>2</v>
      </c>
      <c r="D1285" s="1">
        <v>45778</v>
      </c>
      <c r="E1285" s="4" t="s">
        <v>23</v>
      </c>
      <c r="F1285" s="4" t="s">
        <v>26</v>
      </c>
      <c r="G1285" s="4" t="s">
        <v>109</v>
      </c>
      <c r="H1285">
        <v>32</v>
      </c>
      <c r="I1285">
        <v>45</v>
      </c>
      <c r="J1285">
        <v>1</v>
      </c>
      <c r="K1285">
        <v>44</v>
      </c>
      <c r="L1285">
        <v>29955.75</v>
      </c>
      <c r="M1285">
        <v>519</v>
      </c>
      <c r="N1285">
        <v>29436.75</v>
      </c>
      <c r="O1285">
        <v>18457.2</v>
      </c>
      <c r="P1285">
        <v>10979.55</v>
      </c>
      <c r="Q1285">
        <v>0.373</v>
      </c>
      <c r="R1285">
        <v>3</v>
      </c>
      <c r="S1285">
        <v>4155.75</v>
      </c>
      <c r="T1285">
        <v>0</v>
      </c>
      <c r="U1285">
        <v>919.9</v>
      </c>
    </row>
    <row r="1286" spans="1:21" x14ac:dyDescent="0.35">
      <c r="A1286">
        <v>2025</v>
      </c>
      <c r="B1286">
        <v>5</v>
      </c>
      <c r="C1286">
        <v>2</v>
      </c>
      <c r="D1286" s="1">
        <v>45778</v>
      </c>
      <c r="E1286" s="4" t="s">
        <v>25</v>
      </c>
      <c r="F1286" s="4" t="s">
        <v>28</v>
      </c>
      <c r="G1286" s="4" t="s">
        <v>107</v>
      </c>
      <c r="H1286">
        <v>18</v>
      </c>
      <c r="I1286">
        <v>27</v>
      </c>
      <c r="J1286">
        <v>0</v>
      </c>
      <c r="K1286">
        <v>27</v>
      </c>
      <c r="L1286">
        <v>12807.69</v>
      </c>
      <c r="M1286">
        <v>0</v>
      </c>
      <c r="N1286">
        <v>12807.69</v>
      </c>
      <c r="O1286">
        <v>4696.6499999999996</v>
      </c>
      <c r="P1286">
        <v>8111.04</v>
      </c>
      <c r="Q1286">
        <v>0.63329999999999997</v>
      </c>
      <c r="R1286">
        <v>5</v>
      </c>
      <c r="S1286">
        <v>4855.6899999999996</v>
      </c>
      <c r="T1286">
        <v>0</v>
      </c>
      <c r="U1286">
        <v>711.54</v>
      </c>
    </row>
    <row r="1287" spans="1:21" x14ac:dyDescent="0.35">
      <c r="A1287">
        <v>2025</v>
      </c>
      <c r="B1287">
        <v>5</v>
      </c>
      <c r="C1287">
        <v>2</v>
      </c>
      <c r="D1287" s="1">
        <v>45778</v>
      </c>
      <c r="E1287" s="4" t="s">
        <v>25</v>
      </c>
      <c r="F1287" s="4" t="s">
        <v>28</v>
      </c>
      <c r="G1287" s="4" t="s">
        <v>109</v>
      </c>
      <c r="H1287">
        <v>661</v>
      </c>
      <c r="I1287">
        <v>1002</v>
      </c>
      <c r="J1287">
        <v>0</v>
      </c>
      <c r="K1287">
        <v>1002</v>
      </c>
      <c r="L1287">
        <v>536649.13</v>
      </c>
      <c r="M1287">
        <v>0</v>
      </c>
      <c r="N1287">
        <v>536649.13</v>
      </c>
      <c r="O1287">
        <v>193623.15</v>
      </c>
      <c r="P1287">
        <v>343025.98</v>
      </c>
      <c r="Q1287">
        <v>0.63919999999999999</v>
      </c>
      <c r="R1287">
        <v>81</v>
      </c>
      <c r="S1287">
        <v>77102.850000000006</v>
      </c>
      <c r="T1287">
        <v>0</v>
      </c>
      <c r="U1287">
        <v>811.87</v>
      </c>
    </row>
    <row r="1288" spans="1:21" x14ac:dyDescent="0.35">
      <c r="A1288">
        <v>2025</v>
      </c>
      <c r="B1288">
        <v>5</v>
      </c>
      <c r="C1288">
        <v>2</v>
      </c>
      <c r="D1288" s="1">
        <v>45778</v>
      </c>
      <c r="E1288" s="4" t="s">
        <v>25</v>
      </c>
      <c r="F1288" s="4" t="s">
        <v>35</v>
      </c>
      <c r="G1288" s="4" t="s">
        <v>109</v>
      </c>
      <c r="H1288">
        <v>1</v>
      </c>
      <c r="I1288">
        <v>2</v>
      </c>
      <c r="J1288">
        <v>0</v>
      </c>
      <c r="K1288">
        <v>2</v>
      </c>
      <c r="L1288">
        <v>768</v>
      </c>
      <c r="M1288">
        <v>0</v>
      </c>
      <c r="N1288">
        <v>768</v>
      </c>
      <c r="O1288">
        <v>153.6</v>
      </c>
      <c r="P1288">
        <v>614.4</v>
      </c>
      <c r="Q1288">
        <v>0.8</v>
      </c>
      <c r="R1288">
        <v>0</v>
      </c>
      <c r="S1288">
        <v>0</v>
      </c>
      <c r="T1288">
        <v>0</v>
      </c>
      <c r="U1288">
        <v>768</v>
      </c>
    </row>
    <row r="1289" spans="1:21" x14ac:dyDescent="0.35">
      <c r="A1289">
        <v>2025</v>
      </c>
      <c r="B1289">
        <v>5</v>
      </c>
      <c r="C1289">
        <v>2</v>
      </c>
      <c r="D1289" s="1">
        <v>45778</v>
      </c>
      <c r="E1289" s="4" t="s">
        <v>25</v>
      </c>
      <c r="F1289" s="4" t="s">
        <v>24</v>
      </c>
      <c r="G1289" s="4" t="s">
        <v>107</v>
      </c>
      <c r="H1289">
        <v>32</v>
      </c>
      <c r="I1289">
        <v>43</v>
      </c>
      <c r="J1289">
        <v>5</v>
      </c>
      <c r="K1289">
        <v>38</v>
      </c>
      <c r="L1289">
        <v>73358.59</v>
      </c>
      <c r="M1289">
        <v>9434.1200000000008</v>
      </c>
      <c r="N1289">
        <v>63924.47</v>
      </c>
      <c r="O1289">
        <v>36802.15</v>
      </c>
      <c r="P1289">
        <v>27122.32</v>
      </c>
      <c r="Q1289">
        <v>0.42430000000000001</v>
      </c>
      <c r="R1289">
        <v>7</v>
      </c>
      <c r="S1289">
        <v>11667.47</v>
      </c>
      <c r="T1289">
        <v>0</v>
      </c>
      <c r="U1289">
        <v>1997.64</v>
      </c>
    </row>
    <row r="1290" spans="1:21" x14ac:dyDescent="0.35">
      <c r="A1290">
        <v>2025</v>
      </c>
      <c r="B1290">
        <v>5</v>
      </c>
      <c r="C1290">
        <v>2</v>
      </c>
      <c r="D1290" s="1">
        <v>45778</v>
      </c>
      <c r="E1290" s="4" t="s">
        <v>25</v>
      </c>
      <c r="F1290" s="4" t="s">
        <v>24</v>
      </c>
      <c r="G1290" s="4" t="s">
        <v>109</v>
      </c>
      <c r="H1290">
        <v>220</v>
      </c>
      <c r="I1290">
        <v>327</v>
      </c>
      <c r="J1290">
        <v>11</v>
      </c>
      <c r="K1290">
        <v>316</v>
      </c>
      <c r="L1290">
        <v>502382.27</v>
      </c>
      <c r="M1290">
        <v>17052.599999999999</v>
      </c>
      <c r="N1290">
        <v>485329.67</v>
      </c>
      <c r="O1290">
        <v>273936.3</v>
      </c>
      <c r="P1290">
        <v>211393.37</v>
      </c>
      <c r="Q1290">
        <v>0.43559999999999999</v>
      </c>
      <c r="R1290">
        <v>25</v>
      </c>
      <c r="S1290">
        <v>57133.87</v>
      </c>
      <c r="T1290">
        <v>0</v>
      </c>
      <c r="U1290">
        <v>2206.04</v>
      </c>
    </row>
    <row r="1291" spans="1:21" x14ac:dyDescent="0.35">
      <c r="A1291">
        <v>2025</v>
      </c>
      <c r="B1291">
        <v>5</v>
      </c>
      <c r="C1291">
        <v>2</v>
      </c>
      <c r="D1291" s="1">
        <v>45778</v>
      </c>
      <c r="E1291" s="4" t="s">
        <v>25</v>
      </c>
      <c r="F1291" s="4" t="s">
        <v>26</v>
      </c>
      <c r="G1291" s="4" t="s">
        <v>107</v>
      </c>
      <c r="H1291">
        <v>16</v>
      </c>
      <c r="I1291">
        <v>26</v>
      </c>
      <c r="J1291">
        <v>0</v>
      </c>
      <c r="K1291">
        <v>26</v>
      </c>
      <c r="L1291">
        <v>23418.12</v>
      </c>
      <c r="M1291">
        <v>0</v>
      </c>
      <c r="N1291">
        <v>23418.12</v>
      </c>
      <c r="O1291">
        <v>15516</v>
      </c>
      <c r="P1291">
        <v>7902.12</v>
      </c>
      <c r="Q1291">
        <v>0.33739999999999998</v>
      </c>
      <c r="R1291">
        <v>4</v>
      </c>
      <c r="S1291">
        <v>7134.12</v>
      </c>
      <c r="T1291">
        <v>0</v>
      </c>
      <c r="U1291">
        <v>1463.63</v>
      </c>
    </row>
    <row r="1292" spans="1:21" x14ac:dyDescent="0.35">
      <c r="A1292">
        <v>2025</v>
      </c>
      <c r="B1292">
        <v>5</v>
      </c>
      <c r="C1292">
        <v>2</v>
      </c>
      <c r="D1292" s="1">
        <v>45778</v>
      </c>
      <c r="E1292" s="4" t="s">
        <v>25</v>
      </c>
      <c r="F1292" s="4" t="s">
        <v>26</v>
      </c>
      <c r="G1292" s="4" t="s">
        <v>109</v>
      </c>
      <c r="H1292">
        <v>45</v>
      </c>
      <c r="I1292">
        <v>65</v>
      </c>
      <c r="J1292">
        <v>7</v>
      </c>
      <c r="K1292">
        <v>58</v>
      </c>
      <c r="L1292">
        <v>43589.09</v>
      </c>
      <c r="M1292">
        <v>5240</v>
      </c>
      <c r="N1292">
        <v>38349.089999999997</v>
      </c>
      <c r="O1292">
        <v>23869.200000000001</v>
      </c>
      <c r="P1292">
        <v>14479.89</v>
      </c>
      <c r="Q1292">
        <v>0.37759999999999999</v>
      </c>
      <c r="R1292">
        <v>6</v>
      </c>
      <c r="S1292">
        <v>6691.38</v>
      </c>
      <c r="T1292">
        <v>0</v>
      </c>
      <c r="U1292">
        <v>852.2</v>
      </c>
    </row>
    <row r="1293" spans="1:21" x14ac:dyDescent="0.35">
      <c r="A1293">
        <v>2025</v>
      </c>
      <c r="B1293">
        <v>5</v>
      </c>
      <c r="C1293">
        <v>2</v>
      </c>
      <c r="D1293" s="1">
        <v>45778</v>
      </c>
      <c r="E1293" s="4" t="s">
        <v>29</v>
      </c>
      <c r="F1293" s="4" t="s">
        <v>28</v>
      </c>
      <c r="G1293" s="4" t="s">
        <v>107</v>
      </c>
      <c r="H1293">
        <v>203</v>
      </c>
      <c r="I1293">
        <v>322</v>
      </c>
      <c r="J1293">
        <v>0</v>
      </c>
      <c r="K1293">
        <v>322</v>
      </c>
      <c r="L1293">
        <v>156874.73000000001</v>
      </c>
      <c r="M1293">
        <v>0</v>
      </c>
      <c r="N1293">
        <v>156874.73000000001</v>
      </c>
      <c r="O1293">
        <v>57187.199999999997</v>
      </c>
      <c r="P1293">
        <v>99687.53</v>
      </c>
      <c r="Q1293">
        <v>0.63549999999999995</v>
      </c>
      <c r="R1293">
        <v>31</v>
      </c>
      <c r="S1293">
        <v>30066</v>
      </c>
      <c r="T1293">
        <v>0</v>
      </c>
      <c r="U1293">
        <v>772.78</v>
      </c>
    </row>
    <row r="1294" spans="1:21" x14ac:dyDescent="0.35">
      <c r="A1294">
        <v>2025</v>
      </c>
      <c r="B1294">
        <v>5</v>
      </c>
      <c r="C1294">
        <v>2</v>
      </c>
      <c r="D1294" s="1">
        <v>45778</v>
      </c>
      <c r="E1294" s="4" t="s">
        <v>29</v>
      </c>
      <c r="F1294" s="4" t="s">
        <v>28</v>
      </c>
      <c r="G1294" s="4" t="s">
        <v>108</v>
      </c>
      <c r="H1294">
        <v>39</v>
      </c>
      <c r="I1294">
        <v>53</v>
      </c>
      <c r="J1294">
        <v>0</v>
      </c>
      <c r="K1294">
        <v>53</v>
      </c>
      <c r="L1294">
        <v>31001.919999999998</v>
      </c>
      <c r="M1294">
        <v>0</v>
      </c>
      <c r="N1294">
        <v>31001.919999999998</v>
      </c>
      <c r="O1294">
        <v>11278.4</v>
      </c>
      <c r="P1294">
        <v>19723.52</v>
      </c>
      <c r="Q1294">
        <v>0.63619999999999999</v>
      </c>
      <c r="R1294">
        <v>6</v>
      </c>
      <c r="S1294">
        <v>4857.92</v>
      </c>
      <c r="T1294">
        <v>0</v>
      </c>
      <c r="U1294">
        <v>794.92</v>
      </c>
    </row>
    <row r="1295" spans="1:21" x14ac:dyDescent="0.35">
      <c r="A1295">
        <v>2025</v>
      </c>
      <c r="B1295">
        <v>5</v>
      </c>
      <c r="C1295">
        <v>2</v>
      </c>
      <c r="D1295" s="1">
        <v>45778</v>
      </c>
      <c r="E1295" s="4" t="s">
        <v>29</v>
      </c>
      <c r="F1295" s="4" t="s">
        <v>28</v>
      </c>
      <c r="G1295" s="4" t="s">
        <v>109</v>
      </c>
      <c r="H1295">
        <v>855</v>
      </c>
      <c r="I1295">
        <v>1275</v>
      </c>
      <c r="J1295">
        <v>0</v>
      </c>
      <c r="K1295">
        <v>1275</v>
      </c>
      <c r="L1295">
        <v>602676.84</v>
      </c>
      <c r="M1295">
        <v>0</v>
      </c>
      <c r="N1295">
        <v>602676.84</v>
      </c>
      <c r="O1295">
        <v>218365</v>
      </c>
      <c r="P1295">
        <v>384311.84</v>
      </c>
      <c r="Q1295">
        <v>0.63770000000000004</v>
      </c>
      <c r="R1295">
        <v>105</v>
      </c>
      <c r="S1295">
        <v>84007.99</v>
      </c>
      <c r="T1295">
        <v>0</v>
      </c>
      <c r="U1295">
        <v>704.89</v>
      </c>
    </row>
    <row r="1296" spans="1:21" x14ac:dyDescent="0.35">
      <c r="A1296">
        <v>2025</v>
      </c>
      <c r="B1296">
        <v>5</v>
      </c>
      <c r="C1296">
        <v>2</v>
      </c>
      <c r="D1296" s="1">
        <v>45778</v>
      </c>
      <c r="E1296" s="4" t="s">
        <v>29</v>
      </c>
      <c r="F1296" s="4" t="s">
        <v>24</v>
      </c>
      <c r="G1296" s="4" t="s">
        <v>107</v>
      </c>
      <c r="H1296">
        <v>5</v>
      </c>
      <c r="I1296">
        <v>10</v>
      </c>
      <c r="J1296">
        <v>0</v>
      </c>
      <c r="K1296">
        <v>10</v>
      </c>
      <c r="L1296">
        <v>7862.4</v>
      </c>
      <c r="M1296">
        <v>0</v>
      </c>
      <c r="N1296">
        <v>7862.4</v>
      </c>
      <c r="O1296">
        <v>4752</v>
      </c>
      <c r="P1296">
        <v>3110.4</v>
      </c>
      <c r="Q1296">
        <v>0.39560000000000001</v>
      </c>
      <c r="R1296">
        <v>1</v>
      </c>
      <c r="S1296">
        <v>1814.4</v>
      </c>
      <c r="T1296">
        <v>0</v>
      </c>
      <c r="U1296">
        <v>1572.48</v>
      </c>
    </row>
    <row r="1297" spans="1:21" x14ac:dyDescent="0.35">
      <c r="A1297">
        <v>2025</v>
      </c>
      <c r="B1297">
        <v>5</v>
      </c>
      <c r="C1297">
        <v>2</v>
      </c>
      <c r="D1297" s="1">
        <v>45778</v>
      </c>
      <c r="E1297" s="4" t="s">
        <v>29</v>
      </c>
      <c r="F1297" s="4" t="s">
        <v>24</v>
      </c>
      <c r="G1297" s="4" t="s">
        <v>108</v>
      </c>
      <c r="H1297">
        <v>15</v>
      </c>
      <c r="I1297">
        <v>23</v>
      </c>
      <c r="J1297">
        <v>1</v>
      </c>
      <c r="K1297">
        <v>22</v>
      </c>
      <c r="L1297">
        <v>15722.98</v>
      </c>
      <c r="M1297">
        <v>742</v>
      </c>
      <c r="N1297">
        <v>14980.98</v>
      </c>
      <c r="O1297">
        <v>8978.2000000000007</v>
      </c>
      <c r="P1297">
        <v>6002.78</v>
      </c>
      <c r="Q1297">
        <v>0.4007</v>
      </c>
      <c r="R1297">
        <v>4</v>
      </c>
      <c r="S1297">
        <v>4592.9799999999996</v>
      </c>
      <c r="T1297">
        <v>0</v>
      </c>
      <c r="U1297">
        <v>998.73</v>
      </c>
    </row>
    <row r="1298" spans="1:21" x14ac:dyDescent="0.35">
      <c r="A1298">
        <v>2025</v>
      </c>
      <c r="B1298">
        <v>5</v>
      </c>
      <c r="C1298">
        <v>2</v>
      </c>
      <c r="D1298" s="1">
        <v>45778</v>
      </c>
      <c r="E1298" s="4" t="s">
        <v>29</v>
      </c>
      <c r="F1298" s="4" t="s">
        <v>24</v>
      </c>
      <c r="G1298" s="4" t="s">
        <v>109</v>
      </c>
      <c r="H1298">
        <v>185</v>
      </c>
      <c r="I1298">
        <v>288</v>
      </c>
      <c r="J1298">
        <v>13</v>
      </c>
      <c r="K1298">
        <v>275</v>
      </c>
      <c r="L1298">
        <v>547353.59999999998</v>
      </c>
      <c r="M1298">
        <v>26866.080000000002</v>
      </c>
      <c r="N1298">
        <v>520487.52</v>
      </c>
      <c r="O1298">
        <v>299821.5</v>
      </c>
      <c r="P1298">
        <v>220666.02</v>
      </c>
      <c r="Q1298">
        <v>0.42399999999999999</v>
      </c>
      <c r="R1298">
        <v>25</v>
      </c>
      <c r="S1298">
        <v>91461.28</v>
      </c>
      <c r="T1298">
        <v>0</v>
      </c>
      <c r="U1298">
        <v>2813.45</v>
      </c>
    </row>
    <row r="1299" spans="1:21" x14ac:dyDescent="0.35">
      <c r="A1299">
        <v>2025</v>
      </c>
      <c r="B1299">
        <v>5</v>
      </c>
      <c r="C1299">
        <v>2</v>
      </c>
      <c r="D1299" s="1">
        <v>45778</v>
      </c>
      <c r="E1299" s="4" t="s">
        <v>29</v>
      </c>
      <c r="F1299" s="4" t="s">
        <v>26</v>
      </c>
      <c r="G1299" s="4" t="s">
        <v>107</v>
      </c>
      <c r="H1299">
        <v>14</v>
      </c>
      <c r="I1299">
        <v>19</v>
      </c>
      <c r="J1299">
        <v>2</v>
      </c>
      <c r="K1299">
        <v>17</v>
      </c>
      <c r="L1299">
        <v>13874.03</v>
      </c>
      <c r="M1299">
        <v>2131</v>
      </c>
      <c r="N1299">
        <v>11743.03</v>
      </c>
      <c r="O1299">
        <v>7213.2</v>
      </c>
      <c r="P1299">
        <v>4529.83</v>
      </c>
      <c r="Q1299">
        <v>0.38569999999999999</v>
      </c>
      <c r="R1299">
        <v>2</v>
      </c>
      <c r="S1299">
        <v>2456.0300000000002</v>
      </c>
      <c r="T1299">
        <v>0</v>
      </c>
      <c r="U1299">
        <v>838.79</v>
      </c>
    </row>
    <row r="1300" spans="1:21" x14ac:dyDescent="0.35">
      <c r="A1300">
        <v>2025</v>
      </c>
      <c r="B1300">
        <v>5</v>
      </c>
      <c r="C1300">
        <v>2</v>
      </c>
      <c r="D1300" s="1">
        <v>45778</v>
      </c>
      <c r="E1300" s="4" t="s">
        <v>29</v>
      </c>
      <c r="F1300" s="4" t="s">
        <v>26</v>
      </c>
      <c r="G1300" s="4" t="s">
        <v>109</v>
      </c>
      <c r="H1300">
        <v>30</v>
      </c>
      <c r="I1300">
        <v>47</v>
      </c>
      <c r="J1300">
        <v>0</v>
      </c>
      <c r="K1300">
        <v>47</v>
      </c>
      <c r="L1300">
        <v>34960.410000000003</v>
      </c>
      <c r="M1300">
        <v>0</v>
      </c>
      <c r="N1300">
        <v>34960.410000000003</v>
      </c>
      <c r="O1300">
        <v>21433.8</v>
      </c>
      <c r="P1300">
        <v>13526.61</v>
      </c>
      <c r="Q1300">
        <v>0.38690000000000002</v>
      </c>
      <c r="R1300">
        <v>2</v>
      </c>
      <c r="S1300">
        <v>5811.41</v>
      </c>
      <c r="T1300">
        <v>0</v>
      </c>
      <c r="U1300">
        <v>1165.3499999999999</v>
      </c>
    </row>
    <row r="1301" spans="1:21" x14ac:dyDescent="0.35">
      <c r="A1301">
        <v>2025</v>
      </c>
      <c r="B1301">
        <v>5</v>
      </c>
      <c r="C1301">
        <v>2</v>
      </c>
      <c r="D1301" s="1">
        <v>45778</v>
      </c>
      <c r="E1301" s="4" t="s">
        <v>31</v>
      </c>
      <c r="F1301" s="4" t="s">
        <v>28</v>
      </c>
      <c r="G1301" s="4" t="s">
        <v>107</v>
      </c>
      <c r="H1301">
        <v>75</v>
      </c>
      <c r="I1301">
        <v>111</v>
      </c>
      <c r="J1301">
        <v>0</v>
      </c>
      <c r="K1301">
        <v>111</v>
      </c>
      <c r="L1301">
        <v>45114.19</v>
      </c>
      <c r="M1301">
        <v>0</v>
      </c>
      <c r="N1301">
        <v>45114.19</v>
      </c>
      <c r="O1301">
        <v>16075.15</v>
      </c>
      <c r="P1301">
        <v>29039.040000000001</v>
      </c>
      <c r="Q1301">
        <v>0.64370000000000005</v>
      </c>
      <c r="R1301">
        <v>13</v>
      </c>
      <c r="S1301">
        <v>9291.68</v>
      </c>
      <c r="T1301">
        <v>0</v>
      </c>
      <c r="U1301">
        <v>601.52</v>
      </c>
    </row>
    <row r="1302" spans="1:21" x14ac:dyDescent="0.35">
      <c r="A1302">
        <v>2025</v>
      </c>
      <c r="B1302">
        <v>5</v>
      </c>
      <c r="C1302">
        <v>2</v>
      </c>
      <c r="D1302" s="1">
        <v>45778</v>
      </c>
      <c r="E1302" s="4" t="s">
        <v>31</v>
      </c>
      <c r="F1302" s="4" t="s">
        <v>28</v>
      </c>
      <c r="G1302" s="4" t="s">
        <v>108</v>
      </c>
      <c r="H1302">
        <v>305</v>
      </c>
      <c r="I1302">
        <v>436</v>
      </c>
      <c r="J1302">
        <v>0</v>
      </c>
      <c r="K1302">
        <v>436</v>
      </c>
      <c r="L1302">
        <v>169247.17</v>
      </c>
      <c r="M1302">
        <v>0</v>
      </c>
      <c r="N1302">
        <v>169247.17</v>
      </c>
      <c r="O1302">
        <v>61071.15</v>
      </c>
      <c r="P1302">
        <v>108176.02</v>
      </c>
      <c r="Q1302">
        <v>0.63919999999999999</v>
      </c>
      <c r="R1302">
        <v>34</v>
      </c>
      <c r="S1302">
        <v>23830.17</v>
      </c>
      <c r="T1302">
        <v>0</v>
      </c>
      <c r="U1302">
        <v>554.91</v>
      </c>
    </row>
    <row r="1303" spans="1:21" x14ac:dyDescent="0.35">
      <c r="A1303">
        <v>2025</v>
      </c>
      <c r="B1303">
        <v>5</v>
      </c>
      <c r="C1303">
        <v>2</v>
      </c>
      <c r="D1303" s="1">
        <v>45778</v>
      </c>
      <c r="E1303" s="4" t="s">
        <v>31</v>
      </c>
      <c r="F1303" s="4" t="s">
        <v>28</v>
      </c>
      <c r="G1303" s="4" t="s">
        <v>109</v>
      </c>
      <c r="H1303">
        <v>997</v>
      </c>
      <c r="I1303">
        <v>1566</v>
      </c>
      <c r="J1303">
        <v>0</v>
      </c>
      <c r="K1303">
        <v>1566</v>
      </c>
      <c r="L1303">
        <v>769569.15</v>
      </c>
      <c r="M1303">
        <v>0</v>
      </c>
      <c r="N1303">
        <v>769569.15</v>
      </c>
      <c r="O1303">
        <v>280277.90000000002</v>
      </c>
      <c r="P1303">
        <v>489291.25</v>
      </c>
      <c r="Q1303">
        <v>0.63580000000000003</v>
      </c>
      <c r="R1303">
        <v>134</v>
      </c>
      <c r="S1303">
        <v>129312.14</v>
      </c>
      <c r="T1303">
        <v>0</v>
      </c>
      <c r="U1303">
        <v>771.88</v>
      </c>
    </row>
    <row r="1304" spans="1:21" x14ac:dyDescent="0.35">
      <c r="A1304">
        <v>2025</v>
      </c>
      <c r="B1304">
        <v>5</v>
      </c>
      <c r="C1304">
        <v>2</v>
      </c>
      <c r="D1304" s="1">
        <v>45778</v>
      </c>
      <c r="E1304" s="4" t="s">
        <v>31</v>
      </c>
      <c r="F1304" s="4" t="s">
        <v>35</v>
      </c>
      <c r="G1304" s="4" t="s">
        <v>109</v>
      </c>
      <c r="H1304">
        <v>2</v>
      </c>
      <c r="I1304">
        <v>4</v>
      </c>
      <c r="J1304">
        <v>0</v>
      </c>
      <c r="K1304">
        <v>4</v>
      </c>
      <c r="L1304">
        <v>1238</v>
      </c>
      <c r="M1304">
        <v>0</v>
      </c>
      <c r="N1304">
        <v>1238</v>
      </c>
      <c r="O1304">
        <v>247.6</v>
      </c>
      <c r="P1304">
        <v>990.4</v>
      </c>
      <c r="Q1304">
        <v>0.8</v>
      </c>
      <c r="R1304">
        <v>0</v>
      </c>
      <c r="S1304">
        <v>0</v>
      </c>
      <c r="T1304">
        <v>0</v>
      </c>
      <c r="U1304">
        <v>619</v>
      </c>
    </row>
    <row r="1305" spans="1:21" x14ac:dyDescent="0.35">
      <c r="A1305">
        <v>2025</v>
      </c>
      <c r="B1305">
        <v>5</v>
      </c>
      <c r="C1305">
        <v>2</v>
      </c>
      <c r="D1305" s="1">
        <v>45778</v>
      </c>
      <c r="E1305" s="4" t="s">
        <v>31</v>
      </c>
      <c r="F1305" s="4" t="s">
        <v>24</v>
      </c>
      <c r="G1305" s="4" t="s">
        <v>107</v>
      </c>
      <c r="H1305">
        <v>14</v>
      </c>
      <c r="I1305">
        <v>19</v>
      </c>
      <c r="J1305">
        <v>0</v>
      </c>
      <c r="K1305">
        <v>19</v>
      </c>
      <c r="L1305">
        <v>32145.599999999999</v>
      </c>
      <c r="M1305">
        <v>0</v>
      </c>
      <c r="N1305">
        <v>32145.599999999999</v>
      </c>
      <c r="O1305">
        <v>18914.5</v>
      </c>
      <c r="P1305">
        <v>13231.1</v>
      </c>
      <c r="Q1305">
        <v>0.41160000000000002</v>
      </c>
      <c r="R1305">
        <v>4</v>
      </c>
      <c r="S1305">
        <v>8615.6</v>
      </c>
      <c r="T1305">
        <v>0</v>
      </c>
      <c r="U1305">
        <v>2296.11</v>
      </c>
    </row>
    <row r="1306" spans="1:21" x14ac:dyDescent="0.35">
      <c r="A1306">
        <v>2025</v>
      </c>
      <c r="B1306">
        <v>5</v>
      </c>
      <c r="C1306">
        <v>2</v>
      </c>
      <c r="D1306" s="1">
        <v>45778</v>
      </c>
      <c r="E1306" s="4" t="s">
        <v>31</v>
      </c>
      <c r="F1306" s="4" t="s">
        <v>24</v>
      </c>
      <c r="G1306" s="4" t="s">
        <v>109</v>
      </c>
      <c r="H1306">
        <v>272</v>
      </c>
      <c r="I1306">
        <v>441</v>
      </c>
      <c r="J1306">
        <v>14</v>
      </c>
      <c r="K1306">
        <v>427</v>
      </c>
      <c r="L1306">
        <v>633921.24</v>
      </c>
      <c r="M1306">
        <v>19500.2</v>
      </c>
      <c r="N1306">
        <v>614421.04</v>
      </c>
      <c r="O1306">
        <v>354339.15</v>
      </c>
      <c r="P1306">
        <v>260081.89</v>
      </c>
      <c r="Q1306">
        <v>0.42330000000000001</v>
      </c>
      <c r="R1306">
        <v>44</v>
      </c>
      <c r="S1306">
        <v>125748.04</v>
      </c>
      <c r="T1306">
        <v>0</v>
      </c>
      <c r="U1306">
        <v>2258.9</v>
      </c>
    </row>
    <row r="1307" spans="1:21" x14ac:dyDescent="0.35">
      <c r="A1307">
        <v>2025</v>
      </c>
      <c r="B1307">
        <v>5</v>
      </c>
      <c r="C1307">
        <v>2</v>
      </c>
      <c r="D1307" s="1">
        <v>45778</v>
      </c>
      <c r="E1307" s="4" t="s">
        <v>31</v>
      </c>
      <c r="F1307" s="4" t="s">
        <v>26</v>
      </c>
      <c r="G1307" s="4" t="s">
        <v>107</v>
      </c>
      <c r="H1307">
        <v>3</v>
      </c>
      <c r="I1307">
        <v>5</v>
      </c>
      <c r="J1307">
        <v>0</v>
      </c>
      <c r="K1307">
        <v>5</v>
      </c>
      <c r="L1307">
        <v>2282.16</v>
      </c>
      <c r="M1307">
        <v>0</v>
      </c>
      <c r="N1307">
        <v>2282.16</v>
      </c>
      <c r="O1307">
        <v>1542</v>
      </c>
      <c r="P1307">
        <v>740.16</v>
      </c>
      <c r="Q1307">
        <v>0.32429999999999998</v>
      </c>
      <c r="R1307">
        <v>1</v>
      </c>
      <c r="S1307">
        <v>740.16</v>
      </c>
      <c r="T1307">
        <v>0</v>
      </c>
      <c r="U1307">
        <v>760.72</v>
      </c>
    </row>
    <row r="1308" spans="1:21" x14ac:dyDescent="0.35">
      <c r="A1308">
        <v>2025</v>
      </c>
      <c r="B1308">
        <v>5</v>
      </c>
      <c r="C1308">
        <v>2</v>
      </c>
      <c r="D1308" s="1">
        <v>45778</v>
      </c>
      <c r="E1308" s="4" t="s">
        <v>31</v>
      </c>
      <c r="F1308" s="4" t="s">
        <v>26</v>
      </c>
      <c r="G1308" s="4" t="s">
        <v>108</v>
      </c>
      <c r="H1308">
        <v>1</v>
      </c>
      <c r="I1308">
        <v>1</v>
      </c>
      <c r="J1308">
        <v>0</v>
      </c>
      <c r="K1308">
        <v>1</v>
      </c>
      <c r="L1308">
        <v>726</v>
      </c>
      <c r="M1308">
        <v>0</v>
      </c>
      <c r="N1308">
        <v>726</v>
      </c>
      <c r="O1308">
        <v>435.6</v>
      </c>
      <c r="P1308">
        <v>290.39999999999998</v>
      </c>
      <c r="Q1308">
        <v>0.4</v>
      </c>
      <c r="R1308">
        <v>0</v>
      </c>
      <c r="S1308">
        <v>0</v>
      </c>
      <c r="T1308">
        <v>0</v>
      </c>
      <c r="U1308">
        <v>726</v>
      </c>
    </row>
    <row r="1309" spans="1:21" x14ac:dyDescent="0.35">
      <c r="A1309">
        <v>2025</v>
      </c>
      <c r="B1309">
        <v>5</v>
      </c>
      <c r="C1309">
        <v>2</v>
      </c>
      <c r="D1309" s="1">
        <v>45778</v>
      </c>
      <c r="E1309" s="4" t="s">
        <v>31</v>
      </c>
      <c r="F1309" s="4" t="s">
        <v>26</v>
      </c>
      <c r="G1309" s="4" t="s">
        <v>109</v>
      </c>
      <c r="H1309">
        <v>44</v>
      </c>
      <c r="I1309">
        <v>70</v>
      </c>
      <c r="J1309">
        <v>1</v>
      </c>
      <c r="K1309">
        <v>69</v>
      </c>
      <c r="L1309">
        <v>50713.62</v>
      </c>
      <c r="M1309">
        <v>311</v>
      </c>
      <c r="N1309">
        <v>50402.62</v>
      </c>
      <c r="O1309">
        <v>31138.2</v>
      </c>
      <c r="P1309">
        <v>19264.419999999998</v>
      </c>
      <c r="Q1309">
        <v>0.38219999999999998</v>
      </c>
      <c r="R1309">
        <v>5</v>
      </c>
      <c r="S1309">
        <v>5205.62</v>
      </c>
      <c r="T1309">
        <v>0</v>
      </c>
      <c r="U1309">
        <v>1145.51</v>
      </c>
    </row>
    <row r="1310" spans="1:21" x14ac:dyDescent="0.35">
      <c r="A1310">
        <v>2025</v>
      </c>
      <c r="B1310">
        <v>5</v>
      </c>
      <c r="C1310">
        <v>2</v>
      </c>
      <c r="D1310" s="1">
        <v>45778</v>
      </c>
      <c r="E1310" s="4" t="s">
        <v>30</v>
      </c>
      <c r="F1310" s="4" t="s">
        <v>28</v>
      </c>
      <c r="G1310" s="4" t="s">
        <v>107</v>
      </c>
      <c r="H1310">
        <v>119</v>
      </c>
      <c r="I1310">
        <v>179</v>
      </c>
      <c r="J1310">
        <v>0</v>
      </c>
      <c r="K1310">
        <v>179</v>
      </c>
      <c r="L1310">
        <v>79524.83</v>
      </c>
      <c r="M1310">
        <v>0</v>
      </c>
      <c r="N1310">
        <v>79524.83</v>
      </c>
      <c r="O1310">
        <v>28255.15</v>
      </c>
      <c r="P1310">
        <v>51269.68</v>
      </c>
      <c r="Q1310">
        <v>0.64470000000000005</v>
      </c>
      <c r="R1310">
        <v>7</v>
      </c>
      <c r="S1310">
        <v>5109.83</v>
      </c>
      <c r="T1310">
        <v>0</v>
      </c>
      <c r="U1310">
        <v>668.28</v>
      </c>
    </row>
    <row r="1311" spans="1:21" x14ac:dyDescent="0.35">
      <c r="A1311">
        <v>2025</v>
      </c>
      <c r="B1311">
        <v>5</v>
      </c>
      <c r="C1311">
        <v>2</v>
      </c>
      <c r="D1311" s="1">
        <v>45778</v>
      </c>
      <c r="E1311" s="4" t="s">
        <v>30</v>
      </c>
      <c r="F1311" s="4" t="s">
        <v>28</v>
      </c>
      <c r="G1311" s="4" t="s">
        <v>108</v>
      </c>
      <c r="H1311">
        <v>52</v>
      </c>
      <c r="I1311">
        <v>83</v>
      </c>
      <c r="J1311">
        <v>0</v>
      </c>
      <c r="K1311">
        <v>83</v>
      </c>
      <c r="L1311">
        <v>50824.35</v>
      </c>
      <c r="M1311">
        <v>0</v>
      </c>
      <c r="N1311">
        <v>50824.35</v>
      </c>
      <c r="O1311">
        <v>17865.75</v>
      </c>
      <c r="P1311">
        <v>32958.6</v>
      </c>
      <c r="Q1311">
        <v>0.64849999999999997</v>
      </c>
      <c r="R1311">
        <v>4</v>
      </c>
      <c r="S1311">
        <v>4999.95</v>
      </c>
      <c r="T1311">
        <v>0</v>
      </c>
      <c r="U1311">
        <v>977.39</v>
      </c>
    </row>
    <row r="1312" spans="1:21" x14ac:dyDescent="0.35">
      <c r="A1312">
        <v>2025</v>
      </c>
      <c r="B1312">
        <v>5</v>
      </c>
      <c r="C1312">
        <v>2</v>
      </c>
      <c r="D1312" s="1">
        <v>45778</v>
      </c>
      <c r="E1312" s="4" t="s">
        <v>30</v>
      </c>
      <c r="F1312" s="4" t="s">
        <v>28</v>
      </c>
      <c r="G1312" s="4" t="s">
        <v>109</v>
      </c>
      <c r="H1312">
        <v>758</v>
      </c>
      <c r="I1312">
        <v>1144</v>
      </c>
      <c r="J1312">
        <v>0</v>
      </c>
      <c r="K1312">
        <v>1144</v>
      </c>
      <c r="L1312">
        <v>458404.52</v>
      </c>
      <c r="M1312">
        <v>0</v>
      </c>
      <c r="N1312">
        <v>458404.52</v>
      </c>
      <c r="O1312">
        <v>166362</v>
      </c>
      <c r="P1312">
        <v>292042.52</v>
      </c>
      <c r="Q1312">
        <v>0.6371</v>
      </c>
      <c r="R1312">
        <v>84</v>
      </c>
      <c r="S1312">
        <v>64810.11</v>
      </c>
      <c r="T1312">
        <v>0</v>
      </c>
      <c r="U1312">
        <v>604.76</v>
      </c>
    </row>
    <row r="1313" spans="1:21" x14ac:dyDescent="0.35">
      <c r="A1313">
        <v>2025</v>
      </c>
      <c r="B1313">
        <v>5</v>
      </c>
      <c r="C1313">
        <v>2</v>
      </c>
      <c r="D1313" s="1">
        <v>45778</v>
      </c>
      <c r="E1313" s="4" t="s">
        <v>30</v>
      </c>
      <c r="F1313" s="4" t="s">
        <v>24</v>
      </c>
      <c r="G1313" s="4" t="s">
        <v>107</v>
      </c>
      <c r="H1313">
        <v>73</v>
      </c>
      <c r="I1313">
        <v>105</v>
      </c>
      <c r="J1313">
        <v>2</v>
      </c>
      <c r="K1313">
        <v>103</v>
      </c>
      <c r="L1313">
        <v>200779.87</v>
      </c>
      <c r="M1313">
        <v>3962</v>
      </c>
      <c r="N1313">
        <v>196817.87</v>
      </c>
      <c r="O1313">
        <v>110048.95</v>
      </c>
      <c r="P1313">
        <v>86768.92</v>
      </c>
      <c r="Q1313">
        <v>0.44090000000000001</v>
      </c>
      <c r="R1313">
        <v>4</v>
      </c>
      <c r="S1313">
        <v>8303</v>
      </c>
      <c r="T1313">
        <v>0</v>
      </c>
      <c r="U1313">
        <v>2696.14</v>
      </c>
    </row>
    <row r="1314" spans="1:21" x14ac:dyDescent="0.35">
      <c r="A1314">
        <v>2025</v>
      </c>
      <c r="B1314">
        <v>5</v>
      </c>
      <c r="C1314">
        <v>2</v>
      </c>
      <c r="D1314" s="1">
        <v>45778</v>
      </c>
      <c r="E1314" s="4" t="s">
        <v>30</v>
      </c>
      <c r="F1314" s="4" t="s">
        <v>24</v>
      </c>
      <c r="G1314" s="4" t="s">
        <v>108</v>
      </c>
      <c r="H1314">
        <v>7</v>
      </c>
      <c r="I1314">
        <v>13</v>
      </c>
      <c r="J1314">
        <v>0</v>
      </c>
      <c r="K1314">
        <v>13</v>
      </c>
      <c r="L1314">
        <v>30160.68</v>
      </c>
      <c r="M1314">
        <v>0</v>
      </c>
      <c r="N1314">
        <v>30160.68</v>
      </c>
      <c r="O1314">
        <v>17224.349999999999</v>
      </c>
      <c r="P1314">
        <v>12936.33</v>
      </c>
      <c r="Q1314">
        <v>0.4289</v>
      </c>
      <c r="R1314">
        <v>1</v>
      </c>
      <c r="S1314">
        <v>8479.68</v>
      </c>
      <c r="T1314">
        <v>0</v>
      </c>
      <c r="U1314">
        <v>4308.67</v>
      </c>
    </row>
    <row r="1315" spans="1:21" x14ac:dyDescent="0.35">
      <c r="A1315">
        <v>2025</v>
      </c>
      <c r="B1315">
        <v>5</v>
      </c>
      <c r="C1315">
        <v>2</v>
      </c>
      <c r="D1315" s="1">
        <v>45778</v>
      </c>
      <c r="E1315" s="4" t="s">
        <v>30</v>
      </c>
      <c r="F1315" s="4" t="s">
        <v>24</v>
      </c>
      <c r="G1315" s="4" t="s">
        <v>109</v>
      </c>
      <c r="H1315">
        <v>222</v>
      </c>
      <c r="I1315">
        <v>360</v>
      </c>
      <c r="J1315">
        <v>12</v>
      </c>
      <c r="K1315">
        <v>348</v>
      </c>
      <c r="L1315">
        <v>615559</v>
      </c>
      <c r="M1315">
        <v>25178</v>
      </c>
      <c r="N1315">
        <v>590381</v>
      </c>
      <c r="O1315">
        <v>334114</v>
      </c>
      <c r="P1315">
        <v>256267</v>
      </c>
      <c r="Q1315">
        <v>0.43409999999999999</v>
      </c>
      <c r="R1315">
        <v>25</v>
      </c>
      <c r="S1315">
        <v>75081</v>
      </c>
      <c r="T1315">
        <v>0</v>
      </c>
      <c r="U1315">
        <v>2659.37</v>
      </c>
    </row>
    <row r="1316" spans="1:21" x14ac:dyDescent="0.35">
      <c r="A1316">
        <v>2025</v>
      </c>
      <c r="B1316">
        <v>5</v>
      </c>
      <c r="C1316">
        <v>2</v>
      </c>
      <c r="D1316" s="1">
        <v>45778</v>
      </c>
      <c r="E1316" s="4" t="s">
        <v>30</v>
      </c>
      <c r="F1316" s="4" t="s">
        <v>26</v>
      </c>
      <c r="G1316" s="4" t="s">
        <v>107</v>
      </c>
      <c r="H1316">
        <v>1</v>
      </c>
      <c r="I1316">
        <v>2</v>
      </c>
      <c r="J1316">
        <v>0</v>
      </c>
      <c r="K1316">
        <v>2</v>
      </c>
      <c r="L1316">
        <v>1882</v>
      </c>
      <c r="M1316">
        <v>0</v>
      </c>
      <c r="N1316">
        <v>1882</v>
      </c>
      <c r="O1316">
        <v>1129.2</v>
      </c>
      <c r="P1316">
        <v>752.8</v>
      </c>
      <c r="Q1316">
        <v>0.4</v>
      </c>
      <c r="R1316">
        <v>0</v>
      </c>
      <c r="S1316">
        <v>0</v>
      </c>
      <c r="T1316">
        <v>0</v>
      </c>
      <c r="U1316">
        <v>1882</v>
      </c>
    </row>
    <row r="1317" spans="1:21" x14ac:dyDescent="0.35">
      <c r="A1317">
        <v>2025</v>
      </c>
      <c r="B1317">
        <v>5</v>
      </c>
      <c r="C1317">
        <v>2</v>
      </c>
      <c r="D1317" s="1">
        <v>45778</v>
      </c>
      <c r="E1317" s="4" t="s">
        <v>30</v>
      </c>
      <c r="F1317" s="4" t="s">
        <v>26</v>
      </c>
      <c r="G1317" s="4" t="s">
        <v>109</v>
      </c>
      <c r="H1317">
        <v>75</v>
      </c>
      <c r="I1317">
        <v>105</v>
      </c>
      <c r="J1317">
        <v>4</v>
      </c>
      <c r="K1317">
        <v>101</v>
      </c>
      <c r="L1317">
        <v>74099.350000000006</v>
      </c>
      <c r="M1317">
        <v>3118</v>
      </c>
      <c r="N1317">
        <v>70981.350000000006</v>
      </c>
      <c r="O1317">
        <v>44015.4</v>
      </c>
      <c r="P1317">
        <v>26965.95</v>
      </c>
      <c r="Q1317">
        <v>0.37990000000000002</v>
      </c>
      <c r="R1317">
        <v>12</v>
      </c>
      <c r="S1317">
        <v>10741.35</v>
      </c>
      <c r="T1317">
        <v>0</v>
      </c>
      <c r="U1317">
        <v>946.42</v>
      </c>
    </row>
    <row r="1318" spans="1:21" x14ac:dyDescent="0.35">
      <c r="A1318">
        <v>2025</v>
      </c>
      <c r="B1318">
        <v>5</v>
      </c>
      <c r="C1318">
        <v>2</v>
      </c>
      <c r="D1318" s="1">
        <v>45778</v>
      </c>
      <c r="E1318" s="4" t="s">
        <v>78</v>
      </c>
      <c r="F1318" s="4" t="s">
        <v>78</v>
      </c>
      <c r="G1318" s="4" t="s">
        <v>110</v>
      </c>
      <c r="H1318">
        <v>235</v>
      </c>
      <c r="I1318">
        <v>324</v>
      </c>
      <c r="J1318">
        <v>0</v>
      </c>
      <c r="K1318">
        <v>324</v>
      </c>
      <c r="L1318">
        <v>743337</v>
      </c>
      <c r="M1318">
        <v>0</v>
      </c>
      <c r="N1318">
        <v>743337</v>
      </c>
      <c r="O1318">
        <v>111500.55</v>
      </c>
      <c r="P1318">
        <v>631836.44999999995</v>
      </c>
      <c r="Q1318">
        <v>0.85</v>
      </c>
      <c r="R1318">
        <v>1</v>
      </c>
      <c r="S1318">
        <v>798</v>
      </c>
      <c r="T1318">
        <v>0</v>
      </c>
      <c r="U1318">
        <v>3163.14</v>
      </c>
    </row>
    <row r="1319" spans="1:21" x14ac:dyDescent="0.35">
      <c r="A1319">
        <v>2025</v>
      </c>
      <c r="B1319">
        <v>6</v>
      </c>
      <c r="C1319">
        <v>2</v>
      </c>
      <c r="D1319" s="1">
        <v>45809</v>
      </c>
      <c r="E1319" s="4" t="s">
        <v>33</v>
      </c>
      <c r="F1319" s="4" t="s">
        <v>28</v>
      </c>
      <c r="G1319" s="4" t="s">
        <v>107</v>
      </c>
      <c r="H1319">
        <v>124</v>
      </c>
      <c r="I1319">
        <v>181</v>
      </c>
      <c r="J1319">
        <v>0</v>
      </c>
      <c r="K1319">
        <v>181</v>
      </c>
      <c r="L1319">
        <v>57420.5</v>
      </c>
      <c r="M1319">
        <v>0</v>
      </c>
      <c r="N1319">
        <v>57420.5</v>
      </c>
      <c r="O1319">
        <v>20462.400000000001</v>
      </c>
      <c r="P1319">
        <v>36958.1</v>
      </c>
      <c r="Q1319">
        <v>0.64359999999999995</v>
      </c>
      <c r="R1319">
        <v>9</v>
      </c>
      <c r="S1319">
        <v>3342.93</v>
      </c>
      <c r="T1319">
        <v>0</v>
      </c>
      <c r="U1319">
        <v>463.07</v>
      </c>
    </row>
    <row r="1320" spans="1:21" x14ac:dyDescent="0.35">
      <c r="A1320">
        <v>2025</v>
      </c>
      <c r="B1320">
        <v>6</v>
      </c>
      <c r="C1320">
        <v>2</v>
      </c>
      <c r="D1320" s="1">
        <v>45809</v>
      </c>
      <c r="E1320" s="4" t="s">
        <v>33</v>
      </c>
      <c r="F1320" s="4" t="s">
        <v>28</v>
      </c>
      <c r="G1320" s="4" t="s">
        <v>108</v>
      </c>
      <c r="H1320">
        <v>46</v>
      </c>
      <c r="I1320">
        <v>65</v>
      </c>
      <c r="J1320">
        <v>0</v>
      </c>
      <c r="K1320">
        <v>65</v>
      </c>
      <c r="L1320">
        <v>45824.32</v>
      </c>
      <c r="M1320">
        <v>0</v>
      </c>
      <c r="N1320">
        <v>45824.32</v>
      </c>
      <c r="O1320">
        <v>16198</v>
      </c>
      <c r="P1320">
        <v>29626.32</v>
      </c>
      <c r="Q1320">
        <v>0.64649999999999996</v>
      </c>
      <c r="R1320">
        <v>1</v>
      </c>
      <c r="S1320">
        <v>968.32</v>
      </c>
      <c r="T1320">
        <v>0</v>
      </c>
      <c r="U1320">
        <v>996.18</v>
      </c>
    </row>
    <row r="1321" spans="1:21" x14ac:dyDescent="0.35">
      <c r="A1321">
        <v>2025</v>
      </c>
      <c r="B1321">
        <v>6</v>
      </c>
      <c r="C1321">
        <v>2</v>
      </c>
      <c r="D1321" s="1">
        <v>45809</v>
      </c>
      <c r="E1321" s="4" t="s">
        <v>33</v>
      </c>
      <c r="F1321" s="4" t="s">
        <v>28</v>
      </c>
      <c r="G1321" s="4" t="s">
        <v>109</v>
      </c>
      <c r="H1321">
        <v>686</v>
      </c>
      <c r="I1321">
        <v>1060</v>
      </c>
      <c r="J1321">
        <v>0</v>
      </c>
      <c r="K1321">
        <v>1060</v>
      </c>
      <c r="L1321">
        <v>544929.48</v>
      </c>
      <c r="M1321">
        <v>0</v>
      </c>
      <c r="N1321">
        <v>544929.48</v>
      </c>
      <c r="O1321">
        <v>195835.85</v>
      </c>
      <c r="P1321">
        <v>349093.63</v>
      </c>
      <c r="Q1321">
        <v>0.64059999999999995</v>
      </c>
      <c r="R1321">
        <v>72</v>
      </c>
      <c r="S1321">
        <v>63628.31</v>
      </c>
      <c r="T1321">
        <v>0</v>
      </c>
      <c r="U1321">
        <v>794.36</v>
      </c>
    </row>
    <row r="1322" spans="1:21" x14ac:dyDescent="0.35">
      <c r="A1322">
        <v>2025</v>
      </c>
      <c r="B1322">
        <v>6</v>
      </c>
      <c r="C1322">
        <v>2</v>
      </c>
      <c r="D1322" s="1">
        <v>45809</v>
      </c>
      <c r="E1322" s="4" t="s">
        <v>33</v>
      </c>
      <c r="F1322" s="4" t="s">
        <v>24</v>
      </c>
      <c r="G1322" s="4" t="s">
        <v>107</v>
      </c>
      <c r="H1322">
        <v>13</v>
      </c>
      <c r="I1322">
        <v>17</v>
      </c>
      <c r="J1322">
        <v>2</v>
      </c>
      <c r="K1322">
        <v>15</v>
      </c>
      <c r="L1322">
        <v>26328.16</v>
      </c>
      <c r="M1322">
        <v>2790</v>
      </c>
      <c r="N1322">
        <v>23538.16</v>
      </c>
      <c r="O1322">
        <v>13850.1</v>
      </c>
      <c r="P1322">
        <v>9688.06</v>
      </c>
      <c r="Q1322">
        <v>0.41160000000000002</v>
      </c>
      <c r="R1322">
        <v>1</v>
      </c>
      <c r="S1322">
        <v>5828.16</v>
      </c>
      <c r="T1322">
        <v>0</v>
      </c>
      <c r="U1322">
        <v>1810.63</v>
      </c>
    </row>
    <row r="1323" spans="1:21" x14ac:dyDescent="0.35">
      <c r="A1323">
        <v>2025</v>
      </c>
      <c r="B1323">
        <v>6</v>
      </c>
      <c r="C1323">
        <v>2</v>
      </c>
      <c r="D1323" s="1">
        <v>45809</v>
      </c>
      <c r="E1323" s="4" t="s">
        <v>33</v>
      </c>
      <c r="F1323" s="4" t="s">
        <v>24</v>
      </c>
      <c r="G1323" s="4" t="s">
        <v>109</v>
      </c>
      <c r="H1323">
        <v>152</v>
      </c>
      <c r="I1323">
        <v>204</v>
      </c>
      <c r="J1323">
        <v>4</v>
      </c>
      <c r="K1323">
        <v>200</v>
      </c>
      <c r="L1323">
        <v>311947.43</v>
      </c>
      <c r="M1323">
        <v>8232</v>
      </c>
      <c r="N1323">
        <v>303715.43</v>
      </c>
      <c r="O1323">
        <v>173860.5</v>
      </c>
      <c r="P1323">
        <v>129854.93</v>
      </c>
      <c r="Q1323">
        <v>0.42759999999999998</v>
      </c>
      <c r="R1323">
        <v>20</v>
      </c>
      <c r="S1323">
        <v>45891.43</v>
      </c>
      <c r="T1323">
        <v>0</v>
      </c>
      <c r="U1323">
        <v>1998.13</v>
      </c>
    </row>
    <row r="1324" spans="1:21" x14ac:dyDescent="0.35">
      <c r="A1324">
        <v>2025</v>
      </c>
      <c r="B1324">
        <v>6</v>
      </c>
      <c r="C1324">
        <v>2</v>
      </c>
      <c r="D1324" s="1">
        <v>45809</v>
      </c>
      <c r="E1324" s="4" t="s">
        <v>33</v>
      </c>
      <c r="F1324" s="4" t="s">
        <v>26</v>
      </c>
      <c r="G1324" s="4" t="s">
        <v>107</v>
      </c>
      <c r="H1324">
        <v>5</v>
      </c>
      <c r="I1324">
        <v>11</v>
      </c>
      <c r="J1324">
        <v>0</v>
      </c>
      <c r="K1324">
        <v>11</v>
      </c>
      <c r="L1324">
        <v>7428</v>
      </c>
      <c r="M1324">
        <v>0</v>
      </c>
      <c r="N1324">
        <v>7428</v>
      </c>
      <c r="O1324">
        <v>4456.8</v>
      </c>
      <c r="P1324">
        <v>2971.2</v>
      </c>
      <c r="Q1324">
        <v>0.4</v>
      </c>
      <c r="R1324">
        <v>0</v>
      </c>
      <c r="S1324">
        <v>0</v>
      </c>
      <c r="T1324">
        <v>0</v>
      </c>
      <c r="U1324">
        <v>1485.6</v>
      </c>
    </row>
    <row r="1325" spans="1:21" x14ac:dyDescent="0.35">
      <c r="A1325">
        <v>2025</v>
      </c>
      <c r="B1325">
        <v>6</v>
      </c>
      <c r="C1325">
        <v>2</v>
      </c>
      <c r="D1325" s="1">
        <v>45809</v>
      </c>
      <c r="E1325" s="4" t="s">
        <v>33</v>
      </c>
      <c r="F1325" s="4" t="s">
        <v>26</v>
      </c>
      <c r="G1325" s="4" t="s">
        <v>108</v>
      </c>
      <c r="H1325">
        <v>4</v>
      </c>
      <c r="I1325">
        <v>4</v>
      </c>
      <c r="J1325">
        <v>0</v>
      </c>
      <c r="K1325">
        <v>4</v>
      </c>
      <c r="L1325">
        <v>3500</v>
      </c>
      <c r="M1325">
        <v>0</v>
      </c>
      <c r="N1325">
        <v>3500</v>
      </c>
      <c r="O1325">
        <v>2100</v>
      </c>
      <c r="P1325">
        <v>1400</v>
      </c>
      <c r="Q1325">
        <v>0.4</v>
      </c>
      <c r="R1325">
        <v>0</v>
      </c>
      <c r="S1325">
        <v>0</v>
      </c>
      <c r="T1325">
        <v>0</v>
      </c>
      <c r="U1325">
        <v>875</v>
      </c>
    </row>
    <row r="1326" spans="1:21" x14ac:dyDescent="0.35">
      <c r="A1326">
        <v>2025</v>
      </c>
      <c r="B1326">
        <v>6</v>
      </c>
      <c r="C1326">
        <v>2</v>
      </c>
      <c r="D1326" s="1">
        <v>45809</v>
      </c>
      <c r="E1326" s="4" t="s">
        <v>33</v>
      </c>
      <c r="F1326" s="4" t="s">
        <v>26</v>
      </c>
      <c r="G1326" s="4" t="s">
        <v>109</v>
      </c>
      <c r="H1326">
        <v>48</v>
      </c>
      <c r="I1326">
        <v>74</v>
      </c>
      <c r="J1326">
        <v>3</v>
      </c>
      <c r="K1326">
        <v>71</v>
      </c>
      <c r="L1326">
        <v>57307.23</v>
      </c>
      <c r="M1326">
        <v>2563</v>
      </c>
      <c r="N1326">
        <v>54744.23</v>
      </c>
      <c r="O1326">
        <v>32949</v>
      </c>
      <c r="P1326">
        <v>21795.23</v>
      </c>
      <c r="Q1326">
        <v>0.39810000000000001</v>
      </c>
      <c r="R1326">
        <v>3</v>
      </c>
      <c r="S1326">
        <v>1664.23</v>
      </c>
      <c r="T1326">
        <v>0</v>
      </c>
      <c r="U1326">
        <v>1140.5</v>
      </c>
    </row>
    <row r="1327" spans="1:21" x14ac:dyDescent="0.35">
      <c r="A1327">
        <v>2025</v>
      </c>
      <c r="B1327">
        <v>6</v>
      </c>
      <c r="C1327">
        <v>2</v>
      </c>
      <c r="D1327" s="1">
        <v>45809</v>
      </c>
      <c r="E1327" s="4" t="s">
        <v>32</v>
      </c>
      <c r="F1327" s="4" t="s">
        <v>28</v>
      </c>
      <c r="G1327" s="4" t="s">
        <v>107</v>
      </c>
      <c r="H1327">
        <v>28</v>
      </c>
      <c r="I1327">
        <v>46</v>
      </c>
      <c r="J1327">
        <v>0</v>
      </c>
      <c r="K1327">
        <v>46</v>
      </c>
      <c r="L1327">
        <v>19313.16</v>
      </c>
      <c r="M1327">
        <v>0</v>
      </c>
      <c r="N1327">
        <v>19313.16</v>
      </c>
      <c r="O1327">
        <v>7309.4</v>
      </c>
      <c r="P1327">
        <v>12003.76</v>
      </c>
      <c r="Q1327">
        <v>0.62150000000000005</v>
      </c>
      <c r="R1327">
        <v>5</v>
      </c>
      <c r="S1327">
        <v>5693.16</v>
      </c>
      <c r="T1327">
        <v>0</v>
      </c>
      <c r="U1327">
        <v>689.76</v>
      </c>
    </row>
    <row r="1328" spans="1:21" x14ac:dyDescent="0.35">
      <c r="A1328">
        <v>2025</v>
      </c>
      <c r="B1328">
        <v>6</v>
      </c>
      <c r="C1328">
        <v>2</v>
      </c>
      <c r="D1328" s="1">
        <v>45809</v>
      </c>
      <c r="E1328" s="4" t="s">
        <v>32</v>
      </c>
      <c r="F1328" s="4" t="s">
        <v>28</v>
      </c>
      <c r="G1328" s="4" t="s">
        <v>109</v>
      </c>
      <c r="H1328">
        <v>509</v>
      </c>
      <c r="I1328">
        <v>784</v>
      </c>
      <c r="J1328">
        <v>0</v>
      </c>
      <c r="K1328">
        <v>784</v>
      </c>
      <c r="L1328">
        <v>273885.14</v>
      </c>
      <c r="M1328">
        <v>0</v>
      </c>
      <c r="N1328">
        <v>273885.14</v>
      </c>
      <c r="O1328">
        <v>100389.1</v>
      </c>
      <c r="P1328">
        <v>173496.04</v>
      </c>
      <c r="Q1328">
        <v>0.63349999999999995</v>
      </c>
      <c r="R1328">
        <v>73</v>
      </c>
      <c r="S1328">
        <v>50432.14</v>
      </c>
      <c r="T1328">
        <v>0</v>
      </c>
      <c r="U1328">
        <v>538.08000000000004</v>
      </c>
    </row>
    <row r="1329" spans="1:21" x14ac:dyDescent="0.35">
      <c r="A1329">
        <v>2025</v>
      </c>
      <c r="B1329">
        <v>6</v>
      </c>
      <c r="C1329">
        <v>2</v>
      </c>
      <c r="D1329" s="1">
        <v>45809</v>
      </c>
      <c r="E1329" s="4" t="s">
        <v>32</v>
      </c>
      <c r="F1329" s="4" t="s">
        <v>24</v>
      </c>
      <c r="G1329" s="4" t="s">
        <v>107</v>
      </c>
      <c r="H1329">
        <v>43</v>
      </c>
      <c r="I1329">
        <v>68</v>
      </c>
      <c r="J1329">
        <v>1</v>
      </c>
      <c r="K1329">
        <v>67</v>
      </c>
      <c r="L1329">
        <v>96823.53</v>
      </c>
      <c r="M1329">
        <v>1584</v>
      </c>
      <c r="N1329">
        <v>95239.53</v>
      </c>
      <c r="O1329">
        <v>54232.2</v>
      </c>
      <c r="P1329">
        <v>41007.33</v>
      </c>
      <c r="Q1329">
        <v>0.43059999999999998</v>
      </c>
      <c r="R1329">
        <v>6</v>
      </c>
      <c r="S1329">
        <v>12571.53</v>
      </c>
      <c r="T1329">
        <v>0</v>
      </c>
      <c r="U1329">
        <v>2214.87</v>
      </c>
    </row>
    <row r="1330" spans="1:21" x14ac:dyDescent="0.35">
      <c r="A1330">
        <v>2025</v>
      </c>
      <c r="B1330">
        <v>6</v>
      </c>
      <c r="C1330">
        <v>2</v>
      </c>
      <c r="D1330" s="1">
        <v>45809</v>
      </c>
      <c r="E1330" s="4" t="s">
        <v>32</v>
      </c>
      <c r="F1330" s="4" t="s">
        <v>24</v>
      </c>
      <c r="G1330" s="4" t="s">
        <v>109</v>
      </c>
      <c r="H1330">
        <v>157</v>
      </c>
      <c r="I1330">
        <v>224</v>
      </c>
      <c r="J1330">
        <v>2</v>
      </c>
      <c r="K1330">
        <v>222</v>
      </c>
      <c r="L1330">
        <v>282105.59000000003</v>
      </c>
      <c r="M1330">
        <v>1118.8399999999999</v>
      </c>
      <c r="N1330">
        <v>280986.75</v>
      </c>
      <c r="O1330">
        <v>160381.65</v>
      </c>
      <c r="P1330">
        <v>120605.1</v>
      </c>
      <c r="Q1330">
        <v>0.42920000000000003</v>
      </c>
      <c r="R1330">
        <v>13</v>
      </c>
      <c r="S1330">
        <v>33350.120000000003</v>
      </c>
      <c r="T1330">
        <v>0</v>
      </c>
      <c r="U1330">
        <v>1789.72</v>
      </c>
    </row>
    <row r="1331" spans="1:21" x14ac:dyDescent="0.35">
      <c r="A1331">
        <v>2025</v>
      </c>
      <c r="B1331">
        <v>6</v>
      </c>
      <c r="C1331">
        <v>2</v>
      </c>
      <c r="D1331" s="1">
        <v>45809</v>
      </c>
      <c r="E1331" s="4" t="s">
        <v>32</v>
      </c>
      <c r="F1331" s="4" t="s">
        <v>26</v>
      </c>
      <c r="G1331" s="4" t="s">
        <v>108</v>
      </c>
      <c r="H1331">
        <v>10</v>
      </c>
      <c r="I1331">
        <v>15</v>
      </c>
      <c r="J1331">
        <v>0</v>
      </c>
      <c r="K1331">
        <v>15</v>
      </c>
      <c r="L1331">
        <v>4391.1000000000004</v>
      </c>
      <c r="M1331">
        <v>0</v>
      </c>
      <c r="N1331">
        <v>4391.1000000000004</v>
      </c>
      <c r="O1331">
        <v>2835</v>
      </c>
      <c r="P1331">
        <v>1556.1</v>
      </c>
      <c r="Q1331">
        <v>0.35439999999999999</v>
      </c>
      <c r="R1331">
        <v>3</v>
      </c>
      <c r="S1331">
        <v>1556.1</v>
      </c>
      <c r="T1331">
        <v>0</v>
      </c>
      <c r="U1331">
        <v>439.11</v>
      </c>
    </row>
    <row r="1332" spans="1:21" x14ac:dyDescent="0.35">
      <c r="A1332">
        <v>2025</v>
      </c>
      <c r="B1332">
        <v>6</v>
      </c>
      <c r="C1332">
        <v>2</v>
      </c>
      <c r="D1332" s="1">
        <v>45809</v>
      </c>
      <c r="E1332" s="4" t="s">
        <v>32</v>
      </c>
      <c r="F1332" s="4" t="s">
        <v>26</v>
      </c>
      <c r="G1332" s="4" t="s">
        <v>109</v>
      </c>
      <c r="H1332">
        <v>43</v>
      </c>
      <c r="I1332">
        <v>66</v>
      </c>
      <c r="J1332">
        <v>0</v>
      </c>
      <c r="K1332">
        <v>66</v>
      </c>
      <c r="L1332">
        <v>43028.1</v>
      </c>
      <c r="M1332">
        <v>0</v>
      </c>
      <c r="N1332">
        <v>43028.1</v>
      </c>
      <c r="O1332">
        <v>26530.2</v>
      </c>
      <c r="P1332">
        <v>16497.900000000001</v>
      </c>
      <c r="Q1332">
        <v>0.38340000000000002</v>
      </c>
      <c r="R1332">
        <v>5</v>
      </c>
      <c r="S1332">
        <v>5705.1</v>
      </c>
      <c r="T1332">
        <v>0</v>
      </c>
      <c r="U1332">
        <v>1000.65</v>
      </c>
    </row>
    <row r="1333" spans="1:21" x14ac:dyDescent="0.35">
      <c r="A1333">
        <v>2025</v>
      </c>
      <c r="B1333">
        <v>6</v>
      </c>
      <c r="C1333">
        <v>2</v>
      </c>
      <c r="D1333" s="1">
        <v>45809</v>
      </c>
      <c r="E1333" s="4" t="s">
        <v>27</v>
      </c>
      <c r="F1333" s="4" t="s">
        <v>28</v>
      </c>
      <c r="G1333" s="4" t="s">
        <v>107</v>
      </c>
      <c r="H1333">
        <v>245</v>
      </c>
      <c r="I1333">
        <v>351</v>
      </c>
      <c r="J1333">
        <v>0</v>
      </c>
      <c r="K1333">
        <v>351</v>
      </c>
      <c r="L1333">
        <v>157099.82</v>
      </c>
      <c r="M1333">
        <v>0</v>
      </c>
      <c r="N1333">
        <v>157099.82</v>
      </c>
      <c r="O1333">
        <v>56425.25</v>
      </c>
      <c r="P1333">
        <v>100674.57</v>
      </c>
      <c r="Q1333">
        <v>0.64080000000000004</v>
      </c>
      <c r="R1333">
        <v>23</v>
      </c>
      <c r="S1333">
        <v>16283.82</v>
      </c>
      <c r="T1333">
        <v>0</v>
      </c>
      <c r="U1333">
        <v>641.22</v>
      </c>
    </row>
    <row r="1334" spans="1:21" x14ac:dyDescent="0.35">
      <c r="A1334">
        <v>2025</v>
      </c>
      <c r="B1334">
        <v>6</v>
      </c>
      <c r="C1334">
        <v>2</v>
      </c>
      <c r="D1334" s="1">
        <v>45809</v>
      </c>
      <c r="E1334" s="4" t="s">
        <v>27</v>
      </c>
      <c r="F1334" s="4" t="s">
        <v>28</v>
      </c>
      <c r="G1334" s="4" t="s">
        <v>109</v>
      </c>
      <c r="H1334">
        <v>722</v>
      </c>
      <c r="I1334">
        <v>1112</v>
      </c>
      <c r="J1334">
        <v>0</v>
      </c>
      <c r="K1334">
        <v>1112</v>
      </c>
      <c r="L1334">
        <v>597019.1</v>
      </c>
      <c r="M1334">
        <v>0</v>
      </c>
      <c r="N1334">
        <v>597019.1</v>
      </c>
      <c r="O1334">
        <v>216040.3</v>
      </c>
      <c r="P1334">
        <v>380978.8</v>
      </c>
      <c r="Q1334">
        <v>0.6381</v>
      </c>
      <c r="R1334">
        <v>89</v>
      </c>
      <c r="S1334">
        <v>88068.02</v>
      </c>
      <c r="T1334">
        <v>0</v>
      </c>
      <c r="U1334">
        <v>826.9</v>
      </c>
    </row>
    <row r="1335" spans="1:21" x14ac:dyDescent="0.35">
      <c r="A1335">
        <v>2025</v>
      </c>
      <c r="B1335">
        <v>6</v>
      </c>
      <c r="C1335">
        <v>2</v>
      </c>
      <c r="D1335" s="1">
        <v>45809</v>
      </c>
      <c r="E1335" s="4" t="s">
        <v>27</v>
      </c>
      <c r="F1335" s="4" t="s">
        <v>24</v>
      </c>
      <c r="G1335" s="4" t="s">
        <v>107</v>
      </c>
      <c r="H1335">
        <v>84</v>
      </c>
      <c r="I1335">
        <v>128</v>
      </c>
      <c r="J1335">
        <v>8</v>
      </c>
      <c r="K1335">
        <v>120</v>
      </c>
      <c r="L1335">
        <v>219223.4</v>
      </c>
      <c r="M1335">
        <v>13524</v>
      </c>
      <c r="N1335">
        <v>205699.4</v>
      </c>
      <c r="O1335">
        <v>118111.4</v>
      </c>
      <c r="P1335">
        <v>87588</v>
      </c>
      <c r="Q1335">
        <v>0.42580000000000001</v>
      </c>
      <c r="R1335">
        <v>11</v>
      </c>
      <c r="S1335">
        <v>36294.400000000001</v>
      </c>
      <c r="T1335">
        <v>0</v>
      </c>
      <c r="U1335">
        <v>2448.8000000000002</v>
      </c>
    </row>
    <row r="1336" spans="1:21" x14ac:dyDescent="0.35">
      <c r="A1336">
        <v>2025</v>
      </c>
      <c r="B1336">
        <v>6</v>
      </c>
      <c r="C1336">
        <v>2</v>
      </c>
      <c r="D1336" s="1">
        <v>45809</v>
      </c>
      <c r="E1336" s="4" t="s">
        <v>27</v>
      </c>
      <c r="F1336" s="4" t="s">
        <v>24</v>
      </c>
      <c r="G1336" s="4" t="s">
        <v>109</v>
      </c>
      <c r="H1336">
        <v>262</v>
      </c>
      <c r="I1336">
        <v>377</v>
      </c>
      <c r="J1336">
        <v>8</v>
      </c>
      <c r="K1336">
        <v>369</v>
      </c>
      <c r="L1336">
        <v>593135.69999999995</v>
      </c>
      <c r="M1336">
        <v>10663</v>
      </c>
      <c r="N1336">
        <v>582472.69999999995</v>
      </c>
      <c r="O1336">
        <v>331908.5</v>
      </c>
      <c r="P1336">
        <v>250564.2</v>
      </c>
      <c r="Q1336">
        <v>0.43020000000000003</v>
      </c>
      <c r="R1336">
        <v>31</v>
      </c>
      <c r="S1336">
        <v>77214.7</v>
      </c>
      <c r="T1336">
        <v>0</v>
      </c>
      <c r="U1336">
        <v>2223.1799999999998</v>
      </c>
    </row>
    <row r="1337" spans="1:21" x14ac:dyDescent="0.35">
      <c r="A1337">
        <v>2025</v>
      </c>
      <c r="B1337">
        <v>6</v>
      </c>
      <c r="C1337">
        <v>2</v>
      </c>
      <c r="D1337" s="1">
        <v>45809</v>
      </c>
      <c r="E1337" s="4" t="s">
        <v>27</v>
      </c>
      <c r="F1337" s="4" t="s">
        <v>26</v>
      </c>
      <c r="G1337" s="4" t="s">
        <v>107</v>
      </c>
      <c r="H1337">
        <v>6</v>
      </c>
      <c r="I1337">
        <v>13</v>
      </c>
      <c r="J1337">
        <v>0</v>
      </c>
      <c r="K1337">
        <v>13</v>
      </c>
      <c r="L1337">
        <v>12961.6</v>
      </c>
      <c r="M1337">
        <v>0</v>
      </c>
      <c r="N1337">
        <v>12961.6</v>
      </c>
      <c r="O1337">
        <v>8457</v>
      </c>
      <c r="P1337">
        <v>4504.6000000000004</v>
      </c>
      <c r="Q1337">
        <v>0.34749999999999998</v>
      </c>
      <c r="R1337">
        <v>2</v>
      </c>
      <c r="S1337">
        <v>3966.6</v>
      </c>
      <c r="T1337">
        <v>0</v>
      </c>
      <c r="U1337">
        <v>2160.27</v>
      </c>
    </row>
    <row r="1338" spans="1:21" x14ac:dyDescent="0.35">
      <c r="A1338">
        <v>2025</v>
      </c>
      <c r="B1338">
        <v>6</v>
      </c>
      <c r="C1338">
        <v>2</v>
      </c>
      <c r="D1338" s="1">
        <v>45809</v>
      </c>
      <c r="E1338" s="4" t="s">
        <v>27</v>
      </c>
      <c r="F1338" s="4" t="s">
        <v>26</v>
      </c>
      <c r="G1338" s="4" t="s">
        <v>109</v>
      </c>
      <c r="H1338">
        <v>30</v>
      </c>
      <c r="I1338">
        <v>40</v>
      </c>
      <c r="J1338">
        <v>0</v>
      </c>
      <c r="K1338">
        <v>40</v>
      </c>
      <c r="L1338">
        <v>22753.72</v>
      </c>
      <c r="M1338">
        <v>0</v>
      </c>
      <c r="N1338">
        <v>22753.72</v>
      </c>
      <c r="O1338">
        <v>13848.6</v>
      </c>
      <c r="P1338">
        <v>8905.1200000000008</v>
      </c>
      <c r="Q1338">
        <v>0.39140000000000003</v>
      </c>
      <c r="R1338">
        <v>2</v>
      </c>
      <c r="S1338">
        <v>1878.72</v>
      </c>
      <c r="T1338">
        <v>0</v>
      </c>
      <c r="U1338">
        <v>758.46</v>
      </c>
    </row>
    <row r="1339" spans="1:21" x14ac:dyDescent="0.35">
      <c r="A1339">
        <v>2025</v>
      </c>
      <c r="B1339">
        <v>6</v>
      </c>
      <c r="C1339">
        <v>2</v>
      </c>
      <c r="D1339" s="1">
        <v>45809</v>
      </c>
      <c r="E1339" s="4" t="s">
        <v>34</v>
      </c>
      <c r="F1339" s="4" t="s">
        <v>28</v>
      </c>
      <c r="G1339" s="4" t="s">
        <v>107</v>
      </c>
      <c r="H1339">
        <v>173</v>
      </c>
      <c r="I1339">
        <v>258</v>
      </c>
      <c r="J1339">
        <v>0</v>
      </c>
      <c r="K1339">
        <v>258</v>
      </c>
      <c r="L1339">
        <v>174197.59</v>
      </c>
      <c r="M1339">
        <v>0</v>
      </c>
      <c r="N1339">
        <v>174197.59</v>
      </c>
      <c r="O1339">
        <v>62352.85</v>
      </c>
      <c r="P1339">
        <v>111844.74</v>
      </c>
      <c r="Q1339">
        <v>0.6421</v>
      </c>
      <c r="R1339">
        <v>15</v>
      </c>
      <c r="S1339">
        <v>19546.509999999998</v>
      </c>
      <c r="T1339">
        <v>0</v>
      </c>
      <c r="U1339">
        <v>1006.92</v>
      </c>
    </row>
    <row r="1340" spans="1:21" x14ac:dyDescent="0.35">
      <c r="A1340">
        <v>2025</v>
      </c>
      <c r="B1340">
        <v>6</v>
      </c>
      <c r="C1340">
        <v>2</v>
      </c>
      <c r="D1340" s="1">
        <v>45809</v>
      </c>
      <c r="E1340" s="4" t="s">
        <v>34</v>
      </c>
      <c r="F1340" s="4" t="s">
        <v>28</v>
      </c>
      <c r="G1340" s="4" t="s">
        <v>108</v>
      </c>
      <c r="H1340">
        <v>62</v>
      </c>
      <c r="I1340">
        <v>95</v>
      </c>
      <c r="J1340">
        <v>0</v>
      </c>
      <c r="K1340">
        <v>95</v>
      </c>
      <c r="L1340">
        <v>38821.379999999997</v>
      </c>
      <c r="M1340">
        <v>0</v>
      </c>
      <c r="N1340">
        <v>38821.379999999997</v>
      </c>
      <c r="O1340">
        <v>14164.5</v>
      </c>
      <c r="P1340">
        <v>24656.880000000001</v>
      </c>
      <c r="Q1340">
        <v>0.6351</v>
      </c>
      <c r="R1340">
        <v>10</v>
      </c>
      <c r="S1340">
        <v>6019.38</v>
      </c>
      <c r="T1340">
        <v>0</v>
      </c>
      <c r="U1340">
        <v>626.15</v>
      </c>
    </row>
    <row r="1341" spans="1:21" x14ac:dyDescent="0.35">
      <c r="A1341">
        <v>2025</v>
      </c>
      <c r="B1341">
        <v>6</v>
      </c>
      <c r="C1341">
        <v>2</v>
      </c>
      <c r="D1341" s="1">
        <v>45809</v>
      </c>
      <c r="E1341" s="4" t="s">
        <v>34</v>
      </c>
      <c r="F1341" s="4" t="s">
        <v>28</v>
      </c>
      <c r="G1341" s="4" t="s">
        <v>109</v>
      </c>
      <c r="H1341">
        <v>682</v>
      </c>
      <c r="I1341">
        <v>1037</v>
      </c>
      <c r="J1341">
        <v>0</v>
      </c>
      <c r="K1341">
        <v>1037</v>
      </c>
      <c r="L1341">
        <v>514333.45</v>
      </c>
      <c r="M1341">
        <v>0</v>
      </c>
      <c r="N1341">
        <v>514333.45</v>
      </c>
      <c r="O1341">
        <v>187038.25</v>
      </c>
      <c r="P1341">
        <v>327295.2</v>
      </c>
      <c r="Q1341">
        <v>0.63629999999999998</v>
      </c>
      <c r="R1341">
        <v>86</v>
      </c>
      <c r="S1341">
        <v>83032.45</v>
      </c>
      <c r="T1341">
        <v>0</v>
      </c>
      <c r="U1341">
        <v>754.15</v>
      </c>
    </row>
    <row r="1342" spans="1:21" x14ac:dyDescent="0.35">
      <c r="A1342">
        <v>2025</v>
      </c>
      <c r="B1342">
        <v>6</v>
      </c>
      <c r="C1342">
        <v>2</v>
      </c>
      <c r="D1342" s="1">
        <v>45809</v>
      </c>
      <c r="E1342" s="4" t="s">
        <v>34</v>
      </c>
      <c r="F1342" s="4" t="s">
        <v>24</v>
      </c>
      <c r="G1342" s="4" t="s">
        <v>107</v>
      </c>
      <c r="H1342">
        <v>91</v>
      </c>
      <c r="I1342">
        <v>144</v>
      </c>
      <c r="J1342">
        <v>6</v>
      </c>
      <c r="K1342">
        <v>138</v>
      </c>
      <c r="L1342">
        <v>262303.32</v>
      </c>
      <c r="M1342">
        <v>11623.75</v>
      </c>
      <c r="N1342">
        <v>250679.57</v>
      </c>
      <c r="O1342">
        <v>139846.29999999999</v>
      </c>
      <c r="P1342">
        <v>110833.27</v>
      </c>
      <c r="Q1342">
        <v>0.44209999999999999</v>
      </c>
      <c r="R1342">
        <v>10</v>
      </c>
      <c r="S1342">
        <v>25005.57</v>
      </c>
      <c r="T1342">
        <v>0</v>
      </c>
      <c r="U1342">
        <v>2754.72</v>
      </c>
    </row>
    <row r="1343" spans="1:21" x14ac:dyDescent="0.35">
      <c r="A1343">
        <v>2025</v>
      </c>
      <c r="B1343">
        <v>6</v>
      </c>
      <c r="C1343">
        <v>2</v>
      </c>
      <c r="D1343" s="1">
        <v>45809</v>
      </c>
      <c r="E1343" s="4" t="s">
        <v>34</v>
      </c>
      <c r="F1343" s="4" t="s">
        <v>24</v>
      </c>
      <c r="G1343" s="4" t="s">
        <v>108</v>
      </c>
      <c r="H1343">
        <v>16</v>
      </c>
      <c r="I1343">
        <v>24</v>
      </c>
      <c r="J1343">
        <v>0</v>
      </c>
      <c r="K1343">
        <v>24</v>
      </c>
      <c r="L1343">
        <v>32172.07</v>
      </c>
      <c r="M1343">
        <v>0</v>
      </c>
      <c r="N1343">
        <v>32172.07</v>
      </c>
      <c r="O1343">
        <v>18202.8</v>
      </c>
      <c r="P1343">
        <v>13969.27</v>
      </c>
      <c r="Q1343">
        <v>0.43419999999999997</v>
      </c>
      <c r="R1343">
        <v>3</v>
      </c>
      <c r="S1343">
        <v>5971.07</v>
      </c>
      <c r="T1343">
        <v>0</v>
      </c>
      <c r="U1343">
        <v>2010.75</v>
      </c>
    </row>
    <row r="1344" spans="1:21" x14ac:dyDescent="0.35">
      <c r="A1344">
        <v>2025</v>
      </c>
      <c r="B1344">
        <v>6</v>
      </c>
      <c r="C1344">
        <v>2</v>
      </c>
      <c r="D1344" s="1">
        <v>45809</v>
      </c>
      <c r="E1344" s="4" t="s">
        <v>34</v>
      </c>
      <c r="F1344" s="4" t="s">
        <v>24</v>
      </c>
      <c r="G1344" s="4" t="s">
        <v>109</v>
      </c>
      <c r="H1344">
        <v>187</v>
      </c>
      <c r="I1344">
        <v>284</v>
      </c>
      <c r="J1344">
        <v>2</v>
      </c>
      <c r="K1344">
        <v>282</v>
      </c>
      <c r="L1344">
        <v>471903.7</v>
      </c>
      <c r="M1344">
        <v>4371</v>
      </c>
      <c r="N1344">
        <v>467532.7</v>
      </c>
      <c r="O1344">
        <v>264833.25</v>
      </c>
      <c r="P1344">
        <v>202699.45</v>
      </c>
      <c r="Q1344">
        <v>0.43359999999999999</v>
      </c>
      <c r="R1344">
        <v>23</v>
      </c>
      <c r="S1344">
        <v>71004.7</v>
      </c>
      <c r="T1344">
        <v>0</v>
      </c>
      <c r="U1344">
        <v>2500.17</v>
      </c>
    </row>
    <row r="1345" spans="1:21" x14ac:dyDescent="0.35">
      <c r="A1345">
        <v>2025</v>
      </c>
      <c r="B1345">
        <v>6</v>
      </c>
      <c r="C1345">
        <v>2</v>
      </c>
      <c r="D1345" s="1">
        <v>45809</v>
      </c>
      <c r="E1345" s="4" t="s">
        <v>34</v>
      </c>
      <c r="F1345" s="4" t="s">
        <v>26</v>
      </c>
      <c r="G1345" s="4" t="s">
        <v>107</v>
      </c>
      <c r="H1345">
        <v>8</v>
      </c>
      <c r="I1345">
        <v>10</v>
      </c>
      <c r="J1345">
        <v>0</v>
      </c>
      <c r="K1345">
        <v>10</v>
      </c>
      <c r="L1345">
        <v>5338</v>
      </c>
      <c r="M1345">
        <v>0</v>
      </c>
      <c r="N1345">
        <v>5338</v>
      </c>
      <c r="O1345">
        <v>3202.8</v>
      </c>
      <c r="P1345">
        <v>2135.1999999999998</v>
      </c>
      <c r="Q1345">
        <v>0.4</v>
      </c>
      <c r="R1345">
        <v>0</v>
      </c>
      <c r="S1345">
        <v>0</v>
      </c>
      <c r="T1345">
        <v>0</v>
      </c>
      <c r="U1345">
        <v>667.25</v>
      </c>
    </row>
    <row r="1346" spans="1:21" x14ac:dyDescent="0.35">
      <c r="A1346">
        <v>2025</v>
      </c>
      <c r="B1346">
        <v>6</v>
      </c>
      <c r="C1346">
        <v>2</v>
      </c>
      <c r="D1346" s="1">
        <v>45809</v>
      </c>
      <c r="E1346" s="4" t="s">
        <v>34</v>
      </c>
      <c r="F1346" s="4" t="s">
        <v>26</v>
      </c>
      <c r="G1346" s="4" t="s">
        <v>108</v>
      </c>
      <c r="H1346">
        <v>4</v>
      </c>
      <c r="I1346">
        <v>7</v>
      </c>
      <c r="J1346">
        <v>0</v>
      </c>
      <c r="K1346">
        <v>7</v>
      </c>
      <c r="L1346">
        <v>4191</v>
      </c>
      <c r="M1346">
        <v>0</v>
      </c>
      <c r="N1346">
        <v>4191</v>
      </c>
      <c r="O1346">
        <v>2514.6</v>
      </c>
      <c r="P1346">
        <v>1676.4</v>
      </c>
      <c r="Q1346">
        <v>0.4</v>
      </c>
      <c r="R1346">
        <v>0</v>
      </c>
      <c r="S1346">
        <v>0</v>
      </c>
      <c r="T1346">
        <v>0</v>
      </c>
      <c r="U1346">
        <v>1047.75</v>
      </c>
    </row>
    <row r="1347" spans="1:21" x14ac:dyDescent="0.35">
      <c r="A1347">
        <v>2025</v>
      </c>
      <c r="B1347">
        <v>6</v>
      </c>
      <c r="C1347">
        <v>2</v>
      </c>
      <c r="D1347" s="1">
        <v>45809</v>
      </c>
      <c r="E1347" s="4" t="s">
        <v>34</v>
      </c>
      <c r="F1347" s="4" t="s">
        <v>26</v>
      </c>
      <c r="G1347" s="4" t="s">
        <v>109</v>
      </c>
      <c r="H1347">
        <v>44</v>
      </c>
      <c r="I1347">
        <v>60</v>
      </c>
      <c r="J1347">
        <v>0</v>
      </c>
      <c r="K1347">
        <v>60</v>
      </c>
      <c r="L1347">
        <v>42083.16</v>
      </c>
      <c r="M1347">
        <v>0</v>
      </c>
      <c r="N1347">
        <v>42083.16</v>
      </c>
      <c r="O1347">
        <v>25705.200000000001</v>
      </c>
      <c r="P1347">
        <v>16377.96</v>
      </c>
      <c r="Q1347">
        <v>0.38919999999999999</v>
      </c>
      <c r="R1347">
        <v>2</v>
      </c>
      <c r="S1347">
        <v>2631.16</v>
      </c>
      <c r="T1347">
        <v>0</v>
      </c>
      <c r="U1347">
        <v>956.44</v>
      </c>
    </row>
    <row r="1348" spans="1:21" x14ac:dyDescent="0.35">
      <c r="A1348">
        <v>2025</v>
      </c>
      <c r="B1348">
        <v>6</v>
      </c>
      <c r="C1348">
        <v>2</v>
      </c>
      <c r="D1348" s="1">
        <v>45809</v>
      </c>
      <c r="E1348" s="4" t="s">
        <v>36</v>
      </c>
      <c r="F1348" s="4" t="s">
        <v>28</v>
      </c>
      <c r="G1348" s="4" t="s">
        <v>107</v>
      </c>
      <c r="H1348">
        <v>73</v>
      </c>
      <c r="I1348">
        <v>112</v>
      </c>
      <c r="J1348">
        <v>0</v>
      </c>
      <c r="K1348">
        <v>112</v>
      </c>
      <c r="L1348">
        <v>69409.210000000006</v>
      </c>
      <c r="M1348">
        <v>0</v>
      </c>
      <c r="N1348">
        <v>69409.210000000006</v>
      </c>
      <c r="O1348">
        <v>25846.1</v>
      </c>
      <c r="P1348">
        <v>43563.11</v>
      </c>
      <c r="Q1348">
        <v>0.62760000000000005</v>
      </c>
      <c r="R1348">
        <v>10</v>
      </c>
      <c r="S1348">
        <v>14104.21</v>
      </c>
      <c r="T1348">
        <v>0</v>
      </c>
      <c r="U1348">
        <v>950.81</v>
      </c>
    </row>
    <row r="1349" spans="1:21" x14ac:dyDescent="0.35">
      <c r="A1349">
        <v>2025</v>
      </c>
      <c r="B1349">
        <v>6</v>
      </c>
      <c r="C1349">
        <v>2</v>
      </c>
      <c r="D1349" s="1">
        <v>45809</v>
      </c>
      <c r="E1349" s="4" t="s">
        <v>36</v>
      </c>
      <c r="F1349" s="4" t="s">
        <v>28</v>
      </c>
      <c r="G1349" s="4" t="s">
        <v>108</v>
      </c>
      <c r="H1349">
        <v>152</v>
      </c>
      <c r="I1349">
        <v>243</v>
      </c>
      <c r="J1349">
        <v>0</v>
      </c>
      <c r="K1349">
        <v>243</v>
      </c>
      <c r="L1349">
        <v>80140.289999999994</v>
      </c>
      <c r="M1349">
        <v>0</v>
      </c>
      <c r="N1349">
        <v>80140.289999999994</v>
      </c>
      <c r="O1349">
        <v>28592.55</v>
      </c>
      <c r="P1349">
        <v>51547.74</v>
      </c>
      <c r="Q1349">
        <v>0.64319999999999999</v>
      </c>
      <c r="R1349">
        <v>12</v>
      </c>
      <c r="S1349">
        <v>6795.73</v>
      </c>
      <c r="T1349">
        <v>0</v>
      </c>
      <c r="U1349">
        <v>527.24</v>
      </c>
    </row>
    <row r="1350" spans="1:21" x14ac:dyDescent="0.35">
      <c r="A1350">
        <v>2025</v>
      </c>
      <c r="B1350">
        <v>6</v>
      </c>
      <c r="C1350">
        <v>2</v>
      </c>
      <c r="D1350" s="1">
        <v>45809</v>
      </c>
      <c r="E1350" s="4" t="s">
        <v>36</v>
      </c>
      <c r="F1350" s="4" t="s">
        <v>28</v>
      </c>
      <c r="G1350" s="4" t="s">
        <v>109</v>
      </c>
      <c r="H1350">
        <v>706</v>
      </c>
      <c r="I1350">
        <v>1089</v>
      </c>
      <c r="J1350">
        <v>0</v>
      </c>
      <c r="K1350">
        <v>1089</v>
      </c>
      <c r="L1350">
        <v>525826.1</v>
      </c>
      <c r="M1350">
        <v>0</v>
      </c>
      <c r="N1350">
        <v>525826.1</v>
      </c>
      <c r="O1350">
        <v>191822.4</v>
      </c>
      <c r="P1350">
        <v>334003.7</v>
      </c>
      <c r="Q1350">
        <v>0.63519999999999999</v>
      </c>
      <c r="R1350">
        <v>96</v>
      </c>
      <c r="S1350">
        <v>89945.78</v>
      </c>
      <c r="T1350">
        <v>0</v>
      </c>
      <c r="U1350">
        <v>744.8</v>
      </c>
    </row>
    <row r="1351" spans="1:21" x14ac:dyDescent="0.35">
      <c r="A1351">
        <v>2025</v>
      </c>
      <c r="B1351">
        <v>6</v>
      </c>
      <c r="C1351">
        <v>2</v>
      </c>
      <c r="D1351" s="1">
        <v>45809</v>
      </c>
      <c r="E1351" s="4" t="s">
        <v>36</v>
      </c>
      <c r="F1351" s="4" t="s">
        <v>24</v>
      </c>
      <c r="G1351" s="4" t="s">
        <v>107</v>
      </c>
      <c r="H1351">
        <v>61</v>
      </c>
      <c r="I1351">
        <v>82</v>
      </c>
      <c r="J1351">
        <v>1</v>
      </c>
      <c r="K1351">
        <v>81</v>
      </c>
      <c r="L1351">
        <v>103030.1</v>
      </c>
      <c r="M1351">
        <v>2187</v>
      </c>
      <c r="N1351">
        <v>100843.1</v>
      </c>
      <c r="O1351">
        <v>56168.2</v>
      </c>
      <c r="P1351">
        <v>44674.9</v>
      </c>
      <c r="Q1351">
        <v>0.443</v>
      </c>
      <c r="R1351">
        <v>4</v>
      </c>
      <c r="S1351">
        <v>8570.1</v>
      </c>
      <c r="T1351">
        <v>0</v>
      </c>
      <c r="U1351">
        <v>1653.17</v>
      </c>
    </row>
    <row r="1352" spans="1:21" x14ac:dyDescent="0.35">
      <c r="A1352">
        <v>2025</v>
      </c>
      <c r="B1352">
        <v>6</v>
      </c>
      <c r="C1352">
        <v>2</v>
      </c>
      <c r="D1352" s="1">
        <v>45809</v>
      </c>
      <c r="E1352" s="4" t="s">
        <v>36</v>
      </c>
      <c r="F1352" s="4" t="s">
        <v>24</v>
      </c>
      <c r="G1352" s="4" t="s">
        <v>108</v>
      </c>
      <c r="H1352">
        <v>21</v>
      </c>
      <c r="I1352">
        <v>32</v>
      </c>
      <c r="J1352">
        <v>2</v>
      </c>
      <c r="K1352">
        <v>30</v>
      </c>
      <c r="L1352">
        <v>53824</v>
      </c>
      <c r="M1352">
        <v>3200</v>
      </c>
      <c r="N1352">
        <v>50624</v>
      </c>
      <c r="O1352">
        <v>27966.400000000001</v>
      </c>
      <c r="P1352">
        <v>22657.599999999999</v>
      </c>
      <c r="Q1352">
        <v>0.4476</v>
      </c>
      <c r="R1352">
        <v>1</v>
      </c>
      <c r="S1352">
        <v>1376</v>
      </c>
      <c r="T1352">
        <v>0</v>
      </c>
      <c r="U1352">
        <v>2410.67</v>
      </c>
    </row>
    <row r="1353" spans="1:21" x14ac:dyDescent="0.35">
      <c r="A1353">
        <v>2025</v>
      </c>
      <c r="B1353">
        <v>6</v>
      </c>
      <c r="C1353">
        <v>2</v>
      </c>
      <c r="D1353" s="1">
        <v>45809</v>
      </c>
      <c r="E1353" s="4" t="s">
        <v>36</v>
      </c>
      <c r="F1353" s="4" t="s">
        <v>24</v>
      </c>
      <c r="G1353" s="4" t="s">
        <v>109</v>
      </c>
      <c r="H1353">
        <v>125</v>
      </c>
      <c r="I1353">
        <v>199</v>
      </c>
      <c r="J1353">
        <v>2</v>
      </c>
      <c r="K1353">
        <v>197</v>
      </c>
      <c r="L1353">
        <v>312374.63</v>
      </c>
      <c r="M1353">
        <v>3746</v>
      </c>
      <c r="N1353">
        <v>308628.63</v>
      </c>
      <c r="O1353">
        <v>176323.95</v>
      </c>
      <c r="P1353">
        <v>132304.68</v>
      </c>
      <c r="Q1353">
        <v>0.42870000000000003</v>
      </c>
      <c r="R1353">
        <v>16</v>
      </c>
      <c r="S1353">
        <v>42920.63</v>
      </c>
      <c r="T1353">
        <v>0</v>
      </c>
      <c r="U1353">
        <v>2469.0300000000002</v>
      </c>
    </row>
    <row r="1354" spans="1:21" x14ac:dyDescent="0.35">
      <c r="A1354">
        <v>2025</v>
      </c>
      <c r="B1354">
        <v>6</v>
      </c>
      <c r="C1354">
        <v>2</v>
      </c>
      <c r="D1354" s="1">
        <v>45809</v>
      </c>
      <c r="E1354" s="4" t="s">
        <v>36</v>
      </c>
      <c r="F1354" s="4" t="s">
        <v>26</v>
      </c>
      <c r="G1354" s="4" t="s">
        <v>107</v>
      </c>
      <c r="H1354">
        <v>1</v>
      </c>
      <c r="I1354">
        <v>1</v>
      </c>
      <c r="J1354">
        <v>0</v>
      </c>
      <c r="K1354">
        <v>1</v>
      </c>
      <c r="L1354">
        <v>935</v>
      </c>
      <c r="M1354">
        <v>0</v>
      </c>
      <c r="N1354">
        <v>935</v>
      </c>
      <c r="O1354">
        <v>561</v>
      </c>
      <c r="P1354">
        <v>374</v>
      </c>
      <c r="Q1354">
        <v>0.4</v>
      </c>
      <c r="R1354">
        <v>0</v>
      </c>
      <c r="S1354">
        <v>0</v>
      </c>
      <c r="T1354">
        <v>0</v>
      </c>
      <c r="U1354">
        <v>935</v>
      </c>
    </row>
    <row r="1355" spans="1:21" x14ac:dyDescent="0.35">
      <c r="A1355">
        <v>2025</v>
      </c>
      <c r="B1355">
        <v>6</v>
      </c>
      <c r="C1355">
        <v>2</v>
      </c>
      <c r="D1355" s="1">
        <v>45809</v>
      </c>
      <c r="E1355" s="4" t="s">
        <v>36</v>
      </c>
      <c r="F1355" s="4" t="s">
        <v>26</v>
      </c>
      <c r="G1355" s="4" t="s">
        <v>109</v>
      </c>
      <c r="H1355">
        <v>35</v>
      </c>
      <c r="I1355">
        <v>56</v>
      </c>
      <c r="J1355">
        <v>4</v>
      </c>
      <c r="K1355">
        <v>52</v>
      </c>
      <c r="L1355">
        <v>44940.21</v>
      </c>
      <c r="M1355">
        <v>1268</v>
      </c>
      <c r="N1355">
        <v>43672.21</v>
      </c>
      <c r="O1355">
        <v>27187.8</v>
      </c>
      <c r="P1355">
        <v>16484.41</v>
      </c>
      <c r="Q1355">
        <v>0.3775</v>
      </c>
      <c r="R1355">
        <v>6</v>
      </c>
      <c r="S1355">
        <v>5813.21</v>
      </c>
      <c r="T1355">
        <v>0</v>
      </c>
      <c r="U1355">
        <v>1247.78</v>
      </c>
    </row>
    <row r="1356" spans="1:21" x14ac:dyDescent="0.35">
      <c r="A1356">
        <v>2025</v>
      </c>
      <c r="B1356">
        <v>6</v>
      </c>
      <c r="C1356">
        <v>2</v>
      </c>
      <c r="D1356" s="1">
        <v>45809</v>
      </c>
      <c r="E1356" s="4" t="s">
        <v>23</v>
      </c>
      <c r="F1356" s="4" t="s">
        <v>28</v>
      </c>
      <c r="G1356" s="4" t="s">
        <v>107</v>
      </c>
      <c r="H1356">
        <v>109</v>
      </c>
      <c r="I1356">
        <v>168</v>
      </c>
      <c r="J1356">
        <v>0</v>
      </c>
      <c r="K1356">
        <v>168</v>
      </c>
      <c r="L1356">
        <v>54796.56</v>
      </c>
      <c r="M1356">
        <v>0</v>
      </c>
      <c r="N1356">
        <v>54796.56</v>
      </c>
      <c r="O1356">
        <v>19874.400000000001</v>
      </c>
      <c r="P1356">
        <v>34922.160000000003</v>
      </c>
      <c r="Q1356">
        <v>0.63729999999999998</v>
      </c>
      <c r="R1356">
        <v>14</v>
      </c>
      <c r="S1356">
        <v>8828.56</v>
      </c>
      <c r="T1356">
        <v>0</v>
      </c>
      <c r="U1356">
        <v>502.72</v>
      </c>
    </row>
    <row r="1357" spans="1:21" x14ac:dyDescent="0.35">
      <c r="A1357">
        <v>2025</v>
      </c>
      <c r="B1357">
        <v>6</v>
      </c>
      <c r="C1357">
        <v>2</v>
      </c>
      <c r="D1357" s="1">
        <v>45809</v>
      </c>
      <c r="E1357" s="4" t="s">
        <v>23</v>
      </c>
      <c r="F1357" s="4" t="s">
        <v>28</v>
      </c>
      <c r="G1357" s="4" t="s">
        <v>108</v>
      </c>
      <c r="H1357">
        <v>41</v>
      </c>
      <c r="I1357">
        <v>62</v>
      </c>
      <c r="J1357">
        <v>0</v>
      </c>
      <c r="K1357">
        <v>62</v>
      </c>
      <c r="L1357">
        <v>42686.16</v>
      </c>
      <c r="M1357">
        <v>0</v>
      </c>
      <c r="N1357">
        <v>42686.16</v>
      </c>
      <c r="O1357">
        <v>15255.1</v>
      </c>
      <c r="P1357">
        <v>27431.06</v>
      </c>
      <c r="Q1357">
        <v>0.64259999999999995</v>
      </c>
      <c r="R1357">
        <v>4</v>
      </c>
      <c r="S1357">
        <v>3318.16</v>
      </c>
      <c r="T1357">
        <v>0</v>
      </c>
      <c r="U1357">
        <v>1041.1300000000001</v>
      </c>
    </row>
    <row r="1358" spans="1:21" x14ac:dyDescent="0.35">
      <c r="A1358">
        <v>2025</v>
      </c>
      <c r="B1358">
        <v>6</v>
      </c>
      <c r="C1358">
        <v>2</v>
      </c>
      <c r="D1358" s="1">
        <v>45809</v>
      </c>
      <c r="E1358" s="4" t="s">
        <v>23</v>
      </c>
      <c r="F1358" s="4" t="s">
        <v>28</v>
      </c>
      <c r="G1358" s="4" t="s">
        <v>109</v>
      </c>
      <c r="H1358">
        <v>575</v>
      </c>
      <c r="I1358">
        <v>882</v>
      </c>
      <c r="J1358">
        <v>0</v>
      </c>
      <c r="K1358">
        <v>882</v>
      </c>
      <c r="L1358">
        <v>405468.68</v>
      </c>
      <c r="M1358">
        <v>0</v>
      </c>
      <c r="N1358">
        <v>405468.68</v>
      </c>
      <c r="O1358">
        <v>147388.15</v>
      </c>
      <c r="P1358">
        <v>258080.53</v>
      </c>
      <c r="Q1358">
        <v>0.63649999999999995</v>
      </c>
      <c r="R1358">
        <v>67</v>
      </c>
      <c r="S1358">
        <v>55991.68</v>
      </c>
      <c r="T1358">
        <v>0</v>
      </c>
      <c r="U1358">
        <v>705.16</v>
      </c>
    </row>
    <row r="1359" spans="1:21" x14ac:dyDescent="0.35">
      <c r="A1359">
        <v>2025</v>
      </c>
      <c r="B1359">
        <v>6</v>
      </c>
      <c r="C1359">
        <v>2</v>
      </c>
      <c r="D1359" s="1">
        <v>45809</v>
      </c>
      <c r="E1359" s="4" t="s">
        <v>23</v>
      </c>
      <c r="F1359" s="4" t="s">
        <v>35</v>
      </c>
      <c r="G1359" s="4" t="s">
        <v>109</v>
      </c>
      <c r="H1359">
        <v>1</v>
      </c>
      <c r="I1359">
        <v>1</v>
      </c>
      <c r="J1359">
        <v>0</v>
      </c>
      <c r="K1359">
        <v>1</v>
      </c>
      <c r="L1359">
        <v>440</v>
      </c>
      <c r="M1359">
        <v>0</v>
      </c>
      <c r="N1359">
        <v>440</v>
      </c>
      <c r="O1359">
        <v>88</v>
      </c>
      <c r="P1359">
        <v>352</v>
      </c>
      <c r="Q1359">
        <v>0.8</v>
      </c>
      <c r="R1359">
        <v>0</v>
      </c>
      <c r="S1359">
        <v>0</v>
      </c>
      <c r="T1359">
        <v>0</v>
      </c>
      <c r="U1359">
        <v>440</v>
      </c>
    </row>
    <row r="1360" spans="1:21" x14ac:dyDescent="0.35">
      <c r="A1360">
        <v>2025</v>
      </c>
      <c r="B1360">
        <v>6</v>
      </c>
      <c r="C1360">
        <v>2</v>
      </c>
      <c r="D1360" s="1">
        <v>45809</v>
      </c>
      <c r="E1360" s="4" t="s">
        <v>23</v>
      </c>
      <c r="F1360" s="4" t="s">
        <v>24</v>
      </c>
      <c r="G1360" s="4" t="s">
        <v>107</v>
      </c>
      <c r="H1360">
        <v>57</v>
      </c>
      <c r="I1360">
        <v>90</v>
      </c>
      <c r="J1360">
        <v>0</v>
      </c>
      <c r="K1360">
        <v>90</v>
      </c>
      <c r="L1360">
        <v>162137.22</v>
      </c>
      <c r="M1360">
        <v>0</v>
      </c>
      <c r="N1360">
        <v>162137.22</v>
      </c>
      <c r="O1360">
        <v>92404.4</v>
      </c>
      <c r="P1360">
        <v>69732.820000000007</v>
      </c>
      <c r="Q1360">
        <v>0.43009999999999998</v>
      </c>
      <c r="R1360">
        <v>6</v>
      </c>
      <c r="S1360">
        <v>27423.22</v>
      </c>
      <c r="T1360">
        <v>0</v>
      </c>
      <c r="U1360">
        <v>2844.51</v>
      </c>
    </row>
    <row r="1361" spans="1:21" x14ac:dyDescent="0.35">
      <c r="A1361">
        <v>2025</v>
      </c>
      <c r="B1361">
        <v>6</v>
      </c>
      <c r="C1361">
        <v>2</v>
      </c>
      <c r="D1361" s="1">
        <v>45809</v>
      </c>
      <c r="E1361" s="4" t="s">
        <v>23</v>
      </c>
      <c r="F1361" s="4" t="s">
        <v>24</v>
      </c>
      <c r="G1361" s="4" t="s">
        <v>109</v>
      </c>
      <c r="H1361">
        <v>142</v>
      </c>
      <c r="I1361">
        <v>209</v>
      </c>
      <c r="J1361">
        <v>8</v>
      </c>
      <c r="K1361">
        <v>201</v>
      </c>
      <c r="L1361">
        <v>232515.65</v>
      </c>
      <c r="M1361">
        <v>9618.25</v>
      </c>
      <c r="N1361">
        <v>222897.4</v>
      </c>
      <c r="O1361">
        <v>127458.1</v>
      </c>
      <c r="P1361">
        <v>95439.3</v>
      </c>
      <c r="Q1361">
        <v>0.42820000000000003</v>
      </c>
      <c r="R1361">
        <v>19</v>
      </c>
      <c r="S1361">
        <v>39390.400000000001</v>
      </c>
      <c r="T1361">
        <v>0</v>
      </c>
      <c r="U1361">
        <v>1569.7</v>
      </c>
    </row>
    <row r="1362" spans="1:21" x14ac:dyDescent="0.35">
      <c r="A1362">
        <v>2025</v>
      </c>
      <c r="B1362">
        <v>6</v>
      </c>
      <c r="C1362">
        <v>2</v>
      </c>
      <c r="D1362" s="1">
        <v>45809</v>
      </c>
      <c r="E1362" s="4" t="s">
        <v>23</v>
      </c>
      <c r="F1362" s="4" t="s">
        <v>26</v>
      </c>
      <c r="G1362" s="4" t="s">
        <v>107</v>
      </c>
      <c r="H1362">
        <v>8</v>
      </c>
      <c r="I1362">
        <v>13</v>
      </c>
      <c r="J1362">
        <v>0</v>
      </c>
      <c r="K1362">
        <v>13</v>
      </c>
      <c r="L1362">
        <v>7169</v>
      </c>
      <c r="M1362">
        <v>0</v>
      </c>
      <c r="N1362">
        <v>7169</v>
      </c>
      <c r="O1362">
        <v>4301.3999999999996</v>
      </c>
      <c r="P1362">
        <v>2867.6</v>
      </c>
      <c r="Q1362">
        <v>0.4</v>
      </c>
      <c r="R1362">
        <v>0</v>
      </c>
      <c r="S1362">
        <v>0</v>
      </c>
      <c r="T1362">
        <v>0</v>
      </c>
      <c r="U1362">
        <v>896.13</v>
      </c>
    </row>
    <row r="1363" spans="1:21" x14ac:dyDescent="0.35">
      <c r="A1363">
        <v>2025</v>
      </c>
      <c r="B1363">
        <v>6</v>
      </c>
      <c r="C1363">
        <v>2</v>
      </c>
      <c r="D1363" s="1">
        <v>45809</v>
      </c>
      <c r="E1363" s="4" t="s">
        <v>23</v>
      </c>
      <c r="F1363" s="4" t="s">
        <v>26</v>
      </c>
      <c r="G1363" s="4" t="s">
        <v>109</v>
      </c>
      <c r="H1363">
        <v>27</v>
      </c>
      <c r="I1363">
        <v>40</v>
      </c>
      <c r="J1363">
        <v>0</v>
      </c>
      <c r="K1363">
        <v>40</v>
      </c>
      <c r="L1363">
        <v>22906.42</v>
      </c>
      <c r="M1363">
        <v>0</v>
      </c>
      <c r="N1363">
        <v>22906.42</v>
      </c>
      <c r="O1363">
        <v>14533.2</v>
      </c>
      <c r="P1363">
        <v>8373.2199999999993</v>
      </c>
      <c r="Q1363">
        <v>0.36549999999999999</v>
      </c>
      <c r="R1363">
        <v>4</v>
      </c>
      <c r="S1363">
        <v>4402.42</v>
      </c>
      <c r="T1363">
        <v>0</v>
      </c>
      <c r="U1363">
        <v>848.39</v>
      </c>
    </row>
    <row r="1364" spans="1:21" x14ac:dyDescent="0.35">
      <c r="A1364">
        <v>2025</v>
      </c>
      <c r="B1364">
        <v>6</v>
      </c>
      <c r="C1364">
        <v>2</v>
      </c>
      <c r="D1364" s="1">
        <v>45809</v>
      </c>
      <c r="E1364" s="4" t="s">
        <v>25</v>
      </c>
      <c r="F1364" s="4" t="s">
        <v>28</v>
      </c>
      <c r="G1364" s="4" t="s">
        <v>107</v>
      </c>
      <c r="H1364">
        <v>27</v>
      </c>
      <c r="I1364">
        <v>39</v>
      </c>
      <c r="J1364">
        <v>0</v>
      </c>
      <c r="K1364">
        <v>39</v>
      </c>
      <c r="L1364">
        <v>18856.18</v>
      </c>
      <c r="M1364">
        <v>0</v>
      </c>
      <c r="N1364">
        <v>18856.18</v>
      </c>
      <c r="O1364">
        <v>6784.05</v>
      </c>
      <c r="P1364">
        <v>12072.13</v>
      </c>
      <c r="Q1364">
        <v>0.64019999999999999</v>
      </c>
      <c r="R1364">
        <v>4</v>
      </c>
      <c r="S1364">
        <v>3449.18</v>
      </c>
      <c r="T1364">
        <v>0</v>
      </c>
      <c r="U1364">
        <v>698.38</v>
      </c>
    </row>
    <row r="1365" spans="1:21" x14ac:dyDescent="0.35">
      <c r="A1365">
        <v>2025</v>
      </c>
      <c r="B1365">
        <v>6</v>
      </c>
      <c r="C1365">
        <v>2</v>
      </c>
      <c r="D1365" s="1">
        <v>45809</v>
      </c>
      <c r="E1365" s="4" t="s">
        <v>25</v>
      </c>
      <c r="F1365" s="4" t="s">
        <v>28</v>
      </c>
      <c r="G1365" s="4" t="s">
        <v>109</v>
      </c>
      <c r="H1365">
        <v>638</v>
      </c>
      <c r="I1365">
        <v>986</v>
      </c>
      <c r="J1365">
        <v>0</v>
      </c>
      <c r="K1365">
        <v>986</v>
      </c>
      <c r="L1365">
        <v>516225.92</v>
      </c>
      <c r="M1365">
        <v>0</v>
      </c>
      <c r="N1365">
        <v>516225.92</v>
      </c>
      <c r="O1365">
        <v>186555.6</v>
      </c>
      <c r="P1365">
        <v>329670.32</v>
      </c>
      <c r="Q1365">
        <v>0.63859999999999995</v>
      </c>
      <c r="R1365">
        <v>77</v>
      </c>
      <c r="S1365">
        <v>69839.92</v>
      </c>
      <c r="T1365">
        <v>0</v>
      </c>
      <c r="U1365">
        <v>809.13</v>
      </c>
    </row>
    <row r="1366" spans="1:21" x14ac:dyDescent="0.35">
      <c r="A1366">
        <v>2025</v>
      </c>
      <c r="B1366">
        <v>6</v>
      </c>
      <c r="C1366">
        <v>2</v>
      </c>
      <c r="D1366" s="1">
        <v>45809</v>
      </c>
      <c r="E1366" s="4" t="s">
        <v>25</v>
      </c>
      <c r="F1366" s="4" t="s">
        <v>24</v>
      </c>
      <c r="G1366" s="4" t="s">
        <v>107</v>
      </c>
      <c r="H1366">
        <v>22</v>
      </c>
      <c r="I1366">
        <v>37</v>
      </c>
      <c r="J1366">
        <v>0</v>
      </c>
      <c r="K1366">
        <v>37</v>
      </c>
      <c r="L1366">
        <v>70411.899999999994</v>
      </c>
      <c r="M1366">
        <v>0</v>
      </c>
      <c r="N1366">
        <v>70411.899999999994</v>
      </c>
      <c r="O1366">
        <v>39325</v>
      </c>
      <c r="P1366">
        <v>31086.9</v>
      </c>
      <c r="Q1366">
        <v>0.4415</v>
      </c>
      <c r="R1366">
        <v>2</v>
      </c>
      <c r="S1366">
        <v>12971.9</v>
      </c>
      <c r="T1366">
        <v>0</v>
      </c>
      <c r="U1366">
        <v>3200.54</v>
      </c>
    </row>
    <row r="1367" spans="1:21" x14ac:dyDescent="0.35">
      <c r="A1367">
        <v>2025</v>
      </c>
      <c r="B1367">
        <v>6</v>
      </c>
      <c r="C1367">
        <v>2</v>
      </c>
      <c r="D1367" s="1">
        <v>45809</v>
      </c>
      <c r="E1367" s="4" t="s">
        <v>25</v>
      </c>
      <c r="F1367" s="4" t="s">
        <v>24</v>
      </c>
      <c r="G1367" s="4" t="s">
        <v>109</v>
      </c>
      <c r="H1367">
        <v>186</v>
      </c>
      <c r="I1367">
        <v>272</v>
      </c>
      <c r="J1367">
        <v>6</v>
      </c>
      <c r="K1367">
        <v>266</v>
      </c>
      <c r="L1367">
        <v>409937.32</v>
      </c>
      <c r="M1367">
        <v>8375.4</v>
      </c>
      <c r="N1367">
        <v>401561.92</v>
      </c>
      <c r="O1367">
        <v>225011.6</v>
      </c>
      <c r="P1367">
        <v>176550.32</v>
      </c>
      <c r="Q1367">
        <v>0.43969999999999998</v>
      </c>
      <c r="R1367">
        <v>14</v>
      </c>
      <c r="S1367">
        <v>38197.919999999998</v>
      </c>
      <c r="T1367">
        <v>0</v>
      </c>
      <c r="U1367">
        <v>2158.94</v>
      </c>
    </row>
    <row r="1368" spans="1:21" x14ac:dyDescent="0.35">
      <c r="A1368">
        <v>2025</v>
      </c>
      <c r="B1368">
        <v>6</v>
      </c>
      <c r="C1368">
        <v>2</v>
      </c>
      <c r="D1368" s="1">
        <v>45809</v>
      </c>
      <c r="E1368" s="4" t="s">
        <v>25</v>
      </c>
      <c r="F1368" s="4" t="s">
        <v>26</v>
      </c>
      <c r="G1368" s="4" t="s">
        <v>107</v>
      </c>
      <c r="H1368">
        <v>10</v>
      </c>
      <c r="I1368">
        <v>18</v>
      </c>
      <c r="J1368">
        <v>0</v>
      </c>
      <c r="K1368">
        <v>18</v>
      </c>
      <c r="L1368">
        <v>17223.45</v>
      </c>
      <c r="M1368">
        <v>0</v>
      </c>
      <c r="N1368">
        <v>17223.45</v>
      </c>
      <c r="O1368">
        <v>11008.8</v>
      </c>
      <c r="P1368">
        <v>6214.65</v>
      </c>
      <c r="Q1368">
        <v>0.36080000000000001</v>
      </c>
      <c r="R1368">
        <v>2</v>
      </c>
      <c r="S1368">
        <v>5301.45</v>
      </c>
      <c r="T1368">
        <v>0</v>
      </c>
      <c r="U1368">
        <v>1722.35</v>
      </c>
    </row>
    <row r="1369" spans="1:21" x14ac:dyDescent="0.35">
      <c r="A1369">
        <v>2025</v>
      </c>
      <c r="B1369">
        <v>6</v>
      </c>
      <c r="C1369">
        <v>2</v>
      </c>
      <c r="D1369" s="1">
        <v>45809</v>
      </c>
      <c r="E1369" s="4" t="s">
        <v>25</v>
      </c>
      <c r="F1369" s="4" t="s">
        <v>26</v>
      </c>
      <c r="G1369" s="4" t="s">
        <v>109</v>
      </c>
      <c r="H1369">
        <v>40</v>
      </c>
      <c r="I1369">
        <v>58</v>
      </c>
      <c r="J1369">
        <v>0</v>
      </c>
      <c r="K1369">
        <v>58</v>
      </c>
      <c r="L1369">
        <v>44864.69</v>
      </c>
      <c r="M1369">
        <v>0</v>
      </c>
      <c r="N1369">
        <v>44864.69</v>
      </c>
      <c r="O1369">
        <v>27269.4</v>
      </c>
      <c r="P1369">
        <v>17595.29</v>
      </c>
      <c r="Q1369">
        <v>0.39219999999999999</v>
      </c>
      <c r="R1369">
        <v>2</v>
      </c>
      <c r="S1369">
        <v>5538.69</v>
      </c>
      <c r="T1369">
        <v>0</v>
      </c>
      <c r="U1369">
        <v>1121.6199999999999</v>
      </c>
    </row>
    <row r="1370" spans="1:21" x14ac:dyDescent="0.35">
      <c r="A1370">
        <v>2025</v>
      </c>
      <c r="B1370">
        <v>6</v>
      </c>
      <c r="C1370">
        <v>2</v>
      </c>
      <c r="D1370" s="1">
        <v>45809</v>
      </c>
      <c r="E1370" s="4" t="s">
        <v>29</v>
      </c>
      <c r="F1370" s="4" t="s">
        <v>28</v>
      </c>
      <c r="G1370" s="4" t="s">
        <v>107</v>
      </c>
      <c r="H1370">
        <v>211</v>
      </c>
      <c r="I1370">
        <v>309</v>
      </c>
      <c r="J1370">
        <v>0</v>
      </c>
      <c r="K1370">
        <v>309</v>
      </c>
      <c r="L1370">
        <v>144448.68</v>
      </c>
      <c r="M1370">
        <v>0</v>
      </c>
      <c r="N1370">
        <v>144448.68</v>
      </c>
      <c r="O1370">
        <v>52092.6</v>
      </c>
      <c r="P1370">
        <v>92356.08</v>
      </c>
      <c r="Q1370">
        <v>0.63939999999999997</v>
      </c>
      <c r="R1370">
        <v>19</v>
      </c>
      <c r="S1370">
        <v>15580.68</v>
      </c>
      <c r="T1370">
        <v>0</v>
      </c>
      <c r="U1370">
        <v>684.59</v>
      </c>
    </row>
    <row r="1371" spans="1:21" x14ac:dyDescent="0.35">
      <c r="A1371">
        <v>2025</v>
      </c>
      <c r="B1371">
        <v>6</v>
      </c>
      <c r="C1371">
        <v>2</v>
      </c>
      <c r="D1371" s="1">
        <v>45809</v>
      </c>
      <c r="E1371" s="4" t="s">
        <v>29</v>
      </c>
      <c r="F1371" s="4" t="s">
        <v>28</v>
      </c>
      <c r="G1371" s="4" t="s">
        <v>108</v>
      </c>
      <c r="H1371">
        <v>38</v>
      </c>
      <c r="I1371">
        <v>59</v>
      </c>
      <c r="J1371">
        <v>0</v>
      </c>
      <c r="K1371">
        <v>59</v>
      </c>
      <c r="L1371">
        <v>34887.040000000001</v>
      </c>
      <c r="M1371">
        <v>0</v>
      </c>
      <c r="N1371">
        <v>34887.040000000001</v>
      </c>
      <c r="O1371">
        <v>12555.2</v>
      </c>
      <c r="P1371">
        <v>22331.84</v>
      </c>
      <c r="Q1371">
        <v>0.6401</v>
      </c>
      <c r="R1371">
        <v>4</v>
      </c>
      <c r="S1371">
        <v>4487.04</v>
      </c>
      <c r="T1371">
        <v>0</v>
      </c>
      <c r="U1371">
        <v>918.08</v>
      </c>
    </row>
    <row r="1372" spans="1:21" x14ac:dyDescent="0.35">
      <c r="A1372">
        <v>2025</v>
      </c>
      <c r="B1372">
        <v>6</v>
      </c>
      <c r="C1372">
        <v>2</v>
      </c>
      <c r="D1372" s="1">
        <v>45809</v>
      </c>
      <c r="E1372" s="4" t="s">
        <v>29</v>
      </c>
      <c r="F1372" s="4" t="s">
        <v>28</v>
      </c>
      <c r="G1372" s="4" t="s">
        <v>109</v>
      </c>
      <c r="H1372">
        <v>921</v>
      </c>
      <c r="I1372">
        <v>1432</v>
      </c>
      <c r="J1372">
        <v>0</v>
      </c>
      <c r="K1372">
        <v>1432</v>
      </c>
      <c r="L1372">
        <v>679291.65</v>
      </c>
      <c r="M1372">
        <v>0</v>
      </c>
      <c r="N1372">
        <v>679291.65</v>
      </c>
      <c r="O1372">
        <v>246873.2</v>
      </c>
      <c r="P1372">
        <v>432418.45</v>
      </c>
      <c r="Q1372">
        <v>0.63660000000000005</v>
      </c>
      <c r="R1372">
        <v>110</v>
      </c>
      <c r="S1372">
        <v>97033.14</v>
      </c>
      <c r="T1372">
        <v>0</v>
      </c>
      <c r="U1372">
        <v>737.56</v>
      </c>
    </row>
    <row r="1373" spans="1:21" x14ac:dyDescent="0.35">
      <c r="A1373">
        <v>2025</v>
      </c>
      <c r="B1373">
        <v>6</v>
      </c>
      <c r="C1373">
        <v>2</v>
      </c>
      <c r="D1373" s="1">
        <v>45809</v>
      </c>
      <c r="E1373" s="4" t="s">
        <v>29</v>
      </c>
      <c r="F1373" s="4" t="s">
        <v>35</v>
      </c>
      <c r="G1373" s="4" t="s">
        <v>109</v>
      </c>
      <c r="H1373">
        <v>1</v>
      </c>
      <c r="I1373">
        <v>1</v>
      </c>
      <c r="J1373">
        <v>0</v>
      </c>
      <c r="K1373">
        <v>1</v>
      </c>
      <c r="L1373">
        <v>511</v>
      </c>
      <c r="M1373">
        <v>0</v>
      </c>
      <c r="N1373">
        <v>511</v>
      </c>
      <c r="O1373">
        <v>102.2</v>
      </c>
      <c r="P1373">
        <v>408.8</v>
      </c>
      <c r="Q1373">
        <v>0.8</v>
      </c>
      <c r="R1373">
        <v>0</v>
      </c>
      <c r="S1373">
        <v>0</v>
      </c>
      <c r="T1373">
        <v>0</v>
      </c>
      <c r="U1373">
        <v>511</v>
      </c>
    </row>
    <row r="1374" spans="1:21" x14ac:dyDescent="0.35">
      <c r="A1374">
        <v>2025</v>
      </c>
      <c r="B1374">
        <v>6</v>
      </c>
      <c r="C1374">
        <v>2</v>
      </c>
      <c r="D1374" s="1">
        <v>45809</v>
      </c>
      <c r="E1374" s="4" t="s">
        <v>29</v>
      </c>
      <c r="F1374" s="4" t="s">
        <v>24</v>
      </c>
      <c r="G1374" s="4" t="s">
        <v>107</v>
      </c>
      <c r="H1374">
        <v>3</v>
      </c>
      <c r="I1374">
        <v>4</v>
      </c>
      <c r="J1374">
        <v>0</v>
      </c>
      <c r="K1374">
        <v>4</v>
      </c>
      <c r="L1374">
        <v>3456</v>
      </c>
      <c r="M1374">
        <v>0</v>
      </c>
      <c r="N1374">
        <v>3456</v>
      </c>
      <c r="O1374">
        <v>1900.8</v>
      </c>
      <c r="P1374">
        <v>1555.2</v>
      </c>
      <c r="Q1374">
        <v>0.45</v>
      </c>
      <c r="R1374">
        <v>0</v>
      </c>
      <c r="S1374">
        <v>0</v>
      </c>
      <c r="T1374">
        <v>0</v>
      </c>
      <c r="U1374">
        <v>1152</v>
      </c>
    </row>
    <row r="1375" spans="1:21" x14ac:dyDescent="0.35">
      <c r="A1375">
        <v>2025</v>
      </c>
      <c r="B1375">
        <v>6</v>
      </c>
      <c r="C1375">
        <v>2</v>
      </c>
      <c r="D1375" s="1">
        <v>45809</v>
      </c>
      <c r="E1375" s="4" t="s">
        <v>29</v>
      </c>
      <c r="F1375" s="4" t="s">
        <v>24</v>
      </c>
      <c r="G1375" s="4" t="s">
        <v>108</v>
      </c>
      <c r="H1375">
        <v>8</v>
      </c>
      <c r="I1375">
        <v>10</v>
      </c>
      <c r="J1375">
        <v>0</v>
      </c>
      <c r="K1375">
        <v>10</v>
      </c>
      <c r="L1375">
        <v>7115.78</v>
      </c>
      <c r="M1375">
        <v>0</v>
      </c>
      <c r="N1375">
        <v>7115.78</v>
      </c>
      <c r="O1375">
        <v>4081</v>
      </c>
      <c r="P1375">
        <v>3034.78</v>
      </c>
      <c r="Q1375">
        <v>0.42649999999999999</v>
      </c>
      <c r="R1375">
        <v>2</v>
      </c>
      <c r="S1375">
        <v>1179.78</v>
      </c>
      <c r="T1375">
        <v>0</v>
      </c>
      <c r="U1375">
        <v>889.47</v>
      </c>
    </row>
    <row r="1376" spans="1:21" x14ac:dyDescent="0.35">
      <c r="A1376">
        <v>2025</v>
      </c>
      <c r="B1376">
        <v>6</v>
      </c>
      <c r="C1376">
        <v>2</v>
      </c>
      <c r="D1376" s="1">
        <v>45809</v>
      </c>
      <c r="E1376" s="4" t="s">
        <v>29</v>
      </c>
      <c r="F1376" s="4" t="s">
        <v>24</v>
      </c>
      <c r="G1376" s="4" t="s">
        <v>109</v>
      </c>
      <c r="H1376">
        <v>175</v>
      </c>
      <c r="I1376">
        <v>276</v>
      </c>
      <c r="J1376">
        <v>3</v>
      </c>
      <c r="K1376">
        <v>273</v>
      </c>
      <c r="L1376">
        <v>517803.21</v>
      </c>
      <c r="M1376">
        <v>6522</v>
      </c>
      <c r="N1376">
        <v>511281.21</v>
      </c>
      <c r="O1376">
        <v>296002.3</v>
      </c>
      <c r="P1376">
        <v>215278.91</v>
      </c>
      <c r="Q1376">
        <v>0.42109999999999997</v>
      </c>
      <c r="R1376">
        <v>32</v>
      </c>
      <c r="S1376">
        <v>108393.48</v>
      </c>
      <c r="T1376">
        <v>0</v>
      </c>
      <c r="U1376">
        <v>2921.61</v>
      </c>
    </row>
    <row r="1377" spans="1:21" x14ac:dyDescent="0.35">
      <c r="A1377">
        <v>2025</v>
      </c>
      <c r="B1377">
        <v>6</v>
      </c>
      <c r="C1377">
        <v>2</v>
      </c>
      <c r="D1377" s="1">
        <v>45809</v>
      </c>
      <c r="E1377" s="4" t="s">
        <v>29</v>
      </c>
      <c r="F1377" s="4" t="s">
        <v>26</v>
      </c>
      <c r="G1377" s="4" t="s">
        <v>107</v>
      </c>
      <c r="H1377">
        <v>28</v>
      </c>
      <c r="I1377">
        <v>43</v>
      </c>
      <c r="J1377">
        <v>0</v>
      </c>
      <c r="K1377">
        <v>43</v>
      </c>
      <c r="L1377">
        <v>24378.5</v>
      </c>
      <c r="M1377">
        <v>0</v>
      </c>
      <c r="N1377">
        <v>24378.5</v>
      </c>
      <c r="O1377">
        <v>15063</v>
      </c>
      <c r="P1377">
        <v>9315.5</v>
      </c>
      <c r="Q1377">
        <v>0.3821</v>
      </c>
      <c r="R1377">
        <v>3</v>
      </c>
      <c r="S1377">
        <v>2063.5</v>
      </c>
      <c r="T1377">
        <v>0</v>
      </c>
      <c r="U1377">
        <v>870.66</v>
      </c>
    </row>
    <row r="1378" spans="1:21" x14ac:dyDescent="0.35">
      <c r="A1378">
        <v>2025</v>
      </c>
      <c r="B1378">
        <v>6</v>
      </c>
      <c r="C1378">
        <v>2</v>
      </c>
      <c r="D1378" s="1">
        <v>45809</v>
      </c>
      <c r="E1378" s="4" t="s">
        <v>29</v>
      </c>
      <c r="F1378" s="4" t="s">
        <v>26</v>
      </c>
      <c r="G1378" s="4" t="s">
        <v>109</v>
      </c>
      <c r="H1378">
        <v>34</v>
      </c>
      <c r="I1378">
        <v>46</v>
      </c>
      <c r="J1378">
        <v>1</v>
      </c>
      <c r="K1378">
        <v>45</v>
      </c>
      <c r="L1378">
        <v>33212.28</v>
      </c>
      <c r="M1378">
        <v>483</v>
      </c>
      <c r="N1378">
        <v>32729.279999999999</v>
      </c>
      <c r="O1378">
        <v>19926.599999999999</v>
      </c>
      <c r="P1378">
        <v>12802.68</v>
      </c>
      <c r="Q1378">
        <v>0.39119999999999999</v>
      </c>
      <c r="R1378">
        <v>2</v>
      </c>
      <c r="S1378">
        <v>2998.28</v>
      </c>
      <c r="T1378">
        <v>0</v>
      </c>
      <c r="U1378">
        <v>962.63</v>
      </c>
    </row>
    <row r="1379" spans="1:21" x14ac:dyDescent="0.35">
      <c r="A1379">
        <v>2025</v>
      </c>
      <c r="B1379">
        <v>6</v>
      </c>
      <c r="C1379">
        <v>2</v>
      </c>
      <c r="D1379" s="1">
        <v>45809</v>
      </c>
      <c r="E1379" s="4" t="s">
        <v>31</v>
      </c>
      <c r="F1379" s="4" t="s">
        <v>28</v>
      </c>
      <c r="G1379" s="4" t="s">
        <v>107</v>
      </c>
      <c r="H1379">
        <v>74</v>
      </c>
      <c r="I1379">
        <v>104</v>
      </c>
      <c r="J1379">
        <v>0</v>
      </c>
      <c r="K1379">
        <v>104</v>
      </c>
      <c r="L1379">
        <v>41671.81</v>
      </c>
      <c r="M1379">
        <v>0</v>
      </c>
      <c r="N1379">
        <v>41671.81</v>
      </c>
      <c r="O1379">
        <v>14733.6</v>
      </c>
      <c r="P1379">
        <v>26938.21</v>
      </c>
      <c r="Q1379">
        <v>0.64639999999999997</v>
      </c>
      <c r="R1379">
        <v>4</v>
      </c>
      <c r="S1379">
        <v>1590.81</v>
      </c>
      <c r="T1379">
        <v>0</v>
      </c>
      <c r="U1379">
        <v>563.13</v>
      </c>
    </row>
    <row r="1380" spans="1:21" x14ac:dyDescent="0.35">
      <c r="A1380">
        <v>2025</v>
      </c>
      <c r="B1380">
        <v>6</v>
      </c>
      <c r="C1380">
        <v>2</v>
      </c>
      <c r="D1380" s="1">
        <v>45809</v>
      </c>
      <c r="E1380" s="4" t="s">
        <v>31</v>
      </c>
      <c r="F1380" s="4" t="s">
        <v>28</v>
      </c>
      <c r="G1380" s="4" t="s">
        <v>108</v>
      </c>
      <c r="H1380">
        <v>295</v>
      </c>
      <c r="I1380">
        <v>408</v>
      </c>
      <c r="J1380">
        <v>0</v>
      </c>
      <c r="K1380">
        <v>408</v>
      </c>
      <c r="L1380">
        <v>159323.85999999999</v>
      </c>
      <c r="M1380">
        <v>0</v>
      </c>
      <c r="N1380">
        <v>159323.85999999999</v>
      </c>
      <c r="O1380">
        <v>57473.5</v>
      </c>
      <c r="P1380">
        <v>101850.36</v>
      </c>
      <c r="Q1380">
        <v>0.63929999999999998</v>
      </c>
      <c r="R1380">
        <v>37</v>
      </c>
      <c r="S1380">
        <v>24988.86</v>
      </c>
      <c r="T1380">
        <v>0</v>
      </c>
      <c r="U1380">
        <v>540.08000000000004</v>
      </c>
    </row>
    <row r="1381" spans="1:21" x14ac:dyDescent="0.35">
      <c r="A1381">
        <v>2025</v>
      </c>
      <c r="B1381">
        <v>6</v>
      </c>
      <c r="C1381">
        <v>2</v>
      </c>
      <c r="D1381" s="1">
        <v>45809</v>
      </c>
      <c r="E1381" s="4" t="s">
        <v>31</v>
      </c>
      <c r="F1381" s="4" t="s">
        <v>28</v>
      </c>
      <c r="G1381" s="4" t="s">
        <v>109</v>
      </c>
      <c r="H1381">
        <v>953</v>
      </c>
      <c r="I1381">
        <v>1463</v>
      </c>
      <c r="J1381">
        <v>0</v>
      </c>
      <c r="K1381">
        <v>1463</v>
      </c>
      <c r="L1381">
        <v>725741.01</v>
      </c>
      <c r="M1381">
        <v>0</v>
      </c>
      <c r="N1381">
        <v>725741.01</v>
      </c>
      <c r="O1381">
        <v>261931.25</v>
      </c>
      <c r="P1381">
        <v>463809.76</v>
      </c>
      <c r="Q1381">
        <v>0.6391</v>
      </c>
      <c r="R1381">
        <v>112</v>
      </c>
      <c r="S1381">
        <v>96460.67</v>
      </c>
      <c r="T1381">
        <v>0</v>
      </c>
      <c r="U1381">
        <v>761.53</v>
      </c>
    </row>
    <row r="1382" spans="1:21" x14ac:dyDescent="0.35">
      <c r="A1382">
        <v>2025</v>
      </c>
      <c r="B1382">
        <v>6</v>
      </c>
      <c r="C1382">
        <v>2</v>
      </c>
      <c r="D1382" s="1">
        <v>45809</v>
      </c>
      <c r="E1382" s="4" t="s">
        <v>31</v>
      </c>
      <c r="F1382" s="4" t="s">
        <v>35</v>
      </c>
      <c r="G1382" s="4" t="s">
        <v>107</v>
      </c>
      <c r="H1382">
        <v>1</v>
      </c>
      <c r="I1382">
        <v>1</v>
      </c>
      <c r="J1382">
        <v>0</v>
      </c>
      <c r="K1382">
        <v>1</v>
      </c>
      <c r="L1382">
        <v>326</v>
      </c>
      <c r="M1382">
        <v>0</v>
      </c>
      <c r="N1382">
        <v>326</v>
      </c>
      <c r="O1382">
        <v>65.2</v>
      </c>
      <c r="P1382">
        <v>260.8</v>
      </c>
      <c r="Q1382">
        <v>0.8</v>
      </c>
      <c r="R1382">
        <v>0</v>
      </c>
      <c r="S1382">
        <v>0</v>
      </c>
      <c r="T1382">
        <v>0</v>
      </c>
      <c r="U1382">
        <v>326</v>
      </c>
    </row>
    <row r="1383" spans="1:21" x14ac:dyDescent="0.35">
      <c r="A1383">
        <v>2025</v>
      </c>
      <c r="B1383">
        <v>6</v>
      </c>
      <c r="C1383">
        <v>2</v>
      </c>
      <c r="D1383" s="1">
        <v>45809</v>
      </c>
      <c r="E1383" s="4" t="s">
        <v>31</v>
      </c>
      <c r="F1383" s="4" t="s">
        <v>24</v>
      </c>
      <c r="G1383" s="4" t="s">
        <v>107</v>
      </c>
      <c r="H1383">
        <v>7</v>
      </c>
      <c r="I1383">
        <v>8</v>
      </c>
      <c r="J1383">
        <v>3</v>
      </c>
      <c r="K1383">
        <v>5</v>
      </c>
      <c r="L1383">
        <v>14480</v>
      </c>
      <c r="M1383">
        <v>5430</v>
      </c>
      <c r="N1383">
        <v>9050</v>
      </c>
      <c r="O1383">
        <v>4977.5</v>
      </c>
      <c r="P1383">
        <v>4072.5</v>
      </c>
      <c r="Q1383">
        <v>0.45</v>
      </c>
      <c r="R1383">
        <v>0</v>
      </c>
      <c r="S1383">
        <v>0</v>
      </c>
      <c r="T1383">
        <v>0</v>
      </c>
      <c r="U1383">
        <v>1292.8599999999999</v>
      </c>
    </row>
    <row r="1384" spans="1:21" x14ac:dyDescent="0.35">
      <c r="A1384">
        <v>2025</v>
      </c>
      <c r="B1384">
        <v>6</v>
      </c>
      <c r="C1384">
        <v>2</v>
      </c>
      <c r="D1384" s="1">
        <v>45809</v>
      </c>
      <c r="E1384" s="4" t="s">
        <v>31</v>
      </c>
      <c r="F1384" s="4" t="s">
        <v>24</v>
      </c>
      <c r="G1384" s="4" t="s">
        <v>109</v>
      </c>
      <c r="H1384">
        <v>239</v>
      </c>
      <c r="I1384">
        <v>366</v>
      </c>
      <c r="J1384">
        <v>11</v>
      </c>
      <c r="K1384">
        <v>355</v>
      </c>
      <c r="L1384">
        <v>511411.45</v>
      </c>
      <c r="M1384">
        <v>12984</v>
      </c>
      <c r="N1384">
        <v>498427.45</v>
      </c>
      <c r="O1384">
        <v>283639.95</v>
      </c>
      <c r="P1384">
        <v>214787.5</v>
      </c>
      <c r="Q1384">
        <v>0.43090000000000001</v>
      </c>
      <c r="R1384">
        <v>30</v>
      </c>
      <c r="S1384">
        <v>72668.45</v>
      </c>
      <c r="T1384">
        <v>0</v>
      </c>
      <c r="U1384">
        <v>2085.4699999999998</v>
      </c>
    </row>
    <row r="1385" spans="1:21" x14ac:dyDescent="0.35">
      <c r="A1385">
        <v>2025</v>
      </c>
      <c r="B1385">
        <v>6</v>
      </c>
      <c r="C1385">
        <v>2</v>
      </c>
      <c r="D1385" s="1">
        <v>45809</v>
      </c>
      <c r="E1385" s="4" t="s">
        <v>31</v>
      </c>
      <c r="F1385" s="4" t="s">
        <v>26</v>
      </c>
      <c r="G1385" s="4" t="s">
        <v>107</v>
      </c>
      <c r="H1385">
        <v>8</v>
      </c>
      <c r="I1385">
        <v>9</v>
      </c>
      <c r="J1385">
        <v>0</v>
      </c>
      <c r="K1385">
        <v>9</v>
      </c>
      <c r="L1385">
        <v>4194</v>
      </c>
      <c r="M1385">
        <v>0</v>
      </c>
      <c r="N1385">
        <v>4194</v>
      </c>
      <c r="O1385">
        <v>2516.4</v>
      </c>
      <c r="P1385">
        <v>1677.6</v>
      </c>
      <c r="Q1385">
        <v>0.4</v>
      </c>
      <c r="R1385">
        <v>0</v>
      </c>
      <c r="S1385">
        <v>0</v>
      </c>
      <c r="T1385">
        <v>0</v>
      </c>
      <c r="U1385">
        <v>524.25</v>
      </c>
    </row>
    <row r="1386" spans="1:21" x14ac:dyDescent="0.35">
      <c r="A1386">
        <v>2025</v>
      </c>
      <c r="B1386">
        <v>6</v>
      </c>
      <c r="C1386">
        <v>2</v>
      </c>
      <c r="D1386" s="1">
        <v>45809</v>
      </c>
      <c r="E1386" s="4" t="s">
        <v>31</v>
      </c>
      <c r="F1386" s="4" t="s">
        <v>26</v>
      </c>
      <c r="G1386" s="4" t="s">
        <v>108</v>
      </c>
      <c r="H1386">
        <v>2</v>
      </c>
      <c r="I1386">
        <v>2</v>
      </c>
      <c r="J1386">
        <v>0</v>
      </c>
      <c r="K1386">
        <v>2</v>
      </c>
      <c r="L1386">
        <v>1452</v>
      </c>
      <c r="M1386">
        <v>0</v>
      </c>
      <c r="N1386">
        <v>1452</v>
      </c>
      <c r="O1386">
        <v>871.2</v>
      </c>
      <c r="P1386">
        <v>580.79999999999995</v>
      </c>
      <c r="Q1386">
        <v>0.4</v>
      </c>
      <c r="R1386">
        <v>0</v>
      </c>
      <c r="S1386">
        <v>0</v>
      </c>
      <c r="T1386">
        <v>0</v>
      </c>
      <c r="U1386">
        <v>726</v>
      </c>
    </row>
    <row r="1387" spans="1:21" x14ac:dyDescent="0.35">
      <c r="A1387">
        <v>2025</v>
      </c>
      <c r="B1387">
        <v>6</v>
      </c>
      <c r="C1387">
        <v>2</v>
      </c>
      <c r="D1387" s="1">
        <v>45809</v>
      </c>
      <c r="E1387" s="4" t="s">
        <v>31</v>
      </c>
      <c r="F1387" s="4" t="s">
        <v>26</v>
      </c>
      <c r="G1387" s="4" t="s">
        <v>109</v>
      </c>
      <c r="H1387">
        <v>40</v>
      </c>
      <c r="I1387">
        <v>56</v>
      </c>
      <c r="J1387">
        <v>0</v>
      </c>
      <c r="K1387">
        <v>56</v>
      </c>
      <c r="L1387">
        <v>45835.79</v>
      </c>
      <c r="M1387">
        <v>0</v>
      </c>
      <c r="N1387">
        <v>45835.79</v>
      </c>
      <c r="O1387">
        <v>28354.799999999999</v>
      </c>
      <c r="P1387">
        <v>17480.990000000002</v>
      </c>
      <c r="Q1387">
        <v>0.38140000000000002</v>
      </c>
      <c r="R1387">
        <v>5</v>
      </c>
      <c r="S1387">
        <v>5702.79</v>
      </c>
      <c r="T1387">
        <v>0</v>
      </c>
      <c r="U1387">
        <v>1145.8900000000001</v>
      </c>
    </row>
    <row r="1388" spans="1:21" x14ac:dyDescent="0.35">
      <c r="A1388">
        <v>2025</v>
      </c>
      <c r="B1388">
        <v>6</v>
      </c>
      <c r="C1388">
        <v>2</v>
      </c>
      <c r="D1388" s="1">
        <v>45809</v>
      </c>
      <c r="E1388" s="4" t="s">
        <v>30</v>
      </c>
      <c r="F1388" s="4" t="s">
        <v>28</v>
      </c>
      <c r="G1388" s="4" t="s">
        <v>107</v>
      </c>
      <c r="H1388">
        <v>111</v>
      </c>
      <c r="I1388">
        <v>173</v>
      </c>
      <c r="J1388">
        <v>0</v>
      </c>
      <c r="K1388">
        <v>173</v>
      </c>
      <c r="L1388">
        <v>75429.75</v>
      </c>
      <c r="M1388">
        <v>0</v>
      </c>
      <c r="N1388">
        <v>75429.75</v>
      </c>
      <c r="O1388">
        <v>27308.05</v>
      </c>
      <c r="P1388">
        <v>48121.7</v>
      </c>
      <c r="Q1388">
        <v>0.63800000000000001</v>
      </c>
      <c r="R1388">
        <v>16</v>
      </c>
      <c r="S1388">
        <v>12740.75</v>
      </c>
      <c r="T1388">
        <v>0</v>
      </c>
      <c r="U1388">
        <v>679.55</v>
      </c>
    </row>
    <row r="1389" spans="1:21" x14ac:dyDescent="0.35">
      <c r="A1389">
        <v>2025</v>
      </c>
      <c r="B1389">
        <v>6</v>
      </c>
      <c r="C1389">
        <v>2</v>
      </c>
      <c r="D1389" s="1">
        <v>45809</v>
      </c>
      <c r="E1389" s="4" t="s">
        <v>30</v>
      </c>
      <c r="F1389" s="4" t="s">
        <v>28</v>
      </c>
      <c r="G1389" s="4" t="s">
        <v>108</v>
      </c>
      <c r="H1389">
        <v>57</v>
      </c>
      <c r="I1389">
        <v>84</v>
      </c>
      <c r="J1389">
        <v>0</v>
      </c>
      <c r="K1389">
        <v>84</v>
      </c>
      <c r="L1389">
        <v>51168</v>
      </c>
      <c r="M1389">
        <v>0</v>
      </c>
      <c r="N1389">
        <v>51168</v>
      </c>
      <c r="O1389">
        <v>18081</v>
      </c>
      <c r="P1389">
        <v>33087</v>
      </c>
      <c r="Q1389">
        <v>0.64659999999999995</v>
      </c>
      <c r="R1389">
        <v>3</v>
      </c>
      <c r="S1389">
        <v>5043</v>
      </c>
      <c r="T1389">
        <v>0</v>
      </c>
      <c r="U1389">
        <v>897.68</v>
      </c>
    </row>
    <row r="1390" spans="1:21" x14ac:dyDescent="0.35">
      <c r="A1390">
        <v>2025</v>
      </c>
      <c r="B1390">
        <v>6</v>
      </c>
      <c r="C1390">
        <v>2</v>
      </c>
      <c r="D1390" s="1">
        <v>45809</v>
      </c>
      <c r="E1390" s="4" t="s">
        <v>30</v>
      </c>
      <c r="F1390" s="4" t="s">
        <v>28</v>
      </c>
      <c r="G1390" s="4" t="s">
        <v>109</v>
      </c>
      <c r="H1390">
        <v>692</v>
      </c>
      <c r="I1390">
        <v>1068</v>
      </c>
      <c r="J1390">
        <v>0</v>
      </c>
      <c r="K1390">
        <v>1068</v>
      </c>
      <c r="L1390">
        <v>423606.53</v>
      </c>
      <c r="M1390">
        <v>0</v>
      </c>
      <c r="N1390">
        <v>423606.53</v>
      </c>
      <c r="O1390">
        <v>154463.4</v>
      </c>
      <c r="P1390">
        <v>269143.13</v>
      </c>
      <c r="Q1390">
        <v>0.63539999999999996</v>
      </c>
      <c r="R1390">
        <v>94</v>
      </c>
      <c r="S1390">
        <v>69498.850000000006</v>
      </c>
      <c r="T1390">
        <v>0</v>
      </c>
      <c r="U1390">
        <v>612.15</v>
      </c>
    </row>
    <row r="1391" spans="1:21" x14ac:dyDescent="0.35">
      <c r="A1391">
        <v>2025</v>
      </c>
      <c r="B1391">
        <v>6</v>
      </c>
      <c r="C1391">
        <v>2</v>
      </c>
      <c r="D1391" s="1">
        <v>45809</v>
      </c>
      <c r="E1391" s="4" t="s">
        <v>30</v>
      </c>
      <c r="F1391" s="4" t="s">
        <v>35</v>
      </c>
      <c r="G1391" s="4" t="s">
        <v>109</v>
      </c>
      <c r="H1391">
        <v>1</v>
      </c>
      <c r="I1391">
        <v>1</v>
      </c>
      <c r="J1391">
        <v>0</v>
      </c>
      <c r="K1391">
        <v>1</v>
      </c>
      <c r="L1391">
        <v>203</v>
      </c>
      <c r="M1391">
        <v>0</v>
      </c>
      <c r="N1391">
        <v>203</v>
      </c>
      <c r="O1391">
        <v>40.6</v>
      </c>
      <c r="P1391">
        <v>162.4</v>
      </c>
      <c r="Q1391">
        <v>0.8</v>
      </c>
      <c r="R1391">
        <v>0</v>
      </c>
      <c r="S1391">
        <v>0</v>
      </c>
      <c r="T1391">
        <v>0</v>
      </c>
      <c r="U1391">
        <v>203</v>
      </c>
    </row>
    <row r="1392" spans="1:21" x14ac:dyDescent="0.35">
      <c r="A1392">
        <v>2025</v>
      </c>
      <c r="B1392">
        <v>6</v>
      </c>
      <c r="C1392">
        <v>2</v>
      </c>
      <c r="D1392" s="1">
        <v>45809</v>
      </c>
      <c r="E1392" s="4" t="s">
        <v>30</v>
      </c>
      <c r="F1392" s="4" t="s">
        <v>24</v>
      </c>
      <c r="G1392" s="4" t="s">
        <v>107</v>
      </c>
      <c r="H1392">
        <v>67</v>
      </c>
      <c r="I1392">
        <v>99</v>
      </c>
      <c r="J1392">
        <v>2</v>
      </c>
      <c r="K1392">
        <v>97</v>
      </c>
      <c r="L1392">
        <v>183037.17</v>
      </c>
      <c r="M1392">
        <v>3672.76</v>
      </c>
      <c r="N1392">
        <v>179364.41</v>
      </c>
      <c r="O1392">
        <v>103365.35</v>
      </c>
      <c r="P1392">
        <v>75999.06</v>
      </c>
      <c r="Q1392">
        <v>0.42370000000000002</v>
      </c>
      <c r="R1392">
        <v>9</v>
      </c>
      <c r="S1392">
        <v>33788.410000000003</v>
      </c>
      <c r="T1392">
        <v>0</v>
      </c>
      <c r="U1392">
        <v>2677.08</v>
      </c>
    </row>
    <row r="1393" spans="1:21" x14ac:dyDescent="0.35">
      <c r="A1393">
        <v>2025</v>
      </c>
      <c r="B1393">
        <v>6</v>
      </c>
      <c r="C1393">
        <v>2</v>
      </c>
      <c r="D1393" s="1">
        <v>45809</v>
      </c>
      <c r="E1393" s="4" t="s">
        <v>30</v>
      </c>
      <c r="F1393" s="4" t="s">
        <v>24</v>
      </c>
      <c r="G1393" s="4" t="s">
        <v>108</v>
      </c>
      <c r="H1393">
        <v>5</v>
      </c>
      <c r="I1393">
        <v>5</v>
      </c>
      <c r="J1393">
        <v>0</v>
      </c>
      <c r="K1393">
        <v>5</v>
      </c>
      <c r="L1393">
        <v>11201.85</v>
      </c>
      <c r="M1393">
        <v>0</v>
      </c>
      <c r="N1393">
        <v>11201.85</v>
      </c>
      <c r="O1393">
        <v>6624.75</v>
      </c>
      <c r="P1393">
        <v>4577.1000000000004</v>
      </c>
      <c r="Q1393">
        <v>0.40860000000000002</v>
      </c>
      <c r="R1393">
        <v>1</v>
      </c>
      <c r="S1393">
        <v>1565.85</v>
      </c>
      <c r="T1393">
        <v>0</v>
      </c>
      <c r="U1393">
        <v>2240.37</v>
      </c>
    </row>
    <row r="1394" spans="1:21" x14ac:dyDescent="0.35">
      <c r="A1394">
        <v>2025</v>
      </c>
      <c r="B1394">
        <v>6</v>
      </c>
      <c r="C1394">
        <v>2</v>
      </c>
      <c r="D1394" s="1">
        <v>45809</v>
      </c>
      <c r="E1394" s="4" t="s">
        <v>30</v>
      </c>
      <c r="F1394" s="4" t="s">
        <v>24</v>
      </c>
      <c r="G1394" s="4" t="s">
        <v>109</v>
      </c>
      <c r="H1394">
        <v>242</v>
      </c>
      <c r="I1394">
        <v>366</v>
      </c>
      <c r="J1394">
        <v>6</v>
      </c>
      <c r="K1394">
        <v>360</v>
      </c>
      <c r="L1394">
        <v>654583.61</v>
      </c>
      <c r="M1394">
        <v>12492</v>
      </c>
      <c r="N1394">
        <v>642091.61</v>
      </c>
      <c r="O1394">
        <v>363668.25</v>
      </c>
      <c r="P1394">
        <v>278423.36</v>
      </c>
      <c r="Q1394">
        <v>0.43359999999999999</v>
      </c>
      <c r="R1394">
        <v>21</v>
      </c>
      <c r="S1394">
        <v>78631.61</v>
      </c>
      <c r="T1394">
        <v>0</v>
      </c>
      <c r="U1394">
        <v>2653.27</v>
      </c>
    </row>
    <row r="1395" spans="1:21" x14ac:dyDescent="0.35">
      <c r="A1395">
        <v>2025</v>
      </c>
      <c r="B1395">
        <v>6</v>
      </c>
      <c r="C1395">
        <v>2</v>
      </c>
      <c r="D1395" s="1">
        <v>45809</v>
      </c>
      <c r="E1395" s="4" t="s">
        <v>30</v>
      </c>
      <c r="F1395" s="4" t="s">
        <v>26</v>
      </c>
      <c r="G1395" s="4" t="s">
        <v>107</v>
      </c>
      <c r="H1395">
        <v>2</v>
      </c>
      <c r="I1395">
        <v>2</v>
      </c>
      <c r="J1395">
        <v>0</v>
      </c>
      <c r="K1395">
        <v>2</v>
      </c>
      <c r="L1395">
        <v>1816</v>
      </c>
      <c r="M1395">
        <v>0</v>
      </c>
      <c r="N1395">
        <v>1816</v>
      </c>
      <c r="O1395">
        <v>1089.5999999999999</v>
      </c>
      <c r="P1395">
        <v>726.4</v>
      </c>
      <c r="Q1395">
        <v>0.4</v>
      </c>
      <c r="R1395">
        <v>0</v>
      </c>
      <c r="S1395">
        <v>0</v>
      </c>
      <c r="T1395">
        <v>0</v>
      </c>
      <c r="U1395">
        <v>908</v>
      </c>
    </row>
    <row r="1396" spans="1:21" x14ac:dyDescent="0.35">
      <c r="A1396">
        <v>2025</v>
      </c>
      <c r="B1396">
        <v>6</v>
      </c>
      <c r="C1396">
        <v>2</v>
      </c>
      <c r="D1396" s="1">
        <v>45809</v>
      </c>
      <c r="E1396" s="4" t="s">
        <v>30</v>
      </c>
      <c r="F1396" s="4" t="s">
        <v>26</v>
      </c>
      <c r="G1396" s="4" t="s">
        <v>109</v>
      </c>
      <c r="H1396">
        <v>51</v>
      </c>
      <c r="I1396">
        <v>88</v>
      </c>
      <c r="J1396">
        <v>3</v>
      </c>
      <c r="K1396">
        <v>85</v>
      </c>
      <c r="L1396">
        <v>65346.43</v>
      </c>
      <c r="M1396">
        <v>2454.63</v>
      </c>
      <c r="N1396">
        <v>62891.8</v>
      </c>
      <c r="O1396">
        <v>39605.4</v>
      </c>
      <c r="P1396">
        <v>23286.400000000001</v>
      </c>
      <c r="Q1396">
        <v>0.37030000000000002</v>
      </c>
      <c r="R1396">
        <v>7</v>
      </c>
      <c r="S1396">
        <v>10732.8</v>
      </c>
      <c r="T1396">
        <v>0</v>
      </c>
      <c r="U1396">
        <v>1233.17</v>
      </c>
    </row>
    <row r="1397" spans="1:21" x14ac:dyDescent="0.35">
      <c r="A1397">
        <v>2025</v>
      </c>
      <c r="B1397">
        <v>6</v>
      </c>
      <c r="C1397">
        <v>2</v>
      </c>
      <c r="D1397" s="1">
        <v>45809</v>
      </c>
      <c r="E1397" s="4" t="s">
        <v>78</v>
      </c>
      <c r="F1397" s="4" t="s">
        <v>78</v>
      </c>
      <c r="G1397" s="4" t="s">
        <v>110</v>
      </c>
      <c r="H1397">
        <v>228</v>
      </c>
      <c r="I1397">
        <v>326</v>
      </c>
      <c r="J1397">
        <v>0</v>
      </c>
      <c r="K1397">
        <v>326</v>
      </c>
      <c r="L1397">
        <v>690270</v>
      </c>
      <c r="M1397">
        <v>0</v>
      </c>
      <c r="N1397">
        <v>690270</v>
      </c>
      <c r="O1397">
        <v>103540.5</v>
      </c>
      <c r="P1397">
        <v>586729.5</v>
      </c>
      <c r="Q1397">
        <v>0.85</v>
      </c>
      <c r="R1397">
        <v>2</v>
      </c>
      <c r="S1397">
        <v>11970</v>
      </c>
      <c r="T1397">
        <v>0</v>
      </c>
      <c r="U1397">
        <v>3027.5</v>
      </c>
    </row>
    <row r="1398" spans="1:21" x14ac:dyDescent="0.35">
      <c r="A1398">
        <v>2025</v>
      </c>
      <c r="B1398">
        <v>7</v>
      </c>
      <c r="C1398">
        <v>3</v>
      </c>
      <c r="D1398" s="1">
        <v>45839</v>
      </c>
      <c r="E1398" s="4" t="s">
        <v>33</v>
      </c>
      <c r="F1398" s="4" t="s">
        <v>28</v>
      </c>
      <c r="G1398" s="4" t="s">
        <v>107</v>
      </c>
      <c r="H1398">
        <v>77</v>
      </c>
      <c r="I1398">
        <v>111</v>
      </c>
      <c r="J1398">
        <v>0</v>
      </c>
      <c r="K1398">
        <v>111</v>
      </c>
      <c r="L1398">
        <v>33836.94</v>
      </c>
      <c r="M1398">
        <v>0</v>
      </c>
      <c r="N1398">
        <v>33836.94</v>
      </c>
      <c r="O1398">
        <v>12468.75</v>
      </c>
      <c r="P1398">
        <v>21368.19</v>
      </c>
      <c r="Q1398">
        <v>0.63149999999999995</v>
      </c>
      <c r="R1398">
        <v>10</v>
      </c>
      <c r="S1398">
        <v>4394.9399999999996</v>
      </c>
      <c r="T1398">
        <v>0</v>
      </c>
      <c r="U1398">
        <v>439.44</v>
      </c>
    </row>
    <row r="1399" spans="1:21" x14ac:dyDescent="0.35">
      <c r="A1399">
        <v>2025</v>
      </c>
      <c r="B1399">
        <v>7</v>
      </c>
      <c r="C1399">
        <v>3</v>
      </c>
      <c r="D1399" s="1">
        <v>45839</v>
      </c>
      <c r="E1399" s="4" t="s">
        <v>33</v>
      </c>
      <c r="F1399" s="4" t="s">
        <v>28</v>
      </c>
      <c r="G1399" s="4" t="s">
        <v>108</v>
      </c>
      <c r="H1399">
        <v>13</v>
      </c>
      <c r="I1399">
        <v>25</v>
      </c>
      <c r="J1399">
        <v>0</v>
      </c>
      <c r="K1399">
        <v>25</v>
      </c>
      <c r="L1399">
        <v>17379.919999999998</v>
      </c>
      <c r="M1399">
        <v>0</v>
      </c>
      <c r="N1399">
        <v>17379.919999999998</v>
      </c>
      <c r="O1399">
        <v>6230</v>
      </c>
      <c r="P1399">
        <v>11149.92</v>
      </c>
      <c r="Q1399">
        <v>0.64149999999999996</v>
      </c>
      <c r="R1399">
        <v>2</v>
      </c>
      <c r="S1399">
        <v>3139.92</v>
      </c>
      <c r="T1399">
        <v>0</v>
      </c>
      <c r="U1399">
        <v>1336.92</v>
      </c>
    </row>
    <row r="1400" spans="1:21" x14ac:dyDescent="0.35">
      <c r="A1400">
        <v>2025</v>
      </c>
      <c r="B1400">
        <v>7</v>
      </c>
      <c r="C1400">
        <v>3</v>
      </c>
      <c r="D1400" s="1">
        <v>45839</v>
      </c>
      <c r="E1400" s="4" t="s">
        <v>33</v>
      </c>
      <c r="F1400" s="4" t="s">
        <v>28</v>
      </c>
      <c r="G1400" s="4" t="s">
        <v>109</v>
      </c>
      <c r="H1400">
        <v>423</v>
      </c>
      <c r="I1400">
        <v>656</v>
      </c>
      <c r="J1400">
        <v>0</v>
      </c>
      <c r="K1400">
        <v>656</v>
      </c>
      <c r="L1400">
        <v>335636.19</v>
      </c>
      <c r="M1400">
        <v>0</v>
      </c>
      <c r="N1400">
        <v>335636.19</v>
      </c>
      <c r="O1400">
        <v>123395.3</v>
      </c>
      <c r="P1400">
        <v>212240.89</v>
      </c>
      <c r="Q1400">
        <v>0.63239999999999996</v>
      </c>
      <c r="R1400">
        <v>63</v>
      </c>
      <c r="S1400">
        <v>65730.19</v>
      </c>
      <c r="T1400">
        <v>0</v>
      </c>
      <c r="U1400">
        <v>793.47</v>
      </c>
    </row>
    <row r="1401" spans="1:21" x14ac:dyDescent="0.35">
      <c r="A1401">
        <v>2025</v>
      </c>
      <c r="B1401">
        <v>7</v>
      </c>
      <c r="C1401">
        <v>3</v>
      </c>
      <c r="D1401" s="1">
        <v>45839</v>
      </c>
      <c r="E1401" s="4" t="s">
        <v>33</v>
      </c>
      <c r="F1401" s="4" t="s">
        <v>24</v>
      </c>
      <c r="G1401" s="4" t="s">
        <v>107</v>
      </c>
      <c r="H1401">
        <v>12</v>
      </c>
      <c r="I1401">
        <v>16</v>
      </c>
      <c r="J1401">
        <v>0</v>
      </c>
      <c r="K1401">
        <v>16</v>
      </c>
      <c r="L1401">
        <v>24685</v>
      </c>
      <c r="M1401">
        <v>0</v>
      </c>
      <c r="N1401">
        <v>24685</v>
      </c>
      <c r="O1401">
        <v>13576.75</v>
      </c>
      <c r="P1401">
        <v>11108.25</v>
      </c>
      <c r="Q1401">
        <v>0.45</v>
      </c>
      <c r="R1401">
        <v>0</v>
      </c>
      <c r="S1401">
        <v>0</v>
      </c>
      <c r="T1401">
        <v>0</v>
      </c>
      <c r="U1401">
        <v>2057.08</v>
      </c>
    </row>
    <row r="1402" spans="1:21" x14ac:dyDescent="0.35">
      <c r="A1402">
        <v>2025</v>
      </c>
      <c r="B1402">
        <v>7</v>
      </c>
      <c r="C1402">
        <v>3</v>
      </c>
      <c r="D1402" s="1">
        <v>45839</v>
      </c>
      <c r="E1402" s="4" t="s">
        <v>33</v>
      </c>
      <c r="F1402" s="4" t="s">
        <v>24</v>
      </c>
      <c r="G1402" s="4" t="s">
        <v>109</v>
      </c>
      <c r="H1402">
        <v>96</v>
      </c>
      <c r="I1402">
        <v>138</v>
      </c>
      <c r="J1402">
        <v>1</v>
      </c>
      <c r="K1402">
        <v>137</v>
      </c>
      <c r="L1402">
        <v>213824.06</v>
      </c>
      <c r="M1402">
        <v>1747</v>
      </c>
      <c r="N1402">
        <v>212077.06</v>
      </c>
      <c r="O1402">
        <v>117816.6</v>
      </c>
      <c r="P1402">
        <v>94260.46</v>
      </c>
      <c r="Q1402">
        <v>0.44450000000000001</v>
      </c>
      <c r="R1402">
        <v>7</v>
      </c>
      <c r="S1402">
        <v>12656.06</v>
      </c>
      <c r="T1402">
        <v>0</v>
      </c>
      <c r="U1402">
        <v>2209.14</v>
      </c>
    </row>
    <row r="1403" spans="1:21" x14ac:dyDescent="0.35">
      <c r="A1403">
        <v>2025</v>
      </c>
      <c r="B1403">
        <v>7</v>
      </c>
      <c r="C1403">
        <v>3</v>
      </c>
      <c r="D1403" s="1">
        <v>45839</v>
      </c>
      <c r="E1403" s="4" t="s">
        <v>33</v>
      </c>
      <c r="F1403" s="4" t="s">
        <v>26</v>
      </c>
      <c r="G1403" s="4" t="s">
        <v>107</v>
      </c>
      <c r="H1403">
        <v>3</v>
      </c>
      <c r="I1403">
        <v>3</v>
      </c>
      <c r="J1403">
        <v>0</v>
      </c>
      <c r="K1403">
        <v>3</v>
      </c>
      <c r="L1403">
        <v>1750</v>
      </c>
      <c r="M1403">
        <v>0</v>
      </c>
      <c r="N1403">
        <v>1750</v>
      </c>
      <c r="O1403">
        <v>1050</v>
      </c>
      <c r="P1403">
        <v>700</v>
      </c>
      <c r="Q1403">
        <v>0.4</v>
      </c>
      <c r="R1403">
        <v>0</v>
      </c>
      <c r="S1403">
        <v>0</v>
      </c>
      <c r="T1403">
        <v>0</v>
      </c>
      <c r="U1403">
        <v>583.33000000000004</v>
      </c>
    </row>
    <row r="1404" spans="1:21" x14ac:dyDescent="0.35">
      <c r="A1404">
        <v>2025</v>
      </c>
      <c r="B1404">
        <v>7</v>
      </c>
      <c r="C1404">
        <v>3</v>
      </c>
      <c r="D1404" s="1">
        <v>45839</v>
      </c>
      <c r="E1404" s="4" t="s">
        <v>33</v>
      </c>
      <c r="F1404" s="4" t="s">
        <v>26</v>
      </c>
      <c r="G1404" s="4" t="s">
        <v>108</v>
      </c>
      <c r="H1404">
        <v>1</v>
      </c>
      <c r="I1404">
        <v>2</v>
      </c>
      <c r="J1404">
        <v>0</v>
      </c>
      <c r="K1404">
        <v>2</v>
      </c>
      <c r="L1404">
        <v>1750</v>
      </c>
      <c r="M1404">
        <v>0</v>
      </c>
      <c r="N1404">
        <v>1750</v>
      </c>
      <c r="O1404">
        <v>1050</v>
      </c>
      <c r="P1404">
        <v>700</v>
      </c>
      <c r="Q1404">
        <v>0.4</v>
      </c>
      <c r="R1404">
        <v>0</v>
      </c>
      <c r="S1404">
        <v>0</v>
      </c>
      <c r="T1404">
        <v>0</v>
      </c>
      <c r="U1404">
        <v>1750</v>
      </c>
    </row>
    <row r="1405" spans="1:21" x14ac:dyDescent="0.35">
      <c r="A1405">
        <v>2025</v>
      </c>
      <c r="B1405">
        <v>7</v>
      </c>
      <c r="C1405">
        <v>3</v>
      </c>
      <c r="D1405" s="1">
        <v>45839</v>
      </c>
      <c r="E1405" s="4" t="s">
        <v>33</v>
      </c>
      <c r="F1405" s="4" t="s">
        <v>26</v>
      </c>
      <c r="G1405" s="4" t="s">
        <v>109</v>
      </c>
      <c r="H1405">
        <v>29</v>
      </c>
      <c r="I1405">
        <v>46</v>
      </c>
      <c r="J1405">
        <v>1</v>
      </c>
      <c r="K1405">
        <v>45</v>
      </c>
      <c r="L1405">
        <v>36202.04</v>
      </c>
      <c r="M1405">
        <v>937</v>
      </c>
      <c r="N1405">
        <v>35265.040000000001</v>
      </c>
      <c r="O1405">
        <v>21659.4</v>
      </c>
      <c r="P1405">
        <v>13605.64</v>
      </c>
      <c r="Q1405">
        <v>0.38579999999999998</v>
      </c>
      <c r="R1405">
        <v>3</v>
      </c>
      <c r="S1405">
        <v>3294.04</v>
      </c>
      <c r="T1405">
        <v>0</v>
      </c>
      <c r="U1405">
        <v>1216.04</v>
      </c>
    </row>
    <row r="1406" spans="1:21" x14ac:dyDescent="0.35">
      <c r="A1406">
        <v>2025</v>
      </c>
      <c r="B1406">
        <v>7</v>
      </c>
      <c r="C1406">
        <v>3</v>
      </c>
      <c r="D1406" s="1">
        <v>45839</v>
      </c>
      <c r="E1406" s="4" t="s">
        <v>32</v>
      </c>
      <c r="F1406" s="4" t="s">
        <v>28</v>
      </c>
      <c r="G1406" s="4" t="s">
        <v>107</v>
      </c>
      <c r="H1406">
        <v>24</v>
      </c>
      <c r="I1406">
        <v>43</v>
      </c>
      <c r="J1406">
        <v>0</v>
      </c>
      <c r="K1406">
        <v>43</v>
      </c>
      <c r="L1406">
        <v>18500.5</v>
      </c>
      <c r="M1406">
        <v>0</v>
      </c>
      <c r="N1406">
        <v>18500.5</v>
      </c>
      <c r="O1406">
        <v>6832.7</v>
      </c>
      <c r="P1406">
        <v>11667.8</v>
      </c>
      <c r="Q1406">
        <v>0.63070000000000004</v>
      </c>
      <c r="R1406">
        <v>6</v>
      </c>
      <c r="S1406">
        <v>4426.5</v>
      </c>
      <c r="T1406">
        <v>0</v>
      </c>
      <c r="U1406">
        <v>770.85</v>
      </c>
    </row>
    <row r="1407" spans="1:21" x14ac:dyDescent="0.35">
      <c r="A1407">
        <v>2025</v>
      </c>
      <c r="B1407">
        <v>7</v>
      </c>
      <c r="C1407">
        <v>3</v>
      </c>
      <c r="D1407" s="1">
        <v>45839</v>
      </c>
      <c r="E1407" s="4" t="s">
        <v>32</v>
      </c>
      <c r="F1407" s="4" t="s">
        <v>28</v>
      </c>
      <c r="G1407" s="4" t="s">
        <v>109</v>
      </c>
      <c r="H1407">
        <v>300</v>
      </c>
      <c r="I1407">
        <v>442</v>
      </c>
      <c r="J1407">
        <v>0</v>
      </c>
      <c r="K1407">
        <v>442</v>
      </c>
      <c r="L1407">
        <v>155700.5</v>
      </c>
      <c r="M1407">
        <v>0</v>
      </c>
      <c r="N1407">
        <v>155700.5</v>
      </c>
      <c r="O1407">
        <v>56655.55</v>
      </c>
      <c r="P1407">
        <v>99044.95</v>
      </c>
      <c r="Q1407">
        <v>0.6361</v>
      </c>
      <c r="R1407">
        <v>31</v>
      </c>
      <c r="S1407">
        <v>22406.5</v>
      </c>
      <c r="T1407">
        <v>0</v>
      </c>
      <c r="U1407">
        <v>519</v>
      </c>
    </row>
    <row r="1408" spans="1:21" x14ac:dyDescent="0.35">
      <c r="A1408">
        <v>2025</v>
      </c>
      <c r="B1408">
        <v>7</v>
      </c>
      <c r="C1408">
        <v>3</v>
      </c>
      <c r="D1408" s="1">
        <v>45839</v>
      </c>
      <c r="E1408" s="4" t="s">
        <v>32</v>
      </c>
      <c r="F1408" s="4" t="s">
        <v>35</v>
      </c>
      <c r="G1408" s="4" t="s">
        <v>109</v>
      </c>
      <c r="H1408">
        <v>2</v>
      </c>
      <c r="I1408">
        <v>2</v>
      </c>
      <c r="J1408">
        <v>0</v>
      </c>
      <c r="K1408">
        <v>2</v>
      </c>
      <c r="L1408">
        <v>364.64</v>
      </c>
      <c r="M1408">
        <v>0</v>
      </c>
      <c r="N1408">
        <v>364.64</v>
      </c>
      <c r="O1408">
        <v>84.8</v>
      </c>
      <c r="P1408">
        <v>279.83999999999997</v>
      </c>
      <c r="Q1408">
        <v>0.76739999999999997</v>
      </c>
      <c r="R1408">
        <v>1</v>
      </c>
      <c r="S1408">
        <v>152.63999999999999</v>
      </c>
      <c r="T1408">
        <v>0</v>
      </c>
      <c r="U1408">
        <v>182.32</v>
      </c>
    </row>
    <row r="1409" spans="1:21" x14ac:dyDescent="0.35">
      <c r="A1409">
        <v>2025</v>
      </c>
      <c r="B1409">
        <v>7</v>
      </c>
      <c r="C1409">
        <v>3</v>
      </c>
      <c r="D1409" s="1">
        <v>45839</v>
      </c>
      <c r="E1409" s="4" t="s">
        <v>32</v>
      </c>
      <c r="F1409" s="4" t="s">
        <v>24</v>
      </c>
      <c r="G1409" s="4" t="s">
        <v>107</v>
      </c>
      <c r="H1409">
        <v>28</v>
      </c>
      <c r="I1409">
        <v>39</v>
      </c>
      <c r="J1409">
        <v>0</v>
      </c>
      <c r="K1409">
        <v>39</v>
      </c>
      <c r="L1409">
        <v>50450.13</v>
      </c>
      <c r="M1409">
        <v>0</v>
      </c>
      <c r="N1409">
        <v>50450.13</v>
      </c>
      <c r="O1409">
        <v>29589.45</v>
      </c>
      <c r="P1409">
        <v>20860.68</v>
      </c>
      <c r="Q1409">
        <v>0.41349999999999998</v>
      </c>
      <c r="R1409">
        <v>7</v>
      </c>
      <c r="S1409">
        <v>11891.13</v>
      </c>
      <c r="T1409">
        <v>0</v>
      </c>
      <c r="U1409">
        <v>1801.79</v>
      </c>
    </row>
    <row r="1410" spans="1:21" x14ac:dyDescent="0.35">
      <c r="A1410">
        <v>2025</v>
      </c>
      <c r="B1410">
        <v>7</v>
      </c>
      <c r="C1410">
        <v>3</v>
      </c>
      <c r="D1410" s="1">
        <v>45839</v>
      </c>
      <c r="E1410" s="4" t="s">
        <v>32</v>
      </c>
      <c r="F1410" s="4" t="s">
        <v>24</v>
      </c>
      <c r="G1410" s="4" t="s">
        <v>109</v>
      </c>
      <c r="H1410">
        <v>114</v>
      </c>
      <c r="I1410">
        <v>175</v>
      </c>
      <c r="J1410">
        <v>4</v>
      </c>
      <c r="K1410">
        <v>171</v>
      </c>
      <c r="L1410">
        <v>235851.61</v>
      </c>
      <c r="M1410">
        <v>3950</v>
      </c>
      <c r="N1410">
        <v>231901.61</v>
      </c>
      <c r="O1410">
        <v>131241</v>
      </c>
      <c r="P1410">
        <v>100660.61</v>
      </c>
      <c r="Q1410">
        <v>0.43409999999999999</v>
      </c>
      <c r="R1410">
        <v>10</v>
      </c>
      <c r="S1410">
        <v>29944.61</v>
      </c>
      <c r="T1410">
        <v>0</v>
      </c>
      <c r="U1410">
        <v>2034.22</v>
      </c>
    </row>
    <row r="1411" spans="1:21" x14ac:dyDescent="0.35">
      <c r="A1411">
        <v>2025</v>
      </c>
      <c r="B1411">
        <v>7</v>
      </c>
      <c r="C1411">
        <v>3</v>
      </c>
      <c r="D1411" s="1">
        <v>45839</v>
      </c>
      <c r="E1411" s="4" t="s">
        <v>32</v>
      </c>
      <c r="F1411" s="4" t="s">
        <v>26</v>
      </c>
      <c r="G1411" s="4" t="s">
        <v>108</v>
      </c>
      <c r="H1411">
        <v>3</v>
      </c>
      <c r="I1411">
        <v>5</v>
      </c>
      <c r="J1411">
        <v>0</v>
      </c>
      <c r="K1411">
        <v>5</v>
      </c>
      <c r="L1411">
        <v>1575</v>
      </c>
      <c r="M1411">
        <v>0</v>
      </c>
      <c r="N1411">
        <v>1575</v>
      </c>
      <c r="O1411">
        <v>945</v>
      </c>
      <c r="P1411">
        <v>630</v>
      </c>
      <c r="Q1411">
        <v>0.4</v>
      </c>
      <c r="R1411">
        <v>0</v>
      </c>
      <c r="S1411">
        <v>0</v>
      </c>
      <c r="T1411">
        <v>0</v>
      </c>
      <c r="U1411">
        <v>525</v>
      </c>
    </row>
    <row r="1412" spans="1:21" x14ac:dyDescent="0.35">
      <c r="A1412">
        <v>2025</v>
      </c>
      <c r="B1412">
        <v>7</v>
      </c>
      <c r="C1412">
        <v>3</v>
      </c>
      <c r="D1412" s="1">
        <v>45839</v>
      </c>
      <c r="E1412" s="4" t="s">
        <v>32</v>
      </c>
      <c r="F1412" s="4" t="s">
        <v>26</v>
      </c>
      <c r="G1412" s="4" t="s">
        <v>109</v>
      </c>
      <c r="H1412">
        <v>38</v>
      </c>
      <c r="I1412">
        <v>49</v>
      </c>
      <c r="J1412">
        <v>2</v>
      </c>
      <c r="K1412">
        <v>47</v>
      </c>
      <c r="L1412">
        <v>30950.240000000002</v>
      </c>
      <c r="M1412">
        <v>1502</v>
      </c>
      <c r="N1412">
        <v>29448.240000000002</v>
      </c>
      <c r="O1412">
        <v>18634.2</v>
      </c>
      <c r="P1412">
        <v>10814.04</v>
      </c>
      <c r="Q1412">
        <v>0.36720000000000003</v>
      </c>
      <c r="R1412">
        <v>7</v>
      </c>
      <c r="S1412">
        <v>5609.24</v>
      </c>
      <c r="T1412">
        <v>0</v>
      </c>
      <c r="U1412">
        <v>774.95</v>
      </c>
    </row>
    <row r="1413" spans="1:21" x14ac:dyDescent="0.35">
      <c r="A1413">
        <v>2025</v>
      </c>
      <c r="B1413">
        <v>7</v>
      </c>
      <c r="C1413">
        <v>3</v>
      </c>
      <c r="D1413" s="1">
        <v>45839</v>
      </c>
      <c r="E1413" s="4" t="s">
        <v>27</v>
      </c>
      <c r="F1413" s="4" t="s">
        <v>28</v>
      </c>
      <c r="G1413" s="4" t="s">
        <v>107</v>
      </c>
      <c r="H1413">
        <v>167</v>
      </c>
      <c r="I1413">
        <v>256</v>
      </c>
      <c r="J1413">
        <v>0</v>
      </c>
      <c r="K1413">
        <v>256</v>
      </c>
      <c r="L1413">
        <v>116506.31</v>
      </c>
      <c r="M1413">
        <v>0</v>
      </c>
      <c r="N1413">
        <v>116506.31</v>
      </c>
      <c r="O1413">
        <v>41387.85</v>
      </c>
      <c r="P1413">
        <v>75118.460000000006</v>
      </c>
      <c r="Q1413">
        <v>0.64480000000000004</v>
      </c>
      <c r="R1413">
        <v>12</v>
      </c>
      <c r="S1413">
        <v>7543.31</v>
      </c>
      <c r="T1413">
        <v>0</v>
      </c>
      <c r="U1413">
        <v>697.64</v>
      </c>
    </row>
    <row r="1414" spans="1:21" x14ac:dyDescent="0.35">
      <c r="A1414">
        <v>2025</v>
      </c>
      <c r="B1414">
        <v>7</v>
      </c>
      <c r="C1414">
        <v>3</v>
      </c>
      <c r="D1414" s="1">
        <v>45839</v>
      </c>
      <c r="E1414" s="4" t="s">
        <v>27</v>
      </c>
      <c r="F1414" s="4" t="s">
        <v>28</v>
      </c>
      <c r="G1414" s="4" t="s">
        <v>109</v>
      </c>
      <c r="H1414">
        <v>451</v>
      </c>
      <c r="I1414">
        <v>741</v>
      </c>
      <c r="J1414">
        <v>0</v>
      </c>
      <c r="K1414">
        <v>741</v>
      </c>
      <c r="L1414">
        <v>394072.12</v>
      </c>
      <c r="M1414">
        <v>0</v>
      </c>
      <c r="N1414">
        <v>394072.12</v>
      </c>
      <c r="O1414">
        <v>144092.54999999999</v>
      </c>
      <c r="P1414">
        <v>249979.57</v>
      </c>
      <c r="Q1414">
        <v>0.63429999999999997</v>
      </c>
      <c r="R1414">
        <v>63</v>
      </c>
      <c r="S1414">
        <v>71108.77</v>
      </c>
      <c r="T1414">
        <v>0</v>
      </c>
      <c r="U1414">
        <v>873.77</v>
      </c>
    </row>
    <row r="1415" spans="1:21" x14ac:dyDescent="0.35">
      <c r="A1415">
        <v>2025</v>
      </c>
      <c r="B1415">
        <v>7</v>
      </c>
      <c r="C1415">
        <v>3</v>
      </c>
      <c r="D1415" s="1">
        <v>45839</v>
      </c>
      <c r="E1415" s="4" t="s">
        <v>27</v>
      </c>
      <c r="F1415" s="4" t="s">
        <v>35</v>
      </c>
      <c r="G1415" s="4" t="s">
        <v>108</v>
      </c>
      <c r="H1415">
        <v>1</v>
      </c>
      <c r="I1415">
        <v>4</v>
      </c>
      <c r="J1415">
        <v>0</v>
      </c>
      <c r="K1415">
        <v>4</v>
      </c>
      <c r="L1415">
        <v>1071.8399999999999</v>
      </c>
      <c r="M1415">
        <v>0</v>
      </c>
      <c r="N1415">
        <v>1071.8399999999999</v>
      </c>
      <c r="O1415">
        <v>278.39999999999998</v>
      </c>
      <c r="P1415">
        <v>793.44</v>
      </c>
      <c r="Q1415">
        <v>0.74029999999999996</v>
      </c>
      <c r="R1415">
        <v>1</v>
      </c>
      <c r="S1415">
        <v>1071.8399999999999</v>
      </c>
      <c r="T1415">
        <v>0</v>
      </c>
      <c r="U1415">
        <v>1071.8399999999999</v>
      </c>
    </row>
    <row r="1416" spans="1:21" x14ac:dyDescent="0.35">
      <c r="A1416">
        <v>2025</v>
      </c>
      <c r="B1416">
        <v>7</v>
      </c>
      <c r="C1416">
        <v>3</v>
      </c>
      <c r="D1416" s="1">
        <v>45839</v>
      </c>
      <c r="E1416" s="4" t="s">
        <v>27</v>
      </c>
      <c r="F1416" s="4" t="s">
        <v>24</v>
      </c>
      <c r="G1416" s="4" t="s">
        <v>107</v>
      </c>
      <c r="H1416">
        <v>36</v>
      </c>
      <c r="I1416">
        <v>47</v>
      </c>
      <c r="J1416">
        <v>0</v>
      </c>
      <c r="K1416">
        <v>47</v>
      </c>
      <c r="L1416">
        <v>86569.59</v>
      </c>
      <c r="M1416">
        <v>0</v>
      </c>
      <c r="N1416">
        <v>86569.59</v>
      </c>
      <c r="O1416">
        <v>48389.55</v>
      </c>
      <c r="P1416">
        <v>38180.04</v>
      </c>
      <c r="Q1416">
        <v>0.441</v>
      </c>
      <c r="R1416">
        <v>3</v>
      </c>
      <c r="S1416">
        <v>6731.59</v>
      </c>
      <c r="T1416">
        <v>0</v>
      </c>
      <c r="U1416">
        <v>2404.71</v>
      </c>
    </row>
    <row r="1417" spans="1:21" x14ac:dyDescent="0.35">
      <c r="A1417">
        <v>2025</v>
      </c>
      <c r="B1417">
        <v>7</v>
      </c>
      <c r="C1417">
        <v>3</v>
      </c>
      <c r="D1417" s="1">
        <v>45839</v>
      </c>
      <c r="E1417" s="4" t="s">
        <v>27</v>
      </c>
      <c r="F1417" s="4" t="s">
        <v>24</v>
      </c>
      <c r="G1417" s="4" t="s">
        <v>109</v>
      </c>
      <c r="H1417">
        <v>148</v>
      </c>
      <c r="I1417">
        <v>248</v>
      </c>
      <c r="J1417">
        <v>5</v>
      </c>
      <c r="K1417">
        <v>243</v>
      </c>
      <c r="L1417">
        <v>406013.51</v>
      </c>
      <c r="M1417">
        <v>7102.4</v>
      </c>
      <c r="N1417">
        <v>398911.11</v>
      </c>
      <c r="O1417">
        <v>228218.1</v>
      </c>
      <c r="P1417">
        <v>170693.01</v>
      </c>
      <c r="Q1417">
        <v>0.4279</v>
      </c>
      <c r="R1417">
        <v>19</v>
      </c>
      <c r="S1417">
        <v>70479.72</v>
      </c>
      <c r="T1417">
        <v>0</v>
      </c>
      <c r="U1417">
        <v>2695.35</v>
      </c>
    </row>
    <row r="1418" spans="1:21" x14ac:dyDescent="0.35">
      <c r="A1418">
        <v>2025</v>
      </c>
      <c r="B1418">
        <v>7</v>
      </c>
      <c r="C1418">
        <v>3</v>
      </c>
      <c r="D1418" s="1">
        <v>45839</v>
      </c>
      <c r="E1418" s="4" t="s">
        <v>27</v>
      </c>
      <c r="F1418" s="4" t="s">
        <v>26</v>
      </c>
      <c r="G1418" s="4" t="s">
        <v>107</v>
      </c>
      <c r="H1418">
        <v>7</v>
      </c>
      <c r="I1418">
        <v>14</v>
      </c>
      <c r="J1418">
        <v>0</v>
      </c>
      <c r="K1418">
        <v>14</v>
      </c>
      <c r="L1418">
        <v>14903.25</v>
      </c>
      <c r="M1418">
        <v>0</v>
      </c>
      <c r="N1418">
        <v>14903.25</v>
      </c>
      <c r="O1418">
        <v>9475.2000000000007</v>
      </c>
      <c r="P1418">
        <v>5428.05</v>
      </c>
      <c r="Q1418">
        <v>0.36420000000000002</v>
      </c>
      <c r="R1418">
        <v>1</v>
      </c>
      <c r="S1418">
        <v>2666.25</v>
      </c>
      <c r="T1418">
        <v>0</v>
      </c>
      <c r="U1418">
        <v>2129.04</v>
      </c>
    </row>
    <row r="1419" spans="1:21" x14ac:dyDescent="0.35">
      <c r="A1419">
        <v>2025</v>
      </c>
      <c r="B1419">
        <v>7</v>
      </c>
      <c r="C1419">
        <v>3</v>
      </c>
      <c r="D1419" s="1">
        <v>45839</v>
      </c>
      <c r="E1419" s="4" t="s">
        <v>27</v>
      </c>
      <c r="F1419" s="4" t="s">
        <v>26</v>
      </c>
      <c r="G1419" s="4" t="s">
        <v>109</v>
      </c>
      <c r="H1419">
        <v>23</v>
      </c>
      <c r="I1419">
        <v>30</v>
      </c>
      <c r="J1419">
        <v>1</v>
      </c>
      <c r="K1419">
        <v>29</v>
      </c>
      <c r="L1419">
        <v>21489.09</v>
      </c>
      <c r="M1419">
        <v>808</v>
      </c>
      <c r="N1419">
        <v>20681.09</v>
      </c>
      <c r="O1419">
        <v>12595.8</v>
      </c>
      <c r="P1419">
        <v>8085.29</v>
      </c>
      <c r="Q1419">
        <v>0.39100000000000001</v>
      </c>
      <c r="R1419">
        <v>2</v>
      </c>
      <c r="S1419">
        <v>1322.09</v>
      </c>
      <c r="T1419">
        <v>0</v>
      </c>
      <c r="U1419">
        <v>899.18</v>
      </c>
    </row>
    <row r="1420" spans="1:21" x14ac:dyDescent="0.35">
      <c r="A1420">
        <v>2025</v>
      </c>
      <c r="B1420">
        <v>7</v>
      </c>
      <c r="C1420">
        <v>3</v>
      </c>
      <c r="D1420" s="1">
        <v>45839</v>
      </c>
      <c r="E1420" s="4" t="s">
        <v>34</v>
      </c>
      <c r="F1420" s="4" t="s">
        <v>28</v>
      </c>
      <c r="G1420" s="4" t="s">
        <v>107</v>
      </c>
      <c r="H1420">
        <v>133</v>
      </c>
      <c r="I1420">
        <v>208</v>
      </c>
      <c r="J1420">
        <v>0</v>
      </c>
      <c r="K1420">
        <v>208</v>
      </c>
      <c r="L1420">
        <v>138322.9</v>
      </c>
      <c r="M1420">
        <v>0</v>
      </c>
      <c r="N1420">
        <v>138322.9</v>
      </c>
      <c r="O1420">
        <v>49767.9</v>
      </c>
      <c r="P1420">
        <v>88555</v>
      </c>
      <c r="Q1420">
        <v>0.64019999999999999</v>
      </c>
      <c r="R1420">
        <v>16</v>
      </c>
      <c r="S1420">
        <v>20584.900000000001</v>
      </c>
      <c r="T1420">
        <v>0</v>
      </c>
      <c r="U1420">
        <v>1040.02</v>
      </c>
    </row>
    <row r="1421" spans="1:21" x14ac:dyDescent="0.35">
      <c r="A1421">
        <v>2025</v>
      </c>
      <c r="B1421">
        <v>7</v>
      </c>
      <c r="C1421">
        <v>3</v>
      </c>
      <c r="D1421" s="1">
        <v>45839</v>
      </c>
      <c r="E1421" s="4" t="s">
        <v>34</v>
      </c>
      <c r="F1421" s="4" t="s">
        <v>28</v>
      </c>
      <c r="G1421" s="4" t="s">
        <v>108</v>
      </c>
      <c r="H1421">
        <v>28</v>
      </c>
      <c r="I1421">
        <v>60</v>
      </c>
      <c r="J1421">
        <v>0</v>
      </c>
      <c r="K1421">
        <v>60</v>
      </c>
      <c r="L1421">
        <v>24043.439999999999</v>
      </c>
      <c r="M1421">
        <v>0</v>
      </c>
      <c r="N1421">
        <v>24043.439999999999</v>
      </c>
      <c r="O1421">
        <v>8946</v>
      </c>
      <c r="P1421">
        <v>15097.44</v>
      </c>
      <c r="Q1421">
        <v>0.62790000000000001</v>
      </c>
      <c r="R1421">
        <v>5</v>
      </c>
      <c r="S1421">
        <v>5725.44</v>
      </c>
      <c r="T1421">
        <v>0</v>
      </c>
      <c r="U1421">
        <v>858.69</v>
      </c>
    </row>
    <row r="1422" spans="1:21" x14ac:dyDescent="0.35">
      <c r="A1422">
        <v>2025</v>
      </c>
      <c r="B1422">
        <v>7</v>
      </c>
      <c r="C1422">
        <v>3</v>
      </c>
      <c r="D1422" s="1">
        <v>45839</v>
      </c>
      <c r="E1422" s="4" t="s">
        <v>34</v>
      </c>
      <c r="F1422" s="4" t="s">
        <v>28</v>
      </c>
      <c r="G1422" s="4" t="s">
        <v>109</v>
      </c>
      <c r="H1422">
        <v>375</v>
      </c>
      <c r="I1422">
        <v>583</v>
      </c>
      <c r="J1422">
        <v>0</v>
      </c>
      <c r="K1422">
        <v>583</v>
      </c>
      <c r="L1422">
        <v>278291.37</v>
      </c>
      <c r="M1422">
        <v>0</v>
      </c>
      <c r="N1422">
        <v>278291.37</v>
      </c>
      <c r="O1422">
        <v>102020.45</v>
      </c>
      <c r="P1422">
        <v>176270.92</v>
      </c>
      <c r="Q1422">
        <v>0.63339999999999996</v>
      </c>
      <c r="R1422">
        <v>59</v>
      </c>
      <c r="S1422">
        <v>53058.37</v>
      </c>
      <c r="T1422">
        <v>0</v>
      </c>
      <c r="U1422">
        <v>742.11</v>
      </c>
    </row>
    <row r="1423" spans="1:21" x14ac:dyDescent="0.35">
      <c r="A1423">
        <v>2025</v>
      </c>
      <c r="B1423">
        <v>7</v>
      </c>
      <c r="C1423">
        <v>3</v>
      </c>
      <c r="D1423" s="1">
        <v>45839</v>
      </c>
      <c r="E1423" s="4" t="s">
        <v>34</v>
      </c>
      <c r="F1423" s="4" t="s">
        <v>24</v>
      </c>
      <c r="G1423" s="4" t="s">
        <v>107</v>
      </c>
      <c r="H1423">
        <v>42</v>
      </c>
      <c r="I1423">
        <v>71</v>
      </c>
      <c r="J1423">
        <v>0</v>
      </c>
      <c r="K1423">
        <v>71</v>
      </c>
      <c r="L1423">
        <v>114118</v>
      </c>
      <c r="M1423">
        <v>0</v>
      </c>
      <c r="N1423">
        <v>114118</v>
      </c>
      <c r="O1423">
        <v>64747.1</v>
      </c>
      <c r="P1423">
        <v>49370.9</v>
      </c>
      <c r="Q1423">
        <v>0.43259999999999998</v>
      </c>
      <c r="R1423">
        <v>4</v>
      </c>
      <c r="S1423">
        <v>14416</v>
      </c>
      <c r="T1423">
        <v>0</v>
      </c>
      <c r="U1423">
        <v>2717.1</v>
      </c>
    </row>
    <row r="1424" spans="1:21" x14ac:dyDescent="0.35">
      <c r="A1424">
        <v>2025</v>
      </c>
      <c r="B1424">
        <v>7</v>
      </c>
      <c r="C1424">
        <v>3</v>
      </c>
      <c r="D1424" s="1">
        <v>45839</v>
      </c>
      <c r="E1424" s="4" t="s">
        <v>34</v>
      </c>
      <c r="F1424" s="4" t="s">
        <v>24</v>
      </c>
      <c r="G1424" s="4" t="s">
        <v>108</v>
      </c>
      <c r="H1424">
        <v>17</v>
      </c>
      <c r="I1424">
        <v>27</v>
      </c>
      <c r="J1424">
        <v>2</v>
      </c>
      <c r="K1424">
        <v>25</v>
      </c>
      <c r="L1424">
        <v>36571.08</v>
      </c>
      <c r="M1424">
        <v>2758</v>
      </c>
      <c r="N1424">
        <v>33813.08</v>
      </c>
      <c r="O1424">
        <v>18961.25</v>
      </c>
      <c r="P1424">
        <v>14851.83</v>
      </c>
      <c r="Q1424">
        <v>0.43919999999999998</v>
      </c>
      <c r="R1424">
        <v>1</v>
      </c>
      <c r="S1424">
        <v>3475.08</v>
      </c>
      <c r="T1424">
        <v>0</v>
      </c>
      <c r="U1424">
        <v>1989</v>
      </c>
    </row>
    <row r="1425" spans="1:21" x14ac:dyDescent="0.35">
      <c r="A1425">
        <v>2025</v>
      </c>
      <c r="B1425">
        <v>7</v>
      </c>
      <c r="C1425">
        <v>3</v>
      </c>
      <c r="D1425" s="1">
        <v>45839</v>
      </c>
      <c r="E1425" s="4" t="s">
        <v>34</v>
      </c>
      <c r="F1425" s="4" t="s">
        <v>24</v>
      </c>
      <c r="G1425" s="4" t="s">
        <v>109</v>
      </c>
      <c r="H1425">
        <v>115</v>
      </c>
      <c r="I1425">
        <v>188</v>
      </c>
      <c r="J1425">
        <v>5</v>
      </c>
      <c r="K1425">
        <v>183</v>
      </c>
      <c r="L1425">
        <v>328456.88</v>
      </c>
      <c r="M1425">
        <v>9339.74</v>
      </c>
      <c r="N1425">
        <v>319117.14</v>
      </c>
      <c r="O1425">
        <v>184214.25</v>
      </c>
      <c r="P1425">
        <v>134902.89000000001</v>
      </c>
      <c r="Q1425">
        <v>0.42270000000000002</v>
      </c>
      <c r="R1425">
        <v>17</v>
      </c>
      <c r="S1425">
        <v>60917.14</v>
      </c>
      <c r="T1425">
        <v>0</v>
      </c>
      <c r="U1425">
        <v>2774.93</v>
      </c>
    </row>
    <row r="1426" spans="1:21" x14ac:dyDescent="0.35">
      <c r="A1426">
        <v>2025</v>
      </c>
      <c r="B1426">
        <v>7</v>
      </c>
      <c r="C1426">
        <v>3</v>
      </c>
      <c r="D1426" s="1">
        <v>45839</v>
      </c>
      <c r="E1426" s="4" t="s">
        <v>34</v>
      </c>
      <c r="F1426" s="4" t="s">
        <v>26</v>
      </c>
      <c r="G1426" s="4" t="s">
        <v>107</v>
      </c>
      <c r="H1426">
        <v>4</v>
      </c>
      <c r="I1426">
        <v>6</v>
      </c>
      <c r="J1426">
        <v>0</v>
      </c>
      <c r="K1426">
        <v>6</v>
      </c>
      <c r="L1426">
        <v>3408</v>
      </c>
      <c r="M1426">
        <v>0</v>
      </c>
      <c r="N1426">
        <v>3408</v>
      </c>
      <c r="O1426">
        <v>2044.8</v>
      </c>
      <c r="P1426">
        <v>1363.2</v>
      </c>
      <c r="Q1426">
        <v>0.4</v>
      </c>
      <c r="R1426">
        <v>0</v>
      </c>
      <c r="S1426">
        <v>0</v>
      </c>
      <c r="T1426">
        <v>0</v>
      </c>
      <c r="U1426">
        <v>852</v>
      </c>
    </row>
    <row r="1427" spans="1:21" x14ac:dyDescent="0.35">
      <c r="A1427">
        <v>2025</v>
      </c>
      <c r="B1427">
        <v>7</v>
      </c>
      <c r="C1427">
        <v>3</v>
      </c>
      <c r="D1427" s="1">
        <v>45839</v>
      </c>
      <c r="E1427" s="4" t="s">
        <v>34</v>
      </c>
      <c r="F1427" s="4" t="s">
        <v>26</v>
      </c>
      <c r="G1427" s="4" t="s">
        <v>108</v>
      </c>
      <c r="H1427">
        <v>3</v>
      </c>
      <c r="I1427">
        <v>6</v>
      </c>
      <c r="J1427">
        <v>0</v>
      </c>
      <c r="K1427">
        <v>6</v>
      </c>
      <c r="L1427">
        <v>4126.4399999999996</v>
      </c>
      <c r="M1427">
        <v>0</v>
      </c>
      <c r="N1427">
        <v>4126.4399999999996</v>
      </c>
      <c r="O1427">
        <v>2620.8000000000002</v>
      </c>
      <c r="P1427">
        <v>1505.64</v>
      </c>
      <c r="Q1427">
        <v>0.3649</v>
      </c>
      <c r="R1427">
        <v>1</v>
      </c>
      <c r="S1427">
        <v>490.44</v>
      </c>
      <c r="T1427">
        <v>0</v>
      </c>
      <c r="U1427">
        <v>1375.48</v>
      </c>
    </row>
    <row r="1428" spans="1:21" x14ac:dyDescent="0.35">
      <c r="A1428">
        <v>2025</v>
      </c>
      <c r="B1428">
        <v>7</v>
      </c>
      <c r="C1428">
        <v>3</v>
      </c>
      <c r="D1428" s="1">
        <v>45839</v>
      </c>
      <c r="E1428" s="4" t="s">
        <v>34</v>
      </c>
      <c r="F1428" s="4" t="s">
        <v>26</v>
      </c>
      <c r="G1428" s="4" t="s">
        <v>109</v>
      </c>
      <c r="H1428">
        <v>23</v>
      </c>
      <c r="I1428">
        <v>32</v>
      </c>
      <c r="J1428">
        <v>2</v>
      </c>
      <c r="K1428">
        <v>30</v>
      </c>
      <c r="L1428">
        <v>20458.61</v>
      </c>
      <c r="M1428">
        <v>1046</v>
      </c>
      <c r="N1428">
        <v>19412.61</v>
      </c>
      <c r="O1428">
        <v>12075.6</v>
      </c>
      <c r="P1428">
        <v>7337.01</v>
      </c>
      <c r="Q1428">
        <v>0.378</v>
      </c>
      <c r="R1428">
        <v>2</v>
      </c>
      <c r="S1428">
        <v>4064.78</v>
      </c>
      <c r="T1428">
        <v>0</v>
      </c>
      <c r="U1428">
        <v>844.03</v>
      </c>
    </row>
    <row r="1429" spans="1:21" x14ac:dyDescent="0.35">
      <c r="A1429">
        <v>2025</v>
      </c>
      <c r="B1429">
        <v>7</v>
      </c>
      <c r="C1429">
        <v>3</v>
      </c>
      <c r="D1429" s="1">
        <v>45839</v>
      </c>
      <c r="E1429" s="4" t="s">
        <v>36</v>
      </c>
      <c r="F1429" s="4" t="s">
        <v>28</v>
      </c>
      <c r="G1429" s="4" t="s">
        <v>107</v>
      </c>
      <c r="H1429">
        <v>54</v>
      </c>
      <c r="I1429">
        <v>77</v>
      </c>
      <c r="J1429">
        <v>0</v>
      </c>
      <c r="K1429">
        <v>77</v>
      </c>
      <c r="L1429">
        <v>50008.15</v>
      </c>
      <c r="M1429">
        <v>0</v>
      </c>
      <c r="N1429">
        <v>50008.15</v>
      </c>
      <c r="O1429">
        <v>17776.150000000001</v>
      </c>
      <c r="P1429">
        <v>32232</v>
      </c>
      <c r="Q1429">
        <v>0.64449999999999996</v>
      </c>
      <c r="R1429">
        <v>5</v>
      </c>
      <c r="S1429">
        <v>3735.15</v>
      </c>
      <c r="T1429">
        <v>0</v>
      </c>
      <c r="U1429">
        <v>926.08</v>
      </c>
    </row>
    <row r="1430" spans="1:21" x14ac:dyDescent="0.35">
      <c r="A1430">
        <v>2025</v>
      </c>
      <c r="B1430">
        <v>7</v>
      </c>
      <c r="C1430">
        <v>3</v>
      </c>
      <c r="D1430" s="1">
        <v>45839</v>
      </c>
      <c r="E1430" s="4" t="s">
        <v>36</v>
      </c>
      <c r="F1430" s="4" t="s">
        <v>28</v>
      </c>
      <c r="G1430" s="4" t="s">
        <v>108</v>
      </c>
      <c r="H1430">
        <v>96</v>
      </c>
      <c r="I1430">
        <v>144</v>
      </c>
      <c r="J1430">
        <v>0</v>
      </c>
      <c r="K1430">
        <v>144</v>
      </c>
      <c r="L1430">
        <v>46804.79</v>
      </c>
      <c r="M1430">
        <v>0</v>
      </c>
      <c r="N1430">
        <v>46804.79</v>
      </c>
      <c r="O1430">
        <v>17012.8</v>
      </c>
      <c r="P1430">
        <v>29791.99</v>
      </c>
      <c r="Q1430">
        <v>0.63649999999999995</v>
      </c>
      <c r="R1430">
        <v>9</v>
      </c>
      <c r="S1430">
        <v>6433.79</v>
      </c>
      <c r="T1430">
        <v>0</v>
      </c>
      <c r="U1430">
        <v>487.55</v>
      </c>
    </row>
    <row r="1431" spans="1:21" x14ac:dyDescent="0.35">
      <c r="A1431">
        <v>2025</v>
      </c>
      <c r="B1431">
        <v>7</v>
      </c>
      <c r="C1431">
        <v>3</v>
      </c>
      <c r="D1431" s="1">
        <v>45839</v>
      </c>
      <c r="E1431" s="4" t="s">
        <v>36</v>
      </c>
      <c r="F1431" s="4" t="s">
        <v>28</v>
      </c>
      <c r="G1431" s="4" t="s">
        <v>109</v>
      </c>
      <c r="H1431">
        <v>424</v>
      </c>
      <c r="I1431">
        <v>647</v>
      </c>
      <c r="J1431">
        <v>0</v>
      </c>
      <c r="K1431">
        <v>647</v>
      </c>
      <c r="L1431">
        <v>311601.46999999997</v>
      </c>
      <c r="M1431">
        <v>0</v>
      </c>
      <c r="N1431">
        <v>311601.46999999997</v>
      </c>
      <c r="O1431">
        <v>112880.6</v>
      </c>
      <c r="P1431">
        <v>198720.87</v>
      </c>
      <c r="Q1431">
        <v>0.63770000000000004</v>
      </c>
      <c r="R1431">
        <v>49</v>
      </c>
      <c r="S1431">
        <v>42363.27</v>
      </c>
      <c r="T1431">
        <v>0</v>
      </c>
      <c r="U1431">
        <v>734.91</v>
      </c>
    </row>
    <row r="1432" spans="1:21" x14ac:dyDescent="0.35">
      <c r="A1432">
        <v>2025</v>
      </c>
      <c r="B1432">
        <v>7</v>
      </c>
      <c r="C1432">
        <v>3</v>
      </c>
      <c r="D1432" s="1">
        <v>45839</v>
      </c>
      <c r="E1432" s="4" t="s">
        <v>36</v>
      </c>
      <c r="F1432" s="4" t="s">
        <v>24</v>
      </c>
      <c r="G1432" s="4" t="s">
        <v>107</v>
      </c>
      <c r="H1432">
        <v>15</v>
      </c>
      <c r="I1432">
        <v>18</v>
      </c>
      <c r="J1432">
        <v>0</v>
      </c>
      <c r="K1432">
        <v>18</v>
      </c>
      <c r="L1432">
        <v>23359.02</v>
      </c>
      <c r="M1432">
        <v>0</v>
      </c>
      <c r="N1432">
        <v>23359.02</v>
      </c>
      <c r="O1432">
        <v>12913.45</v>
      </c>
      <c r="P1432">
        <v>10445.57</v>
      </c>
      <c r="Q1432">
        <v>0.44719999999999999</v>
      </c>
      <c r="R1432">
        <v>1</v>
      </c>
      <c r="S1432">
        <v>737.02</v>
      </c>
      <c r="T1432">
        <v>0</v>
      </c>
      <c r="U1432">
        <v>1557.27</v>
      </c>
    </row>
    <row r="1433" spans="1:21" x14ac:dyDescent="0.35">
      <c r="A1433">
        <v>2025</v>
      </c>
      <c r="B1433">
        <v>7</v>
      </c>
      <c r="C1433">
        <v>3</v>
      </c>
      <c r="D1433" s="1">
        <v>45839</v>
      </c>
      <c r="E1433" s="4" t="s">
        <v>36</v>
      </c>
      <c r="F1433" s="4" t="s">
        <v>24</v>
      </c>
      <c r="G1433" s="4" t="s">
        <v>108</v>
      </c>
      <c r="H1433">
        <v>14</v>
      </c>
      <c r="I1433">
        <v>26</v>
      </c>
      <c r="J1433">
        <v>0</v>
      </c>
      <c r="K1433">
        <v>26</v>
      </c>
      <c r="L1433">
        <v>44474.559999999998</v>
      </c>
      <c r="M1433">
        <v>0</v>
      </c>
      <c r="N1433">
        <v>44474.559999999998</v>
      </c>
      <c r="O1433">
        <v>25229.599999999999</v>
      </c>
      <c r="P1433">
        <v>19244.96</v>
      </c>
      <c r="Q1433">
        <v>0.43269999999999997</v>
      </c>
      <c r="R1433">
        <v>2</v>
      </c>
      <c r="S1433">
        <v>3758.56</v>
      </c>
      <c r="T1433">
        <v>0</v>
      </c>
      <c r="U1433">
        <v>3176.75</v>
      </c>
    </row>
    <row r="1434" spans="1:21" x14ac:dyDescent="0.35">
      <c r="A1434">
        <v>2025</v>
      </c>
      <c r="B1434">
        <v>7</v>
      </c>
      <c r="C1434">
        <v>3</v>
      </c>
      <c r="D1434" s="1">
        <v>45839</v>
      </c>
      <c r="E1434" s="4" t="s">
        <v>36</v>
      </c>
      <c r="F1434" s="4" t="s">
        <v>24</v>
      </c>
      <c r="G1434" s="4" t="s">
        <v>109</v>
      </c>
      <c r="H1434">
        <v>73</v>
      </c>
      <c r="I1434">
        <v>109</v>
      </c>
      <c r="J1434">
        <v>5</v>
      </c>
      <c r="K1434">
        <v>104</v>
      </c>
      <c r="L1434">
        <v>175005.36</v>
      </c>
      <c r="M1434">
        <v>8537</v>
      </c>
      <c r="N1434">
        <v>166468.35999999999</v>
      </c>
      <c r="O1434">
        <v>93755.199999999997</v>
      </c>
      <c r="P1434">
        <v>72713.16</v>
      </c>
      <c r="Q1434">
        <v>0.43680000000000002</v>
      </c>
      <c r="R1434">
        <v>7</v>
      </c>
      <c r="S1434">
        <v>16318.36</v>
      </c>
      <c r="T1434">
        <v>0</v>
      </c>
      <c r="U1434">
        <v>2280.39</v>
      </c>
    </row>
    <row r="1435" spans="1:21" x14ac:dyDescent="0.35">
      <c r="A1435">
        <v>2025</v>
      </c>
      <c r="B1435">
        <v>7</v>
      </c>
      <c r="C1435">
        <v>3</v>
      </c>
      <c r="D1435" s="1">
        <v>45839</v>
      </c>
      <c r="E1435" s="4" t="s">
        <v>36</v>
      </c>
      <c r="F1435" s="4" t="s">
        <v>26</v>
      </c>
      <c r="G1435" s="4" t="s">
        <v>107</v>
      </c>
      <c r="H1435">
        <v>4</v>
      </c>
      <c r="I1435">
        <v>8</v>
      </c>
      <c r="J1435">
        <v>0</v>
      </c>
      <c r="K1435">
        <v>8</v>
      </c>
      <c r="L1435">
        <v>5616</v>
      </c>
      <c r="M1435">
        <v>0</v>
      </c>
      <c r="N1435">
        <v>5616</v>
      </c>
      <c r="O1435">
        <v>3369.6</v>
      </c>
      <c r="P1435">
        <v>2246.4</v>
      </c>
      <c r="Q1435">
        <v>0.4</v>
      </c>
      <c r="R1435">
        <v>0</v>
      </c>
      <c r="S1435">
        <v>0</v>
      </c>
      <c r="T1435">
        <v>0</v>
      </c>
      <c r="U1435">
        <v>1404</v>
      </c>
    </row>
    <row r="1436" spans="1:21" x14ac:dyDescent="0.35">
      <c r="A1436">
        <v>2025</v>
      </c>
      <c r="B1436">
        <v>7</v>
      </c>
      <c r="C1436">
        <v>3</v>
      </c>
      <c r="D1436" s="1">
        <v>45839</v>
      </c>
      <c r="E1436" s="4" t="s">
        <v>36</v>
      </c>
      <c r="F1436" s="4" t="s">
        <v>26</v>
      </c>
      <c r="G1436" s="4" t="s">
        <v>109</v>
      </c>
      <c r="H1436">
        <v>33</v>
      </c>
      <c r="I1436">
        <v>52</v>
      </c>
      <c r="J1436">
        <v>0</v>
      </c>
      <c r="K1436">
        <v>52</v>
      </c>
      <c r="L1436">
        <v>46701.55</v>
      </c>
      <c r="M1436">
        <v>0</v>
      </c>
      <c r="N1436">
        <v>46701.55</v>
      </c>
      <c r="O1436">
        <v>28642.2</v>
      </c>
      <c r="P1436">
        <v>18059.349999999999</v>
      </c>
      <c r="Q1436">
        <v>0.38669999999999999</v>
      </c>
      <c r="R1436">
        <v>3</v>
      </c>
      <c r="S1436">
        <v>4617.46</v>
      </c>
      <c r="T1436">
        <v>0</v>
      </c>
      <c r="U1436">
        <v>1415.2</v>
      </c>
    </row>
    <row r="1437" spans="1:21" x14ac:dyDescent="0.35">
      <c r="A1437">
        <v>2025</v>
      </c>
      <c r="B1437">
        <v>7</v>
      </c>
      <c r="C1437">
        <v>3</v>
      </c>
      <c r="D1437" s="1">
        <v>45839</v>
      </c>
      <c r="E1437" s="4" t="s">
        <v>23</v>
      </c>
      <c r="F1437" s="4" t="s">
        <v>28</v>
      </c>
      <c r="G1437" s="4" t="s">
        <v>107</v>
      </c>
      <c r="H1437">
        <v>77</v>
      </c>
      <c r="I1437">
        <v>111</v>
      </c>
      <c r="J1437">
        <v>0</v>
      </c>
      <c r="K1437">
        <v>111</v>
      </c>
      <c r="L1437">
        <v>36564.839999999997</v>
      </c>
      <c r="M1437">
        <v>0</v>
      </c>
      <c r="N1437">
        <v>36564.839999999997</v>
      </c>
      <c r="O1437">
        <v>13131.3</v>
      </c>
      <c r="P1437">
        <v>23433.54</v>
      </c>
      <c r="Q1437">
        <v>0.64090000000000003</v>
      </c>
      <c r="R1437">
        <v>6</v>
      </c>
      <c r="S1437">
        <v>3440.84</v>
      </c>
      <c r="T1437">
        <v>0</v>
      </c>
      <c r="U1437">
        <v>474.87</v>
      </c>
    </row>
    <row r="1438" spans="1:21" x14ac:dyDescent="0.35">
      <c r="A1438">
        <v>2025</v>
      </c>
      <c r="B1438">
        <v>7</v>
      </c>
      <c r="C1438">
        <v>3</v>
      </c>
      <c r="D1438" s="1">
        <v>45839</v>
      </c>
      <c r="E1438" s="4" t="s">
        <v>23</v>
      </c>
      <c r="F1438" s="4" t="s">
        <v>28</v>
      </c>
      <c r="G1438" s="4" t="s">
        <v>108</v>
      </c>
      <c r="H1438">
        <v>33</v>
      </c>
      <c r="I1438">
        <v>44</v>
      </c>
      <c r="J1438">
        <v>0</v>
      </c>
      <c r="K1438">
        <v>44</v>
      </c>
      <c r="L1438">
        <v>30932</v>
      </c>
      <c r="M1438">
        <v>0</v>
      </c>
      <c r="N1438">
        <v>30932</v>
      </c>
      <c r="O1438">
        <v>10826.2</v>
      </c>
      <c r="P1438">
        <v>20105.8</v>
      </c>
      <c r="Q1438">
        <v>0.65</v>
      </c>
      <c r="R1438">
        <v>0</v>
      </c>
      <c r="S1438">
        <v>0</v>
      </c>
      <c r="T1438">
        <v>0</v>
      </c>
      <c r="U1438">
        <v>937.33</v>
      </c>
    </row>
    <row r="1439" spans="1:21" x14ac:dyDescent="0.35">
      <c r="A1439">
        <v>2025</v>
      </c>
      <c r="B1439">
        <v>7</v>
      </c>
      <c r="C1439">
        <v>3</v>
      </c>
      <c r="D1439" s="1">
        <v>45839</v>
      </c>
      <c r="E1439" s="4" t="s">
        <v>23</v>
      </c>
      <c r="F1439" s="4" t="s">
        <v>28</v>
      </c>
      <c r="G1439" s="4" t="s">
        <v>109</v>
      </c>
      <c r="H1439">
        <v>405</v>
      </c>
      <c r="I1439">
        <v>628</v>
      </c>
      <c r="J1439">
        <v>0</v>
      </c>
      <c r="K1439">
        <v>628</v>
      </c>
      <c r="L1439">
        <v>279510.58</v>
      </c>
      <c r="M1439">
        <v>0</v>
      </c>
      <c r="N1439">
        <v>279510.58</v>
      </c>
      <c r="O1439">
        <v>101309.95</v>
      </c>
      <c r="P1439">
        <v>178200.63</v>
      </c>
      <c r="Q1439">
        <v>0.63749999999999996</v>
      </c>
      <c r="R1439">
        <v>47</v>
      </c>
      <c r="S1439">
        <v>37859.58</v>
      </c>
      <c r="T1439">
        <v>0</v>
      </c>
      <c r="U1439">
        <v>690.15</v>
      </c>
    </row>
    <row r="1440" spans="1:21" x14ac:dyDescent="0.35">
      <c r="A1440">
        <v>2025</v>
      </c>
      <c r="B1440">
        <v>7</v>
      </c>
      <c r="C1440">
        <v>3</v>
      </c>
      <c r="D1440" s="1">
        <v>45839</v>
      </c>
      <c r="E1440" s="4" t="s">
        <v>23</v>
      </c>
      <c r="F1440" s="4" t="s">
        <v>24</v>
      </c>
      <c r="G1440" s="4" t="s">
        <v>107</v>
      </c>
      <c r="H1440">
        <v>27</v>
      </c>
      <c r="I1440">
        <v>40</v>
      </c>
      <c r="J1440">
        <v>0</v>
      </c>
      <c r="K1440">
        <v>40</v>
      </c>
      <c r="L1440">
        <v>63296.33</v>
      </c>
      <c r="M1440">
        <v>0</v>
      </c>
      <c r="N1440">
        <v>63296.33</v>
      </c>
      <c r="O1440">
        <v>36071.199999999997</v>
      </c>
      <c r="P1440">
        <v>27225.13</v>
      </c>
      <c r="Q1440">
        <v>0.43009999999999998</v>
      </c>
      <c r="R1440">
        <v>4</v>
      </c>
      <c r="S1440">
        <v>6761.33</v>
      </c>
      <c r="T1440">
        <v>0</v>
      </c>
      <c r="U1440">
        <v>2344.31</v>
      </c>
    </row>
    <row r="1441" spans="1:21" x14ac:dyDescent="0.35">
      <c r="A1441">
        <v>2025</v>
      </c>
      <c r="B1441">
        <v>7</v>
      </c>
      <c r="C1441">
        <v>3</v>
      </c>
      <c r="D1441" s="1">
        <v>45839</v>
      </c>
      <c r="E1441" s="4" t="s">
        <v>23</v>
      </c>
      <c r="F1441" s="4" t="s">
        <v>24</v>
      </c>
      <c r="G1441" s="4" t="s">
        <v>109</v>
      </c>
      <c r="H1441">
        <v>85</v>
      </c>
      <c r="I1441">
        <v>119</v>
      </c>
      <c r="J1441">
        <v>1</v>
      </c>
      <c r="K1441">
        <v>118</v>
      </c>
      <c r="L1441">
        <v>132467.09</v>
      </c>
      <c r="M1441">
        <v>1283</v>
      </c>
      <c r="N1441">
        <v>131184.09</v>
      </c>
      <c r="O1441">
        <v>73998.649999999994</v>
      </c>
      <c r="P1441">
        <v>57185.440000000002</v>
      </c>
      <c r="Q1441">
        <v>0.43590000000000001</v>
      </c>
      <c r="R1441">
        <v>9</v>
      </c>
      <c r="S1441">
        <v>15874.09</v>
      </c>
      <c r="T1441">
        <v>0</v>
      </c>
      <c r="U1441">
        <v>1543.34</v>
      </c>
    </row>
    <row r="1442" spans="1:21" x14ac:dyDescent="0.35">
      <c r="A1442">
        <v>2025</v>
      </c>
      <c r="B1442">
        <v>7</v>
      </c>
      <c r="C1442">
        <v>3</v>
      </c>
      <c r="D1442" s="1">
        <v>45839</v>
      </c>
      <c r="E1442" s="4" t="s">
        <v>23</v>
      </c>
      <c r="F1442" s="4" t="s">
        <v>26</v>
      </c>
      <c r="G1442" s="4" t="s">
        <v>107</v>
      </c>
      <c r="H1442">
        <v>7</v>
      </c>
      <c r="I1442">
        <v>8</v>
      </c>
      <c r="J1442">
        <v>0</v>
      </c>
      <c r="K1442">
        <v>8</v>
      </c>
      <c r="L1442">
        <v>4452</v>
      </c>
      <c r="M1442">
        <v>0</v>
      </c>
      <c r="N1442">
        <v>4452</v>
      </c>
      <c r="O1442">
        <v>2671.2</v>
      </c>
      <c r="P1442">
        <v>1780.8</v>
      </c>
      <c r="Q1442">
        <v>0.4</v>
      </c>
      <c r="R1442">
        <v>0</v>
      </c>
      <c r="S1442">
        <v>0</v>
      </c>
      <c r="T1442">
        <v>0</v>
      </c>
      <c r="U1442">
        <v>636</v>
      </c>
    </row>
    <row r="1443" spans="1:21" x14ac:dyDescent="0.35">
      <c r="A1443">
        <v>2025</v>
      </c>
      <c r="B1443">
        <v>7</v>
      </c>
      <c r="C1443">
        <v>3</v>
      </c>
      <c r="D1443" s="1">
        <v>45839</v>
      </c>
      <c r="E1443" s="4" t="s">
        <v>23</v>
      </c>
      <c r="F1443" s="4" t="s">
        <v>26</v>
      </c>
      <c r="G1443" s="4" t="s">
        <v>109</v>
      </c>
      <c r="H1443">
        <v>26</v>
      </c>
      <c r="I1443">
        <v>32</v>
      </c>
      <c r="J1443">
        <v>0</v>
      </c>
      <c r="K1443">
        <v>32</v>
      </c>
      <c r="L1443">
        <v>19783.38</v>
      </c>
      <c r="M1443">
        <v>0</v>
      </c>
      <c r="N1443">
        <v>19783.38</v>
      </c>
      <c r="O1443">
        <v>12195.6</v>
      </c>
      <c r="P1443">
        <v>7587.78</v>
      </c>
      <c r="Q1443">
        <v>0.38350000000000001</v>
      </c>
      <c r="R1443">
        <v>3</v>
      </c>
      <c r="S1443">
        <v>1705.38</v>
      </c>
      <c r="T1443">
        <v>0</v>
      </c>
      <c r="U1443">
        <v>760.9</v>
      </c>
    </row>
    <row r="1444" spans="1:21" x14ac:dyDescent="0.35">
      <c r="A1444">
        <v>2025</v>
      </c>
      <c r="B1444">
        <v>7</v>
      </c>
      <c r="C1444">
        <v>3</v>
      </c>
      <c r="D1444" s="1">
        <v>45839</v>
      </c>
      <c r="E1444" s="4" t="s">
        <v>25</v>
      </c>
      <c r="F1444" s="4" t="s">
        <v>28</v>
      </c>
      <c r="G1444" s="4" t="s">
        <v>107</v>
      </c>
      <c r="H1444">
        <v>19</v>
      </c>
      <c r="I1444">
        <v>24</v>
      </c>
      <c r="J1444">
        <v>0</v>
      </c>
      <c r="K1444">
        <v>24</v>
      </c>
      <c r="L1444">
        <v>11928</v>
      </c>
      <c r="M1444">
        <v>0</v>
      </c>
      <c r="N1444">
        <v>11928</v>
      </c>
      <c r="O1444">
        <v>4174.8</v>
      </c>
      <c r="P1444">
        <v>7753.2</v>
      </c>
      <c r="Q1444">
        <v>0.65</v>
      </c>
      <c r="R1444">
        <v>0</v>
      </c>
      <c r="S1444">
        <v>0</v>
      </c>
      <c r="T1444">
        <v>0</v>
      </c>
      <c r="U1444">
        <v>627.79</v>
      </c>
    </row>
    <row r="1445" spans="1:21" x14ac:dyDescent="0.35">
      <c r="A1445">
        <v>2025</v>
      </c>
      <c r="B1445">
        <v>7</v>
      </c>
      <c r="C1445">
        <v>3</v>
      </c>
      <c r="D1445" s="1">
        <v>45839</v>
      </c>
      <c r="E1445" s="4" t="s">
        <v>25</v>
      </c>
      <c r="F1445" s="4" t="s">
        <v>28</v>
      </c>
      <c r="G1445" s="4" t="s">
        <v>109</v>
      </c>
      <c r="H1445">
        <v>399</v>
      </c>
      <c r="I1445">
        <v>613</v>
      </c>
      <c r="J1445">
        <v>0</v>
      </c>
      <c r="K1445">
        <v>613</v>
      </c>
      <c r="L1445">
        <v>320874.52</v>
      </c>
      <c r="M1445">
        <v>0</v>
      </c>
      <c r="N1445">
        <v>320874.52</v>
      </c>
      <c r="O1445">
        <v>116818.8</v>
      </c>
      <c r="P1445">
        <v>204055.72</v>
      </c>
      <c r="Q1445">
        <v>0.63590000000000002</v>
      </c>
      <c r="R1445">
        <v>53</v>
      </c>
      <c r="S1445">
        <v>54356.17</v>
      </c>
      <c r="T1445">
        <v>0</v>
      </c>
      <c r="U1445">
        <v>804.2</v>
      </c>
    </row>
    <row r="1446" spans="1:21" x14ac:dyDescent="0.35">
      <c r="A1446">
        <v>2025</v>
      </c>
      <c r="B1446">
        <v>7</v>
      </c>
      <c r="C1446">
        <v>3</v>
      </c>
      <c r="D1446" s="1">
        <v>45839</v>
      </c>
      <c r="E1446" s="4" t="s">
        <v>25</v>
      </c>
      <c r="F1446" s="4" t="s">
        <v>24</v>
      </c>
      <c r="G1446" s="4" t="s">
        <v>107</v>
      </c>
      <c r="H1446">
        <v>20</v>
      </c>
      <c r="I1446">
        <v>29</v>
      </c>
      <c r="J1446">
        <v>1</v>
      </c>
      <c r="K1446">
        <v>28</v>
      </c>
      <c r="L1446">
        <v>52851.08</v>
      </c>
      <c r="M1446">
        <v>2078</v>
      </c>
      <c r="N1446">
        <v>50773.08</v>
      </c>
      <c r="O1446">
        <v>28629.15</v>
      </c>
      <c r="P1446">
        <v>22143.93</v>
      </c>
      <c r="Q1446">
        <v>0.43609999999999999</v>
      </c>
      <c r="R1446">
        <v>3</v>
      </c>
      <c r="S1446">
        <v>5307.08</v>
      </c>
      <c r="T1446">
        <v>0</v>
      </c>
      <c r="U1446">
        <v>2538.65</v>
      </c>
    </row>
    <row r="1447" spans="1:21" x14ac:dyDescent="0.35">
      <c r="A1447">
        <v>2025</v>
      </c>
      <c r="B1447">
        <v>7</v>
      </c>
      <c r="C1447">
        <v>3</v>
      </c>
      <c r="D1447" s="1">
        <v>45839</v>
      </c>
      <c r="E1447" s="4" t="s">
        <v>25</v>
      </c>
      <c r="F1447" s="4" t="s">
        <v>24</v>
      </c>
      <c r="G1447" s="4" t="s">
        <v>109</v>
      </c>
      <c r="H1447">
        <v>133</v>
      </c>
      <c r="I1447">
        <v>202</v>
      </c>
      <c r="J1447">
        <v>5</v>
      </c>
      <c r="K1447">
        <v>197</v>
      </c>
      <c r="L1447">
        <v>323560.63</v>
      </c>
      <c r="M1447">
        <v>9998</v>
      </c>
      <c r="N1447">
        <v>313562.63</v>
      </c>
      <c r="O1447">
        <v>182633</v>
      </c>
      <c r="P1447">
        <v>130929.63</v>
      </c>
      <c r="Q1447">
        <v>0.41760000000000003</v>
      </c>
      <c r="R1447">
        <v>20</v>
      </c>
      <c r="S1447">
        <v>68986.63</v>
      </c>
      <c r="T1447">
        <v>0</v>
      </c>
      <c r="U1447">
        <v>2357.61</v>
      </c>
    </row>
    <row r="1448" spans="1:21" x14ac:dyDescent="0.35">
      <c r="A1448">
        <v>2025</v>
      </c>
      <c r="B1448">
        <v>7</v>
      </c>
      <c r="C1448">
        <v>3</v>
      </c>
      <c r="D1448" s="1">
        <v>45839</v>
      </c>
      <c r="E1448" s="4" t="s">
        <v>25</v>
      </c>
      <c r="F1448" s="4" t="s">
        <v>26</v>
      </c>
      <c r="G1448" s="4" t="s">
        <v>107</v>
      </c>
      <c r="H1448">
        <v>8</v>
      </c>
      <c r="I1448">
        <v>12</v>
      </c>
      <c r="J1448">
        <v>0</v>
      </c>
      <c r="K1448">
        <v>12</v>
      </c>
      <c r="L1448">
        <v>11938</v>
      </c>
      <c r="M1448">
        <v>0</v>
      </c>
      <c r="N1448">
        <v>11938</v>
      </c>
      <c r="O1448">
        <v>7162.8</v>
      </c>
      <c r="P1448">
        <v>4775.2</v>
      </c>
      <c r="Q1448">
        <v>0.4</v>
      </c>
      <c r="R1448">
        <v>0</v>
      </c>
      <c r="S1448">
        <v>0</v>
      </c>
      <c r="T1448">
        <v>0</v>
      </c>
      <c r="U1448">
        <v>1492.25</v>
      </c>
    </row>
    <row r="1449" spans="1:21" x14ac:dyDescent="0.35">
      <c r="A1449">
        <v>2025</v>
      </c>
      <c r="B1449">
        <v>7</v>
      </c>
      <c r="C1449">
        <v>3</v>
      </c>
      <c r="D1449" s="1">
        <v>45839</v>
      </c>
      <c r="E1449" s="4" t="s">
        <v>25</v>
      </c>
      <c r="F1449" s="4" t="s">
        <v>26</v>
      </c>
      <c r="G1449" s="4" t="s">
        <v>109</v>
      </c>
      <c r="H1449">
        <v>20</v>
      </c>
      <c r="I1449">
        <v>34</v>
      </c>
      <c r="J1449">
        <v>0</v>
      </c>
      <c r="K1449">
        <v>34</v>
      </c>
      <c r="L1449">
        <v>23983.78</v>
      </c>
      <c r="M1449">
        <v>0</v>
      </c>
      <c r="N1449">
        <v>23983.78</v>
      </c>
      <c r="O1449">
        <v>14893.8</v>
      </c>
      <c r="P1449">
        <v>9089.98</v>
      </c>
      <c r="Q1449">
        <v>0.379</v>
      </c>
      <c r="R1449">
        <v>2</v>
      </c>
      <c r="S1449">
        <v>4482.78</v>
      </c>
      <c r="T1449">
        <v>0</v>
      </c>
      <c r="U1449">
        <v>1199.19</v>
      </c>
    </row>
    <row r="1450" spans="1:21" x14ac:dyDescent="0.35">
      <c r="A1450">
        <v>2025</v>
      </c>
      <c r="B1450">
        <v>7</v>
      </c>
      <c r="C1450">
        <v>3</v>
      </c>
      <c r="D1450" s="1">
        <v>45839</v>
      </c>
      <c r="E1450" s="4" t="s">
        <v>29</v>
      </c>
      <c r="F1450" s="4" t="s">
        <v>28</v>
      </c>
      <c r="G1450" s="4" t="s">
        <v>107</v>
      </c>
      <c r="H1450">
        <v>122</v>
      </c>
      <c r="I1450">
        <v>184</v>
      </c>
      <c r="J1450">
        <v>0</v>
      </c>
      <c r="K1450">
        <v>184</v>
      </c>
      <c r="L1450">
        <v>84326.16</v>
      </c>
      <c r="M1450">
        <v>0</v>
      </c>
      <c r="N1450">
        <v>84326.16</v>
      </c>
      <c r="O1450">
        <v>30139.200000000001</v>
      </c>
      <c r="P1450">
        <v>54186.96</v>
      </c>
      <c r="Q1450">
        <v>0.64259999999999995</v>
      </c>
      <c r="R1450">
        <v>11</v>
      </c>
      <c r="S1450">
        <v>9434.16</v>
      </c>
      <c r="T1450">
        <v>0</v>
      </c>
      <c r="U1450">
        <v>691.2</v>
      </c>
    </row>
    <row r="1451" spans="1:21" x14ac:dyDescent="0.35">
      <c r="A1451">
        <v>2025</v>
      </c>
      <c r="B1451">
        <v>7</v>
      </c>
      <c r="C1451">
        <v>3</v>
      </c>
      <c r="D1451" s="1">
        <v>45839</v>
      </c>
      <c r="E1451" s="4" t="s">
        <v>29</v>
      </c>
      <c r="F1451" s="4" t="s">
        <v>28</v>
      </c>
      <c r="G1451" s="4" t="s">
        <v>108</v>
      </c>
      <c r="H1451">
        <v>17</v>
      </c>
      <c r="I1451">
        <v>28</v>
      </c>
      <c r="J1451">
        <v>0</v>
      </c>
      <c r="K1451">
        <v>28</v>
      </c>
      <c r="L1451">
        <v>16665.28</v>
      </c>
      <c r="M1451">
        <v>0</v>
      </c>
      <c r="N1451">
        <v>16665.28</v>
      </c>
      <c r="O1451">
        <v>5958.4</v>
      </c>
      <c r="P1451">
        <v>10706.88</v>
      </c>
      <c r="Q1451">
        <v>0.64249999999999996</v>
      </c>
      <c r="R1451">
        <v>2</v>
      </c>
      <c r="S1451">
        <v>1465.28</v>
      </c>
      <c r="T1451">
        <v>0</v>
      </c>
      <c r="U1451">
        <v>980.31</v>
      </c>
    </row>
    <row r="1452" spans="1:21" x14ac:dyDescent="0.35">
      <c r="A1452">
        <v>2025</v>
      </c>
      <c r="B1452">
        <v>7</v>
      </c>
      <c r="C1452">
        <v>3</v>
      </c>
      <c r="D1452" s="1">
        <v>45839</v>
      </c>
      <c r="E1452" s="4" t="s">
        <v>29</v>
      </c>
      <c r="F1452" s="4" t="s">
        <v>28</v>
      </c>
      <c r="G1452" s="4" t="s">
        <v>109</v>
      </c>
      <c r="H1452">
        <v>511</v>
      </c>
      <c r="I1452">
        <v>772</v>
      </c>
      <c r="J1452">
        <v>0</v>
      </c>
      <c r="K1452">
        <v>772</v>
      </c>
      <c r="L1452">
        <v>362065.65</v>
      </c>
      <c r="M1452">
        <v>0</v>
      </c>
      <c r="N1452">
        <v>362065.65</v>
      </c>
      <c r="O1452">
        <v>131342.04999999999</v>
      </c>
      <c r="P1452">
        <v>230723.6</v>
      </c>
      <c r="Q1452">
        <v>0.63719999999999999</v>
      </c>
      <c r="R1452">
        <v>64</v>
      </c>
      <c r="S1452">
        <v>52253.65</v>
      </c>
      <c r="T1452">
        <v>0</v>
      </c>
      <c r="U1452">
        <v>708.54</v>
      </c>
    </row>
    <row r="1453" spans="1:21" x14ac:dyDescent="0.35">
      <c r="A1453">
        <v>2025</v>
      </c>
      <c r="B1453">
        <v>7</v>
      </c>
      <c r="C1453">
        <v>3</v>
      </c>
      <c r="D1453" s="1">
        <v>45839</v>
      </c>
      <c r="E1453" s="4" t="s">
        <v>29</v>
      </c>
      <c r="F1453" s="4" t="s">
        <v>24</v>
      </c>
      <c r="G1453" s="4" t="s">
        <v>107</v>
      </c>
      <c r="H1453">
        <v>5</v>
      </c>
      <c r="I1453">
        <v>6</v>
      </c>
      <c r="J1453">
        <v>0</v>
      </c>
      <c r="K1453">
        <v>6</v>
      </c>
      <c r="L1453">
        <v>5184</v>
      </c>
      <c r="M1453">
        <v>0</v>
      </c>
      <c r="N1453">
        <v>5184</v>
      </c>
      <c r="O1453">
        <v>2851.2</v>
      </c>
      <c r="P1453">
        <v>2332.8000000000002</v>
      </c>
      <c r="Q1453">
        <v>0.45</v>
      </c>
      <c r="R1453">
        <v>0</v>
      </c>
      <c r="S1453">
        <v>0</v>
      </c>
      <c r="T1453">
        <v>0</v>
      </c>
      <c r="U1453">
        <v>1036.8</v>
      </c>
    </row>
    <row r="1454" spans="1:21" x14ac:dyDescent="0.35">
      <c r="A1454">
        <v>2025</v>
      </c>
      <c r="B1454">
        <v>7</v>
      </c>
      <c r="C1454">
        <v>3</v>
      </c>
      <c r="D1454" s="1">
        <v>45839</v>
      </c>
      <c r="E1454" s="4" t="s">
        <v>29</v>
      </c>
      <c r="F1454" s="4" t="s">
        <v>24</v>
      </c>
      <c r="G1454" s="4" t="s">
        <v>108</v>
      </c>
      <c r="H1454">
        <v>9</v>
      </c>
      <c r="I1454">
        <v>16</v>
      </c>
      <c r="J1454">
        <v>0</v>
      </c>
      <c r="K1454">
        <v>16</v>
      </c>
      <c r="L1454">
        <v>11872</v>
      </c>
      <c r="M1454">
        <v>0</v>
      </c>
      <c r="N1454">
        <v>11872</v>
      </c>
      <c r="O1454">
        <v>6529.6</v>
      </c>
      <c r="P1454">
        <v>5342.4</v>
      </c>
      <c r="Q1454">
        <v>0.45</v>
      </c>
      <c r="R1454">
        <v>0</v>
      </c>
      <c r="S1454">
        <v>0</v>
      </c>
      <c r="T1454">
        <v>0</v>
      </c>
      <c r="U1454">
        <v>1319.11</v>
      </c>
    </row>
    <row r="1455" spans="1:21" x14ac:dyDescent="0.35">
      <c r="A1455">
        <v>2025</v>
      </c>
      <c r="B1455">
        <v>7</v>
      </c>
      <c r="C1455">
        <v>3</v>
      </c>
      <c r="D1455" s="1">
        <v>45839</v>
      </c>
      <c r="E1455" s="4" t="s">
        <v>29</v>
      </c>
      <c r="F1455" s="4" t="s">
        <v>24</v>
      </c>
      <c r="G1455" s="4" t="s">
        <v>109</v>
      </c>
      <c r="H1455">
        <v>113</v>
      </c>
      <c r="I1455">
        <v>166</v>
      </c>
      <c r="J1455">
        <v>7</v>
      </c>
      <c r="K1455">
        <v>159</v>
      </c>
      <c r="L1455">
        <v>296406.90999999997</v>
      </c>
      <c r="M1455">
        <v>6570.88</v>
      </c>
      <c r="N1455">
        <v>289836.03000000003</v>
      </c>
      <c r="O1455">
        <v>161546</v>
      </c>
      <c r="P1455">
        <v>128290.03</v>
      </c>
      <c r="Q1455">
        <v>0.44259999999999999</v>
      </c>
      <c r="R1455">
        <v>9</v>
      </c>
      <c r="S1455">
        <v>19340.03</v>
      </c>
      <c r="T1455">
        <v>0</v>
      </c>
      <c r="U1455">
        <v>2564.92</v>
      </c>
    </row>
    <row r="1456" spans="1:21" x14ac:dyDescent="0.35">
      <c r="A1456">
        <v>2025</v>
      </c>
      <c r="B1456">
        <v>7</v>
      </c>
      <c r="C1456">
        <v>3</v>
      </c>
      <c r="D1456" s="1">
        <v>45839</v>
      </c>
      <c r="E1456" s="4" t="s">
        <v>29</v>
      </c>
      <c r="F1456" s="4" t="s">
        <v>26</v>
      </c>
      <c r="G1456" s="4" t="s">
        <v>107</v>
      </c>
      <c r="H1456">
        <v>12</v>
      </c>
      <c r="I1456">
        <v>22</v>
      </c>
      <c r="J1456">
        <v>1</v>
      </c>
      <c r="K1456">
        <v>21</v>
      </c>
      <c r="L1456">
        <v>16555.41</v>
      </c>
      <c r="M1456">
        <v>1044</v>
      </c>
      <c r="N1456">
        <v>15511.41</v>
      </c>
      <c r="O1456">
        <v>9924.6</v>
      </c>
      <c r="P1456">
        <v>5586.81</v>
      </c>
      <c r="Q1456">
        <v>0.36020000000000002</v>
      </c>
      <c r="R1456">
        <v>2</v>
      </c>
      <c r="S1456">
        <v>2649.41</v>
      </c>
      <c r="T1456">
        <v>0</v>
      </c>
      <c r="U1456">
        <v>1292.6199999999999</v>
      </c>
    </row>
    <row r="1457" spans="1:21" x14ac:dyDescent="0.35">
      <c r="A1457">
        <v>2025</v>
      </c>
      <c r="B1457">
        <v>7</v>
      </c>
      <c r="C1457">
        <v>3</v>
      </c>
      <c r="D1457" s="1">
        <v>45839</v>
      </c>
      <c r="E1457" s="4" t="s">
        <v>29</v>
      </c>
      <c r="F1457" s="4" t="s">
        <v>26</v>
      </c>
      <c r="G1457" s="4" t="s">
        <v>108</v>
      </c>
      <c r="H1457">
        <v>1</v>
      </c>
      <c r="I1457">
        <v>3</v>
      </c>
      <c r="J1457">
        <v>0</v>
      </c>
      <c r="K1457">
        <v>3</v>
      </c>
      <c r="L1457">
        <v>2268</v>
      </c>
      <c r="M1457">
        <v>0</v>
      </c>
      <c r="N1457">
        <v>2268</v>
      </c>
      <c r="O1457">
        <v>1360.8</v>
      </c>
      <c r="P1457">
        <v>907.2</v>
      </c>
      <c r="Q1457">
        <v>0.4</v>
      </c>
      <c r="R1457">
        <v>0</v>
      </c>
      <c r="S1457">
        <v>0</v>
      </c>
      <c r="T1457">
        <v>0</v>
      </c>
      <c r="U1457">
        <v>2268</v>
      </c>
    </row>
    <row r="1458" spans="1:21" x14ac:dyDescent="0.35">
      <c r="A1458">
        <v>2025</v>
      </c>
      <c r="B1458">
        <v>7</v>
      </c>
      <c r="C1458">
        <v>3</v>
      </c>
      <c r="D1458" s="1">
        <v>45839</v>
      </c>
      <c r="E1458" s="4" t="s">
        <v>29</v>
      </c>
      <c r="F1458" s="4" t="s">
        <v>26</v>
      </c>
      <c r="G1458" s="4" t="s">
        <v>109</v>
      </c>
      <c r="H1458">
        <v>23</v>
      </c>
      <c r="I1458">
        <v>40</v>
      </c>
      <c r="J1458">
        <v>4</v>
      </c>
      <c r="K1458">
        <v>36</v>
      </c>
      <c r="L1458">
        <v>37237.5</v>
      </c>
      <c r="M1458">
        <v>1313.76</v>
      </c>
      <c r="N1458">
        <v>35923.74</v>
      </c>
      <c r="O1458">
        <v>21729</v>
      </c>
      <c r="P1458">
        <v>14194.74</v>
      </c>
      <c r="Q1458">
        <v>0.39510000000000001</v>
      </c>
      <c r="R1458">
        <v>3</v>
      </c>
      <c r="S1458">
        <v>1931.74</v>
      </c>
      <c r="T1458">
        <v>0</v>
      </c>
      <c r="U1458">
        <v>1561.9</v>
      </c>
    </row>
    <row r="1459" spans="1:21" x14ac:dyDescent="0.35">
      <c r="A1459">
        <v>2025</v>
      </c>
      <c r="B1459">
        <v>7</v>
      </c>
      <c r="C1459">
        <v>3</v>
      </c>
      <c r="D1459" s="1">
        <v>45839</v>
      </c>
      <c r="E1459" s="4" t="s">
        <v>31</v>
      </c>
      <c r="F1459" s="4" t="s">
        <v>28</v>
      </c>
      <c r="G1459" s="4" t="s">
        <v>107</v>
      </c>
      <c r="H1459">
        <v>51</v>
      </c>
      <c r="I1459">
        <v>79</v>
      </c>
      <c r="J1459">
        <v>0</v>
      </c>
      <c r="K1459">
        <v>79</v>
      </c>
      <c r="L1459">
        <v>30016.2</v>
      </c>
      <c r="M1459">
        <v>0</v>
      </c>
      <c r="N1459">
        <v>30016.2</v>
      </c>
      <c r="O1459">
        <v>10885.35</v>
      </c>
      <c r="P1459">
        <v>19130.849999999999</v>
      </c>
      <c r="Q1459">
        <v>0.63739999999999997</v>
      </c>
      <c r="R1459">
        <v>6</v>
      </c>
      <c r="S1459">
        <v>3602.2</v>
      </c>
      <c r="T1459">
        <v>0</v>
      </c>
      <c r="U1459">
        <v>588.54999999999995</v>
      </c>
    </row>
    <row r="1460" spans="1:21" x14ac:dyDescent="0.35">
      <c r="A1460">
        <v>2025</v>
      </c>
      <c r="B1460">
        <v>7</v>
      </c>
      <c r="C1460">
        <v>3</v>
      </c>
      <c r="D1460" s="1">
        <v>45839</v>
      </c>
      <c r="E1460" s="4" t="s">
        <v>31</v>
      </c>
      <c r="F1460" s="4" t="s">
        <v>28</v>
      </c>
      <c r="G1460" s="4" t="s">
        <v>108</v>
      </c>
      <c r="H1460">
        <v>151</v>
      </c>
      <c r="I1460">
        <v>225</v>
      </c>
      <c r="J1460">
        <v>0</v>
      </c>
      <c r="K1460">
        <v>225</v>
      </c>
      <c r="L1460">
        <v>88332.93</v>
      </c>
      <c r="M1460">
        <v>0</v>
      </c>
      <c r="N1460">
        <v>88332.93</v>
      </c>
      <c r="O1460">
        <v>31507</v>
      </c>
      <c r="P1460">
        <v>56825.93</v>
      </c>
      <c r="Q1460">
        <v>0.64329999999999998</v>
      </c>
      <c r="R1460">
        <v>11</v>
      </c>
      <c r="S1460">
        <v>8283.93</v>
      </c>
      <c r="T1460">
        <v>0</v>
      </c>
      <c r="U1460">
        <v>584.99</v>
      </c>
    </row>
    <row r="1461" spans="1:21" x14ac:dyDescent="0.35">
      <c r="A1461">
        <v>2025</v>
      </c>
      <c r="B1461">
        <v>7</v>
      </c>
      <c r="C1461">
        <v>3</v>
      </c>
      <c r="D1461" s="1">
        <v>45839</v>
      </c>
      <c r="E1461" s="4" t="s">
        <v>31</v>
      </c>
      <c r="F1461" s="4" t="s">
        <v>28</v>
      </c>
      <c r="G1461" s="4" t="s">
        <v>109</v>
      </c>
      <c r="H1461">
        <v>591</v>
      </c>
      <c r="I1461">
        <v>920</v>
      </c>
      <c r="J1461">
        <v>0</v>
      </c>
      <c r="K1461">
        <v>920</v>
      </c>
      <c r="L1461">
        <v>470858.23</v>
      </c>
      <c r="M1461">
        <v>0</v>
      </c>
      <c r="N1461">
        <v>470858.23</v>
      </c>
      <c r="O1461">
        <v>172536.35</v>
      </c>
      <c r="P1461">
        <v>298321.88</v>
      </c>
      <c r="Q1461">
        <v>0.63360000000000005</v>
      </c>
      <c r="R1461">
        <v>88</v>
      </c>
      <c r="S1461">
        <v>92226.23</v>
      </c>
      <c r="T1461">
        <v>0</v>
      </c>
      <c r="U1461">
        <v>796.71</v>
      </c>
    </row>
    <row r="1462" spans="1:21" x14ac:dyDescent="0.35">
      <c r="A1462">
        <v>2025</v>
      </c>
      <c r="B1462">
        <v>7</v>
      </c>
      <c r="C1462">
        <v>3</v>
      </c>
      <c r="D1462" s="1">
        <v>45839</v>
      </c>
      <c r="E1462" s="4" t="s">
        <v>31</v>
      </c>
      <c r="F1462" s="4" t="s">
        <v>24</v>
      </c>
      <c r="G1462" s="4" t="s">
        <v>107</v>
      </c>
      <c r="H1462">
        <v>5</v>
      </c>
      <c r="I1462">
        <v>8</v>
      </c>
      <c r="J1462">
        <v>1</v>
      </c>
      <c r="K1462">
        <v>7</v>
      </c>
      <c r="L1462">
        <v>14081.8</v>
      </c>
      <c r="M1462">
        <v>1683.3</v>
      </c>
      <c r="N1462">
        <v>12398.5</v>
      </c>
      <c r="O1462">
        <v>6968.5</v>
      </c>
      <c r="P1462">
        <v>5430</v>
      </c>
      <c r="Q1462">
        <v>0.438</v>
      </c>
      <c r="R1462">
        <v>2</v>
      </c>
      <c r="S1462">
        <v>1538.5</v>
      </c>
      <c r="T1462">
        <v>0</v>
      </c>
      <c r="U1462">
        <v>2479.6999999999998</v>
      </c>
    </row>
    <row r="1463" spans="1:21" x14ac:dyDescent="0.35">
      <c r="A1463">
        <v>2025</v>
      </c>
      <c r="B1463">
        <v>7</v>
      </c>
      <c r="C1463">
        <v>3</v>
      </c>
      <c r="D1463" s="1">
        <v>45839</v>
      </c>
      <c r="E1463" s="4" t="s">
        <v>31</v>
      </c>
      <c r="F1463" s="4" t="s">
        <v>24</v>
      </c>
      <c r="G1463" s="4" t="s">
        <v>109</v>
      </c>
      <c r="H1463">
        <v>164</v>
      </c>
      <c r="I1463">
        <v>243</v>
      </c>
      <c r="J1463">
        <v>14</v>
      </c>
      <c r="K1463">
        <v>229</v>
      </c>
      <c r="L1463">
        <v>338960.67</v>
      </c>
      <c r="M1463">
        <v>14591.14</v>
      </c>
      <c r="N1463">
        <v>324369.53000000003</v>
      </c>
      <c r="O1463">
        <v>185943.45</v>
      </c>
      <c r="P1463">
        <v>138426.07999999999</v>
      </c>
      <c r="Q1463">
        <v>0.42680000000000001</v>
      </c>
      <c r="R1463">
        <v>23</v>
      </c>
      <c r="S1463">
        <v>52852.53</v>
      </c>
      <c r="T1463">
        <v>0</v>
      </c>
      <c r="U1463">
        <v>1977.86</v>
      </c>
    </row>
    <row r="1464" spans="1:21" x14ac:dyDescent="0.35">
      <c r="A1464">
        <v>2025</v>
      </c>
      <c r="B1464">
        <v>7</v>
      </c>
      <c r="C1464">
        <v>3</v>
      </c>
      <c r="D1464" s="1">
        <v>45839</v>
      </c>
      <c r="E1464" s="4" t="s">
        <v>31</v>
      </c>
      <c r="F1464" s="4" t="s">
        <v>26</v>
      </c>
      <c r="G1464" s="4" t="s">
        <v>107</v>
      </c>
      <c r="H1464">
        <v>3</v>
      </c>
      <c r="I1464">
        <v>5</v>
      </c>
      <c r="J1464">
        <v>0</v>
      </c>
      <c r="K1464">
        <v>5</v>
      </c>
      <c r="L1464">
        <v>1978.82</v>
      </c>
      <c r="M1464">
        <v>0</v>
      </c>
      <c r="N1464">
        <v>1978.82</v>
      </c>
      <c r="O1464">
        <v>1455.6</v>
      </c>
      <c r="P1464">
        <v>523.22</v>
      </c>
      <c r="Q1464">
        <v>0.26440000000000002</v>
      </c>
      <c r="R1464">
        <v>1</v>
      </c>
      <c r="S1464">
        <v>1094.82</v>
      </c>
      <c r="T1464">
        <v>0</v>
      </c>
      <c r="U1464">
        <v>659.61</v>
      </c>
    </row>
    <row r="1465" spans="1:21" x14ac:dyDescent="0.35">
      <c r="A1465">
        <v>2025</v>
      </c>
      <c r="B1465">
        <v>7</v>
      </c>
      <c r="C1465">
        <v>3</v>
      </c>
      <c r="D1465" s="1">
        <v>45839</v>
      </c>
      <c r="E1465" s="4" t="s">
        <v>31</v>
      </c>
      <c r="F1465" s="4" t="s">
        <v>26</v>
      </c>
      <c r="G1465" s="4" t="s">
        <v>109</v>
      </c>
      <c r="H1465">
        <v>24</v>
      </c>
      <c r="I1465">
        <v>29</v>
      </c>
      <c r="J1465">
        <v>1</v>
      </c>
      <c r="K1465">
        <v>28</v>
      </c>
      <c r="L1465">
        <v>24374.06</v>
      </c>
      <c r="M1465">
        <v>469</v>
      </c>
      <c r="N1465">
        <v>23905.06</v>
      </c>
      <c r="O1465">
        <v>15372.6</v>
      </c>
      <c r="P1465">
        <v>8532.4599999999991</v>
      </c>
      <c r="Q1465">
        <v>0.3569</v>
      </c>
      <c r="R1465">
        <v>3</v>
      </c>
      <c r="S1465">
        <v>4680.0600000000004</v>
      </c>
      <c r="T1465">
        <v>0</v>
      </c>
      <c r="U1465">
        <v>996.04</v>
      </c>
    </row>
    <row r="1466" spans="1:21" x14ac:dyDescent="0.35">
      <c r="A1466">
        <v>2025</v>
      </c>
      <c r="B1466">
        <v>7</v>
      </c>
      <c r="C1466">
        <v>3</v>
      </c>
      <c r="D1466" s="1">
        <v>45839</v>
      </c>
      <c r="E1466" s="4" t="s">
        <v>30</v>
      </c>
      <c r="F1466" s="4" t="s">
        <v>28</v>
      </c>
      <c r="G1466" s="4" t="s">
        <v>107</v>
      </c>
      <c r="H1466">
        <v>71</v>
      </c>
      <c r="I1466">
        <v>113</v>
      </c>
      <c r="J1466">
        <v>0</v>
      </c>
      <c r="K1466">
        <v>113</v>
      </c>
      <c r="L1466">
        <v>50011.39</v>
      </c>
      <c r="M1466">
        <v>0</v>
      </c>
      <c r="N1466">
        <v>50011.39</v>
      </c>
      <c r="O1466">
        <v>17837.05</v>
      </c>
      <c r="P1466">
        <v>32174.34</v>
      </c>
      <c r="Q1466">
        <v>0.64329999999999998</v>
      </c>
      <c r="R1466">
        <v>7</v>
      </c>
      <c r="S1466">
        <v>5813.39</v>
      </c>
      <c r="T1466">
        <v>0</v>
      </c>
      <c r="U1466">
        <v>704.39</v>
      </c>
    </row>
    <row r="1467" spans="1:21" x14ac:dyDescent="0.35">
      <c r="A1467">
        <v>2025</v>
      </c>
      <c r="B1467">
        <v>7</v>
      </c>
      <c r="C1467">
        <v>3</v>
      </c>
      <c r="D1467" s="1">
        <v>45839</v>
      </c>
      <c r="E1467" s="4" t="s">
        <v>30</v>
      </c>
      <c r="F1467" s="4" t="s">
        <v>28</v>
      </c>
      <c r="G1467" s="4" t="s">
        <v>108</v>
      </c>
      <c r="H1467">
        <v>33</v>
      </c>
      <c r="I1467">
        <v>46</v>
      </c>
      <c r="J1467">
        <v>0</v>
      </c>
      <c r="K1467">
        <v>46</v>
      </c>
      <c r="L1467">
        <v>27275.25</v>
      </c>
      <c r="M1467">
        <v>0</v>
      </c>
      <c r="N1467">
        <v>27275.25</v>
      </c>
      <c r="O1467">
        <v>9901.5</v>
      </c>
      <c r="P1467">
        <v>17373.75</v>
      </c>
      <c r="Q1467">
        <v>0.63700000000000001</v>
      </c>
      <c r="R1467">
        <v>5</v>
      </c>
      <c r="S1467">
        <v>5135.25</v>
      </c>
      <c r="T1467">
        <v>0</v>
      </c>
      <c r="U1467">
        <v>826.52</v>
      </c>
    </row>
    <row r="1468" spans="1:21" x14ac:dyDescent="0.35">
      <c r="A1468">
        <v>2025</v>
      </c>
      <c r="B1468">
        <v>7</v>
      </c>
      <c r="C1468">
        <v>3</v>
      </c>
      <c r="D1468" s="1">
        <v>45839</v>
      </c>
      <c r="E1468" s="4" t="s">
        <v>30</v>
      </c>
      <c r="F1468" s="4" t="s">
        <v>28</v>
      </c>
      <c r="G1468" s="4" t="s">
        <v>109</v>
      </c>
      <c r="H1468">
        <v>415</v>
      </c>
      <c r="I1468">
        <v>641</v>
      </c>
      <c r="J1468">
        <v>0</v>
      </c>
      <c r="K1468">
        <v>641</v>
      </c>
      <c r="L1468">
        <v>257308.47</v>
      </c>
      <c r="M1468">
        <v>0</v>
      </c>
      <c r="N1468">
        <v>257308.47</v>
      </c>
      <c r="O1468">
        <v>93661.4</v>
      </c>
      <c r="P1468">
        <v>163647.07</v>
      </c>
      <c r="Q1468">
        <v>0.63600000000000001</v>
      </c>
      <c r="R1468">
        <v>51</v>
      </c>
      <c r="S1468">
        <v>41618.47</v>
      </c>
      <c r="T1468">
        <v>0</v>
      </c>
      <c r="U1468">
        <v>620.02</v>
      </c>
    </row>
    <row r="1469" spans="1:21" x14ac:dyDescent="0.35">
      <c r="A1469">
        <v>2025</v>
      </c>
      <c r="B1469">
        <v>7</v>
      </c>
      <c r="C1469">
        <v>3</v>
      </c>
      <c r="D1469" s="1">
        <v>45839</v>
      </c>
      <c r="E1469" s="4" t="s">
        <v>30</v>
      </c>
      <c r="F1469" s="4" t="s">
        <v>24</v>
      </c>
      <c r="G1469" s="4" t="s">
        <v>107</v>
      </c>
      <c r="H1469">
        <v>36</v>
      </c>
      <c r="I1469">
        <v>57</v>
      </c>
      <c r="J1469">
        <v>4</v>
      </c>
      <c r="K1469">
        <v>53</v>
      </c>
      <c r="L1469">
        <v>101011.63</v>
      </c>
      <c r="M1469">
        <v>5796</v>
      </c>
      <c r="N1469">
        <v>95215.63</v>
      </c>
      <c r="O1469">
        <v>52888</v>
      </c>
      <c r="P1469">
        <v>42327.63</v>
      </c>
      <c r="Q1469">
        <v>0.44450000000000001</v>
      </c>
      <c r="R1469">
        <v>3</v>
      </c>
      <c r="S1469">
        <v>9422.6299999999992</v>
      </c>
      <c r="T1469">
        <v>0</v>
      </c>
      <c r="U1469">
        <v>2644.88</v>
      </c>
    </row>
    <row r="1470" spans="1:21" x14ac:dyDescent="0.35">
      <c r="A1470">
        <v>2025</v>
      </c>
      <c r="B1470">
        <v>7</v>
      </c>
      <c r="C1470">
        <v>3</v>
      </c>
      <c r="D1470" s="1">
        <v>45839</v>
      </c>
      <c r="E1470" s="4" t="s">
        <v>30</v>
      </c>
      <c r="F1470" s="4" t="s">
        <v>24</v>
      </c>
      <c r="G1470" s="4" t="s">
        <v>108</v>
      </c>
      <c r="H1470">
        <v>4</v>
      </c>
      <c r="I1470">
        <v>5</v>
      </c>
      <c r="J1470">
        <v>0</v>
      </c>
      <c r="K1470">
        <v>5</v>
      </c>
      <c r="L1470">
        <v>11563.2</v>
      </c>
      <c r="M1470">
        <v>0</v>
      </c>
      <c r="N1470">
        <v>11563.2</v>
      </c>
      <c r="O1470">
        <v>6624.75</v>
      </c>
      <c r="P1470">
        <v>4938.45</v>
      </c>
      <c r="Q1470">
        <v>0.42709999999999998</v>
      </c>
      <c r="R1470">
        <v>1</v>
      </c>
      <c r="S1470">
        <v>4336.2</v>
      </c>
      <c r="T1470">
        <v>0</v>
      </c>
      <c r="U1470">
        <v>2890.8</v>
      </c>
    </row>
    <row r="1471" spans="1:21" x14ac:dyDescent="0.35">
      <c r="A1471">
        <v>2025</v>
      </c>
      <c r="B1471">
        <v>7</v>
      </c>
      <c r="C1471">
        <v>3</v>
      </c>
      <c r="D1471" s="1">
        <v>45839</v>
      </c>
      <c r="E1471" s="4" t="s">
        <v>30</v>
      </c>
      <c r="F1471" s="4" t="s">
        <v>24</v>
      </c>
      <c r="G1471" s="4" t="s">
        <v>109</v>
      </c>
      <c r="H1471">
        <v>142</v>
      </c>
      <c r="I1471">
        <v>215</v>
      </c>
      <c r="J1471">
        <v>4</v>
      </c>
      <c r="K1471">
        <v>211</v>
      </c>
      <c r="L1471">
        <v>368781.56</v>
      </c>
      <c r="M1471">
        <v>7147</v>
      </c>
      <c r="N1471">
        <v>361634.56</v>
      </c>
      <c r="O1471">
        <v>210858.45</v>
      </c>
      <c r="P1471">
        <v>150776.10999999999</v>
      </c>
      <c r="Q1471">
        <v>0.41689999999999999</v>
      </c>
      <c r="R1471">
        <v>26</v>
      </c>
      <c r="S1471">
        <v>76129.570000000007</v>
      </c>
      <c r="T1471">
        <v>0</v>
      </c>
      <c r="U1471">
        <v>2546.7199999999998</v>
      </c>
    </row>
    <row r="1472" spans="1:21" x14ac:dyDescent="0.35">
      <c r="A1472">
        <v>2025</v>
      </c>
      <c r="B1472">
        <v>7</v>
      </c>
      <c r="C1472">
        <v>3</v>
      </c>
      <c r="D1472" s="1">
        <v>45839</v>
      </c>
      <c r="E1472" s="4" t="s">
        <v>30</v>
      </c>
      <c r="F1472" s="4" t="s">
        <v>26</v>
      </c>
      <c r="G1472" s="4" t="s">
        <v>107</v>
      </c>
      <c r="H1472">
        <v>1</v>
      </c>
      <c r="I1472">
        <v>1</v>
      </c>
      <c r="J1472">
        <v>0</v>
      </c>
      <c r="K1472">
        <v>1</v>
      </c>
      <c r="L1472">
        <v>869</v>
      </c>
      <c r="M1472">
        <v>0</v>
      </c>
      <c r="N1472">
        <v>869</v>
      </c>
      <c r="O1472">
        <v>521.4</v>
      </c>
      <c r="P1472">
        <v>347.6</v>
      </c>
      <c r="Q1472">
        <v>0.4</v>
      </c>
      <c r="R1472">
        <v>0</v>
      </c>
      <c r="S1472">
        <v>0</v>
      </c>
      <c r="T1472">
        <v>0</v>
      </c>
      <c r="U1472">
        <v>869</v>
      </c>
    </row>
    <row r="1473" spans="1:21" x14ac:dyDescent="0.35">
      <c r="A1473">
        <v>2025</v>
      </c>
      <c r="B1473">
        <v>7</v>
      </c>
      <c r="C1473">
        <v>3</v>
      </c>
      <c r="D1473" s="1">
        <v>45839</v>
      </c>
      <c r="E1473" s="4" t="s">
        <v>30</v>
      </c>
      <c r="F1473" s="4" t="s">
        <v>26</v>
      </c>
      <c r="G1473" s="4" t="s">
        <v>109</v>
      </c>
      <c r="H1473">
        <v>38</v>
      </c>
      <c r="I1473">
        <v>52</v>
      </c>
      <c r="J1473">
        <v>2</v>
      </c>
      <c r="K1473">
        <v>50</v>
      </c>
      <c r="L1473">
        <v>43332.21</v>
      </c>
      <c r="M1473">
        <v>2141</v>
      </c>
      <c r="N1473">
        <v>41191.21</v>
      </c>
      <c r="O1473">
        <v>24849</v>
      </c>
      <c r="P1473">
        <v>16342.21</v>
      </c>
      <c r="Q1473">
        <v>0.3967</v>
      </c>
      <c r="R1473">
        <v>1</v>
      </c>
      <c r="S1473">
        <v>749.21</v>
      </c>
      <c r="T1473">
        <v>0</v>
      </c>
      <c r="U1473">
        <v>1083.98</v>
      </c>
    </row>
    <row r="1474" spans="1:21" x14ac:dyDescent="0.35">
      <c r="A1474">
        <v>2025</v>
      </c>
      <c r="B1474">
        <v>7</v>
      </c>
      <c r="C1474">
        <v>3</v>
      </c>
      <c r="D1474" s="1">
        <v>45839</v>
      </c>
      <c r="E1474" s="4" t="s">
        <v>78</v>
      </c>
      <c r="F1474" s="4" t="s">
        <v>78</v>
      </c>
      <c r="G1474" s="4" t="s">
        <v>110</v>
      </c>
      <c r="H1474">
        <v>167</v>
      </c>
      <c r="I1474">
        <v>239</v>
      </c>
      <c r="J1474">
        <v>0</v>
      </c>
      <c r="K1474">
        <v>239</v>
      </c>
      <c r="L1474">
        <v>540645</v>
      </c>
      <c r="M1474">
        <v>0</v>
      </c>
      <c r="N1474">
        <v>540645</v>
      </c>
      <c r="O1474">
        <v>81096.75</v>
      </c>
      <c r="P1474">
        <v>459548.25</v>
      </c>
      <c r="Q1474">
        <v>0.85</v>
      </c>
      <c r="R1474">
        <v>0</v>
      </c>
      <c r="S1474">
        <v>0</v>
      </c>
      <c r="T1474">
        <v>0</v>
      </c>
      <c r="U1474">
        <v>3237.4</v>
      </c>
    </row>
    <row r="1475" spans="1:21" x14ac:dyDescent="0.35">
      <c r="A1475">
        <v>2025</v>
      </c>
      <c r="B1475">
        <v>8</v>
      </c>
      <c r="C1475">
        <v>3</v>
      </c>
      <c r="D1475" s="1">
        <v>45870</v>
      </c>
      <c r="E1475" s="4" t="s">
        <v>33</v>
      </c>
      <c r="F1475" s="4" t="s">
        <v>28</v>
      </c>
      <c r="G1475" s="4" t="s">
        <v>107</v>
      </c>
      <c r="H1475">
        <v>130</v>
      </c>
      <c r="I1475">
        <v>194</v>
      </c>
      <c r="J1475">
        <v>0</v>
      </c>
      <c r="K1475">
        <v>194</v>
      </c>
      <c r="L1475">
        <v>61199.25</v>
      </c>
      <c r="M1475">
        <v>0</v>
      </c>
      <c r="N1475">
        <v>61199.25</v>
      </c>
      <c r="O1475">
        <v>22086.75</v>
      </c>
      <c r="P1475">
        <v>39112.5</v>
      </c>
      <c r="Q1475">
        <v>0.6391</v>
      </c>
      <c r="R1475">
        <v>12</v>
      </c>
      <c r="S1475">
        <v>7640.25</v>
      </c>
      <c r="T1475">
        <v>0</v>
      </c>
      <c r="U1475">
        <v>470.76</v>
      </c>
    </row>
    <row r="1476" spans="1:21" x14ac:dyDescent="0.35">
      <c r="A1476">
        <v>2025</v>
      </c>
      <c r="B1476">
        <v>8</v>
      </c>
      <c r="C1476">
        <v>3</v>
      </c>
      <c r="D1476" s="1">
        <v>45870</v>
      </c>
      <c r="E1476" s="4" t="s">
        <v>33</v>
      </c>
      <c r="F1476" s="4" t="s">
        <v>28</v>
      </c>
      <c r="G1476" s="4" t="s">
        <v>108</v>
      </c>
      <c r="H1476">
        <v>41</v>
      </c>
      <c r="I1476">
        <v>57</v>
      </c>
      <c r="J1476">
        <v>0</v>
      </c>
      <c r="K1476">
        <v>57</v>
      </c>
      <c r="L1476">
        <v>39295.279999999999</v>
      </c>
      <c r="M1476">
        <v>0</v>
      </c>
      <c r="N1476">
        <v>39295.279999999999</v>
      </c>
      <c r="O1476">
        <v>14204.4</v>
      </c>
      <c r="P1476">
        <v>25090.880000000001</v>
      </c>
      <c r="Q1476">
        <v>0.63849999999999996</v>
      </c>
      <c r="R1476">
        <v>5</v>
      </c>
      <c r="S1476">
        <v>5831.28</v>
      </c>
      <c r="T1476">
        <v>0</v>
      </c>
      <c r="U1476">
        <v>958.42</v>
      </c>
    </row>
    <row r="1477" spans="1:21" x14ac:dyDescent="0.35">
      <c r="A1477">
        <v>2025</v>
      </c>
      <c r="B1477">
        <v>8</v>
      </c>
      <c r="C1477">
        <v>3</v>
      </c>
      <c r="D1477" s="1">
        <v>45870</v>
      </c>
      <c r="E1477" s="4" t="s">
        <v>33</v>
      </c>
      <c r="F1477" s="4" t="s">
        <v>28</v>
      </c>
      <c r="G1477" s="4" t="s">
        <v>109</v>
      </c>
      <c r="H1477">
        <v>676</v>
      </c>
      <c r="I1477">
        <v>1044</v>
      </c>
      <c r="J1477">
        <v>0</v>
      </c>
      <c r="K1477">
        <v>1044</v>
      </c>
      <c r="L1477">
        <v>537427.29</v>
      </c>
      <c r="M1477">
        <v>0</v>
      </c>
      <c r="N1477">
        <v>537427.29</v>
      </c>
      <c r="O1477">
        <v>194870.55</v>
      </c>
      <c r="P1477">
        <v>342556.74</v>
      </c>
      <c r="Q1477">
        <v>0.63739999999999997</v>
      </c>
      <c r="R1477">
        <v>77</v>
      </c>
      <c r="S1477">
        <v>70634.289999999994</v>
      </c>
      <c r="T1477">
        <v>0</v>
      </c>
      <c r="U1477">
        <v>795.01</v>
      </c>
    </row>
    <row r="1478" spans="1:21" x14ac:dyDescent="0.35">
      <c r="A1478">
        <v>2025</v>
      </c>
      <c r="B1478">
        <v>8</v>
      </c>
      <c r="C1478">
        <v>3</v>
      </c>
      <c r="D1478" s="1">
        <v>45870</v>
      </c>
      <c r="E1478" s="4" t="s">
        <v>33</v>
      </c>
      <c r="F1478" s="4" t="s">
        <v>24</v>
      </c>
      <c r="G1478" s="4" t="s">
        <v>107</v>
      </c>
      <c r="H1478">
        <v>11</v>
      </c>
      <c r="I1478">
        <v>15</v>
      </c>
      <c r="J1478">
        <v>0</v>
      </c>
      <c r="K1478">
        <v>15</v>
      </c>
      <c r="L1478">
        <v>24608.92</v>
      </c>
      <c r="M1478">
        <v>0</v>
      </c>
      <c r="N1478">
        <v>24608.92</v>
      </c>
      <c r="O1478">
        <v>14110.25</v>
      </c>
      <c r="P1478">
        <v>10498.67</v>
      </c>
      <c r="Q1478">
        <v>0.42659999999999998</v>
      </c>
      <c r="R1478">
        <v>1</v>
      </c>
      <c r="S1478">
        <v>2689.92</v>
      </c>
      <c r="T1478">
        <v>0</v>
      </c>
      <c r="U1478">
        <v>2237.17</v>
      </c>
    </row>
    <row r="1479" spans="1:21" x14ac:dyDescent="0.35">
      <c r="A1479">
        <v>2025</v>
      </c>
      <c r="B1479">
        <v>8</v>
      </c>
      <c r="C1479">
        <v>3</v>
      </c>
      <c r="D1479" s="1">
        <v>45870</v>
      </c>
      <c r="E1479" s="4" t="s">
        <v>33</v>
      </c>
      <c r="F1479" s="4" t="s">
        <v>24</v>
      </c>
      <c r="G1479" s="4" t="s">
        <v>109</v>
      </c>
      <c r="H1479">
        <v>127</v>
      </c>
      <c r="I1479">
        <v>187</v>
      </c>
      <c r="J1479">
        <v>5</v>
      </c>
      <c r="K1479">
        <v>182</v>
      </c>
      <c r="L1479">
        <v>305224.48</v>
      </c>
      <c r="M1479">
        <v>9230</v>
      </c>
      <c r="N1479">
        <v>295994.48</v>
      </c>
      <c r="O1479">
        <v>170018.2</v>
      </c>
      <c r="P1479">
        <v>125976.28</v>
      </c>
      <c r="Q1479">
        <v>0.42559999999999998</v>
      </c>
      <c r="R1479">
        <v>15</v>
      </c>
      <c r="S1479">
        <v>44441.48</v>
      </c>
      <c r="T1479">
        <v>0</v>
      </c>
      <c r="U1479">
        <v>2330.67</v>
      </c>
    </row>
    <row r="1480" spans="1:21" x14ac:dyDescent="0.35">
      <c r="A1480">
        <v>2025</v>
      </c>
      <c r="B1480">
        <v>8</v>
      </c>
      <c r="C1480">
        <v>3</v>
      </c>
      <c r="D1480" s="1">
        <v>45870</v>
      </c>
      <c r="E1480" s="4" t="s">
        <v>33</v>
      </c>
      <c r="F1480" s="4" t="s">
        <v>26</v>
      </c>
      <c r="G1480" s="4" t="s">
        <v>107</v>
      </c>
      <c r="H1480">
        <v>6</v>
      </c>
      <c r="I1480">
        <v>9</v>
      </c>
      <c r="J1480">
        <v>0</v>
      </c>
      <c r="K1480">
        <v>9</v>
      </c>
      <c r="L1480">
        <v>5243.94</v>
      </c>
      <c r="M1480">
        <v>0</v>
      </c>
      <c r="N1480">
        <v>5243.94</v>
      </c>
      <c r="O1480">
        <v>3350.4</v>
      </c>
      <c r="P1480">
        <v>1893.54</v>
      </c>
      <c r="Q1480">
        <v>0.36109999999999998</v>
      </c>
      <c r="R1480">
        <v>2</v>
      </c>
      <c r="S1480">
        <v>1997.94</v>
      </c>
      <c r="T1480">
        <v>0</v>
      </c>
      <c r="U1480">
        <v>873.99</v>
      </c>
    </row>
    <row r="1481" spans="1:21" x14ac:dyDescent="0.35">
      <c r="A1481">
        <v>2025</v>
      </c>
      <c r="B1481">
        <v>8</v>
      </c>
      <c r="C1481">
        <v>3</v>
      </c>
      <c r="D1481" s="1">
        <v>45870</v>
      </c>
      <c r="E1481" s="4" t="s">
        <v>33</v>
      </c>
      <c r="F1481" s="4" t="s">
        <v>26</v>
      </c>
      <c r="G1481" s="4" t="s">
        <v>108</v>
      </c>
      <c r="H1481">
        <v>7</v>
      </c>
      <c r="I1481">
        <v>11</v>
      </c>
      <c r="J1481">
        <v>0</v>
      </c>
      <c r="K1481">
        <v>11</v>
      </c>
      <c r="L1481">
        <v>9103</v>
      </c>
      <c r="M1481">
        <v>0</v>
      </c>
      <c r="N1481">
        <v>9103</v>
      </c>
      <c r="O1481">
        <v>5461.8</v>
      </c>
      <c r="P1481">
        <v>3641.2</v>
      </c>
      <c r="Q1481">
        <v>0.4</v>
      </c>
      <c r="R1481">
        <v>0</v>
      </c>
      <c r="S1481">
        <v>0</v>
      </c>
      <c r="T1481">
        <v>0</v>
      </c>
      <c r="U1481">
        <v>1300.43</v>
      </c>
    </row>
    <row r="1482" spans="1:21" x14ac:dyDescent="0.35">
      <c r="A1482">
        <v>2025</v>
      </c>
      <c r="B1482">
        <v>8</v>
      </c>
      <c r="C1482">
        <v>3</v>
      </c>
      <c r="D1482" s="1">
        <v>45870</v>
      </c>
      <c r="E1482" s="4" t="s">
        <v>33</v>
      </c>
      <c r="F1482" s="4" t="s">
        <v>26</v>
      </c>
      <c r="G1482" s="4" t="s">
        <v>109</v>
      </c>
      <c r="H1482">
        <v>42</v>
      </c>
      <c r="I1482">
        <v>63</v>
      </c>
      <c r="J1482">
        <v>0</v>
      </c>
      <c r="K1482">
        <v>63</v>
      </c>
      <c r="L1482">
        <v>45152.959999999999</v>
      </c>
      <c r="M1482">
        <v>0</v>
      </c>
      <c r="N1482">
        <v>45152.959999999999</v>
      </c>
      <c r="O1482">
        <v>27812.400000000001</v>
      </c>
      <c r="P1482">
        <v>17340.560000000001</v>
      </c>
      <c r="Q1482">
        <v>0.38400000000000001</v>
      </c>
      <c r="R1482">
        <v>6</v>
      </c>
      <c r="S1482">
        <v>6071.96</v>
      </c>
      <c r="T1482">
        <v>0</v>
      </c>
      <c r="U1482">
        <v>1075.07</v>
      </c>
    </row>
    <row r="1483" spans="1:21" x14ac:dyDescent="0.35">
      <c r="A1483">
        <v>2025</v>
      </c>
      <c r="B1483">
        <v>8</v>
      </c>
      <c r="C1483">
        <v>3</v>
      </c>
      <c r="D1483" s="1">
        <v>45870</v>
      </c>
      <c r="E1483" s="4" t="s">
        <v>32</v>
      </c>
      <c r="F1483" s="4" t="s">
        <v>28</v>
      </c>
      <c r="G1483" s="4" t="s">
        <v>107</v>
      </c>
      <c r="H1483">
        <v>30</v>
      </c>
      <c r="I1483">
        <v>47</v>
      </c>
      <c r="J1483">
        <v>0</v>
      </c>
      <c r="K1483">
        <v>47</v>
      </c>
      <c r="L1483">
        <v>20616.14</v>
      </c>
      <c r="M1483">
        <v>0</v>
      </c>
      <c r="N1483">
        <v>20616.14</v>
      </c>
      <c r="O1483">
        <v>7468.3</v>
      </c>
      <c r="P1483">
        <v>13147.84</v>
      </c>
      <c r="Q1483">
        <v>0.63770000000000004</v>
      </c>
      <c r="R1483">
        <v>3</v>
      </c>
      <c r="S1483">
        <v>2002.14</v>
      </c>
      <c r="T1483">
        <v>0</v>
      </c>
      <c r="U1483">
        <v>687.2</v>
      </c>
    </row>
    <row r="1484" spans="1:21" x14ac:dyDescent="0.35">
      <c r="A1484">
        <v>2025</v>
      </c>
      <c r="B1484">
        <v>8</v>
      </c>
      <c r="C1484">
        <v>3</v>
      </c>
      <c r="D1484" s="1">
        <v>45870</v>
      </c>
      <c r="E1484" s="4" t="s">
        <v>32</v>
      </c>
      <c r="F1484" s="4" t="s">
        <v>28</v>
      </c>
      <c r="G1484" s="4" t="s">
        <v>109</v>
      </c>
      <c r="H1484">
        <v>498</v>
      </c>
      <c r="I1484">
        <v>766</v>
      </c>
      <c r="J1484">
        <v>0</v>
      </c>
      <c r="K1484">
        <v>766</v>
      </c>
      <c r="L1484">
        <v>270099.61</v>
      </c>
      <c r="M1484">
        <v>0</v>
      </c>
      <c r="N1484">
        <v>270099.61</v>
      </c>
      <c r="O1484">
        <v>98208.95</v>
      </c>
      <c r="P1484">
        <v>171890.66</v>
      </c>
      <c r="Q1484">
        <v>0.63639999999999997</v>
      </c>
      <c r="R1484">
        <v>61</v>
      </c>
      <c r="S1484">
        <v>42537.61</v>
      </c>
      <c r="T1484">
        <v>0</v>
      </c>
      <c r="U1484">
        <v>542.37</v>
      </c>
    </row>
    <row r="1485" spans="1:21" x14ac:dyDescent="0.35">
      <c r="A1485">
        <v>2025</v>
      </c>
      <c r="B1485">
        <v>8</v>
      </c>
      <c r="C1485">
        <v>3</v>
      </c>
      <c r="D1485" s="1">
        <v>45870</v>
      </c>
      <c r="E1485" s="4" t="s">
        <v>32</v>
      </c>
      <c r="F1485" s="4" t="s">
        <v>35</v>
      </c>
      <c r="G1485" s="4" t="s">
        <v>109</v>
      </c>
      <c r="H1485">
        <v>1</v>
      </c>
      <c r="I1485">
        <v>1</v>
      </c>
      <c r="J1485">
        <v>0</v>
      </c>
      <c r="K1485">
        <v>1</v>
      </c>
      <c r="L1485">
        <v>545</v>
      </c>
      <c r="M1485">
        <v>0</v>
      </c>
      <c r="N1485">
        <v>545</v>
      </c>
      <c r="O1485">
        <v>109</v>
      </c>
      <c r="P1485">
        <v>436</v>
      </c>
      <c r="Q1485">
        <v>0.8</v>
      </c>
      <c r="R1485">
        <v>0</v>
      </c>
      <c r="S1485">
        <v>0</v>
      </c>
      <c r="T1485">
        <v>0</v>
      </c>
      <c r="U1485">
        <v>545</v>
      </c>
    </row>
    <row r="1486" spans="1:21" x14ac:dyDescent="0.35">
      <c r="A1486">
        <v>2025</v>
      </c>
      <c r="B1486">
        <v>8</v>
      </c>
      <c r="C1486">
        <v>3</v>
      </c>
      <c r="D1486" s="1">
        <v>45870</v>
      </c>
      <c r="E1486" s="4" t="s">
        <v>32</v>
      </c>
      <c r="F1486" s="4" t="s">
        <v>24</v>
      </c>
      <c r="G1486" s="4" t="s">
        <v>107</v>
      </c>
      <c r="H1486">
        <v>47</v>
      </c>
      <c r="I1486">
        <v>77</v>
      </c>
      <c r="J1486">
        <v>1</v>
      </c>
      <c r="K1486">
        <v>76</v>
      </c>
      <c r="L1486">
        <v>118475.07</v>
      </c>
      <c r="M1486">
        <v>2346</v>
      </c>
      <c r="N1486">
        <v>116129.07</v>
      </c>
      <c r="O1486">
        <v>65948.850000000006</v>
      </c>
      <c r="P1486">
        <v>50180.22</v>
      </c>
      <c r="Q1486">
        <v>0.43209999999999998</v>
      </c>
      <c r="R1486">
        <v>4</v>
      </c>
      <c r="S1486">
        <v>12494.07</v>
      </c>
      <c r="T1486">
        <v>0</v>
      </c>
      <c r="U1486">
        <v>2470.83</v>
      </c>
    </row>
    <row r="1487" spans="1:21" x14ac:dyDescent="0.35">
      <c r="A1487">
        <v>2025</v>
      </c>
      <c r="B1487">
        <v>8</v>
      </c>
      <c r="C1487">
        <v>3</v>
      </c>
      <c r="D1487" s="1">
        <v>45870</v>
      </c>
      <c r="E1487" s="4" t="s">
        <v>32</v>
      </c>
      <c r="F1487" s="4" t="s">
        <v>24</v>
      </c>
      <c r="G1487" s="4" t="s">
        <v>109</v>
      </c>
      <c r="H1487">
        <v>176</v>
      </c>
      <c r="I1487">
        <v>268</v>
      </c>
      <c r="J1487">
        <v>6</v>
      </c>
      <c r="K1487">
        <v>262</v>
      </c>
      <c r="L1487">
        <v>344160.57</v>
      </c>
      <c r="M1487">
        <v>6218</v>
      </c>
      <c r="N1487">
        <v>337942.57</v>
      </c>
      <c r="O1487">
        <v>197897.7</v>
      </c>
      <c r="P1487">
        <v>140044.87</v>
      </c>
      <c r="Q1487">
        <v>0.41439999999999999</v>
      </c>
      <c r="R1487">
        <v>34</v>
      </c>
      <c r="S1487">
        <v>88249.57</v>
      </c>
      <c r="T1487">
        <v>0</v>
      </c>
      <c r="U1487">
        <v>1920.13</v>
      </c>
    </row>
    <row r="1488" spans="1:21" x14ac:dyDescent="0.35">
      <c r="A1488">
        <v>2025</v>
      </c>
      <c r="B1488">
        <v>8</v>
      </c>
      <c r="C1488">
        <v>3</v>
      </c>
      <c r="D1488" s="1">
        <v>45870</v>
      </c>
      <c r="E1488" s="4" t="s">
        <v>32</v>
      </c>
      <c r="F1488" s="4" t="s">
        <v>26</v>
      </c>
      <c r="G1488" s="4" t="s">
        <v>108</v>
      </c>
      <c r="H1488">
        <v>5</v>
      </c>
      <c r="I1488">
        <v>5</v>
      </c>
      <c r="J1488">
        <v>0</v>
      </c>
      <c r="K1488">
        <v>5</v>
      </c>
      <c r="L1488">
        <v>1575</v>
      </c>
      <c r="M1488">
        <v>0</v>
      </c>
      <c r="N1488">
        <v>1575</v>
      </c>
      <c r="O1488">
        <v>945</v>
      </c>
      <c r="P1488">
        <v>630</v>
      </c>
      <c r="Q1488">
        <v>0.4</v>
      </c>
      <c r="R1488">
        <v>0</v>
      </c>
      <c r="S1488">
        <v>0</v>
      </c>
      <c r="T1488">
        <v>0</v>
      </c>
      <c r="U1488">
        <v>315</v>
      </c>
    </row>
    <row r="1489" spans="1:21" x14ac:dyDescent="0.35">
      <c r="A1489">
        <v>2025</v>
      </c>
      <c r="B1489">
        <v>8</v>
      </c>
      <c r="C1489">
        <v>3</v>
      </c>
      <c r="D1489" s="1">
        <v>45870</v>
      </c>
      <c r="E1489" s="4" t="s">
        <v>32</v>
      </c>
      <c r="F1489" s="4" t="s">
        <v>26</v>
      </c>
      <c r="G1489" s="4" t="s">
        <v>109</v>
      </c>
      <c r="H1489">
        <v>36</v>
      </c>
      <c r="I1489">
        <v>46</v>
      </c>
      <c r="J1489">
        <v>1</v>
      </c>
      <c r="K1489">
        <v>45</v>
      </c>
      <c r="L1489">
        <v>34908.239999999998</v>
      </c>
      <c r="M1489">
        <v>1049</v>
      </c>
      <c r="N1489">
        <v>33859.24</v>
      </c>
      <c r="O1489">
        <v>20437.8</v>
      </c>
      <c r="P1489">
        <v>13421.44</v>
      </c>
      <c r="Q1489">
        <v>0.39639999999999997</v>
      </c>
      <c r="R1489">
        <v>1</v>
      </c>
      <c r="S1489">
        <v>928.24</v>
      </c>
      <c r="T1489">
        <v>0</v>
      </c>
      <c r="U1489">
        <v>940.53</v>
      </c>
    </row>
    <row r="1490" spans="1:21" x14ac:dyDescent="0.35">
      <c r="A1490">
        <v>2025</v>
      </c>
      <c r="B1490">
        <v>8</v>
      </c>
      <c r="C1490">
        <v>3</v>
      </c>
      <c r="D1490" s="1">
        <v>45870</v>
      </c>
      <c r="E1490" s="4" t="s">
        <v>27</v>
      </c>
      <c r="F1490" s="4" t="s">
        <v>28</v>
      </c>
      <c r="G1490" s="4" t="s">
        <v>107</v>
      </c>
      <c r="H1490">
        <v>282</v>
      </c>
      <c r="I1490">
        <v>448</v>
      </c>
      <c r="J1490">
        <v>0</v>
      </c>
      <c r="K1490">
        <v>448</v>
      </c>
      <c r="L1490">
        <v>197554.17</v>
      </c>
      <c r="M1490">
        <v>0</v>
      </c>
      <c r="N1490">
        <v>197554.17</v>
      </c>
      <c r="O1490">
        <v>71675.45</v>
      </c>
      <c r="P1490">
        <v>125878.72</v>
      </c>
      <c r="Q1490">
        <v>0.63719999999999999</v>
      </c>
      <c r="R1490">
        <v>33</v>
      </c>
      <c r="S1490">
        <v>28782.23</v>
      </c>
      <c r="T1490">
        <v>0</v>
      </c>
      <c r="U1490">
        <v>700.55</v>
      </c>
    </row>
    <row r="1491" spans="1:21" x14ac:dyDescent="0.35">
      <c r="A1491">
        <v>2025</v>
      </c>
      <c r="B1491">
        <v>8</v>
      </c>
      <c r="C1491">
        <v>3</v>
      </c>
      <c r="D1491" s="1">
        <v>45870</v>
      </c>
      <c r="E1491" s="4" t="s">
        <v>27</v>
      </c>
      <c r="F1491" s="4" t="s">
        <v>28</v>
      </c>
      <c r="G1491" s="4" t="s">
        <v>109</v>
      </c>
      <c r="H1491">
        <v>762</v>
      </c>
      <c r="I1491">
        <v>1207</v>
      </c>
      <c r="J1491">
        <v>0</v>
      </c>
      <c r="K1491">
        <v>1207</v>
      </c>
      <c r="L1491">
        <v>647143.01</v>
      </c>
      <c r="M1491">
        <v>0</v>
      </c>
      <c r="N1491">
        <v>647143.01</v>
      </c>
      <c r="O1491">
        <v>235033.05</v>
      </c>
      <c r="P1491">
        <v>412109.96</v>
      </c>
      <c r="Q1491">
        <v>0.63680000000000003</v>
      </c>
      <c r="R1491">
        <v>105</v>
      </c>
      <c r="S1491">
        <v>103432.32000000001</v>
      </c>
      <c r="T1491">
        <v>0</v>
      </c>
      <c r="U1491">
        <v>849.27</v>
      </c>
    </row>
    <row r="1492" spans="1:21" x14ac:dyDescent="0.35">
      <c r="A1492">
        <v>2025</v>
      </c>
      <c r="B1492">
        <v>8</v>
      </c>
      <c r="C1492">
        <v>3</v>
      </c>
      <c r="D1492" s="1">
        <v>45870</v>
      </c>
      <c r="E1492" s="4" t="s">
        <v>27</v>
      </c>
      <c r="F1492" s="4" t="s">
        <v>35</v>
      </c>
      <c r="G1492" s="4" t="s">
        <v>109</v>
      </c>
      <c r="H1492">
        <v>2</v>
      </c>
      <c r="I1492">
        <v>7</v>
      </c>
      <c r="J1492">
        <v>0</v>
      </c>
      <c r="K1492">
        <v>7</v>
      </c>
      <c r="L1492">
        <v>3294</v>
      </c>
      <c r="M1492">
        <v>0</v>
      </c>
      <c r="N1492">
        <v>3294</v>
      </c>
      <c r="O1492">
        <v>776.6</v>
      </c>
      <c r="P1492">
        <v>2517.4</v>
      </c>
      <c r="Q1492">
        <v>0.76419999999999999</v>
      </c>
      <c r="R1492">
        <v>1</v>
      </c>
      <c r="S1492">
        <v>2356</v>
      </c>
      <c r="T1492">
        <v>0</v>
      </c>
      <c r="U1492">
        <v>1647</v>
      </c>
    </row>
    <row r="1493" spans="1:21" x14ac:dyDescent="0.35">
      <c r="A1493">
        <v>2025</v>
      </c>
      <c r="B1493">
        <v>8</v>
      </c>
      <c r="C1493">
        <v>3</v>
      </c>
      <c r="D1493" s="1">
        <v>45870</v>
      </c>
      <c r="E1493" s="4" t="s">
        <v>27</v>
      </c>
      <c r="F1493" s="4" t="s">
        <v>24</v>
      </c>
      <c r="G1493" s="4" t="s">
        <v>107</v>
      </c>
      <c r="H1493">
        <v>65</v>
      </c>
      <c r="I1493">
        <v>107</v>
      </c>
      <c r="J1493">
        <v>4</v>
      </c>
      <c r="K1493">
        <v>103</v>
      </c>
      <c r="L1493">
        <v>183453.82</v>
      </c>
      <c r="M1493">
        <v>5891</v>
      </c>
      <c r="N1493">
        <v>177562.82</v>
      </c>
      <c r="O1493">
        <v>101302.85</v>
      </c>
      <c r="P1493">
        <v>76259.97</v>
      </c>
      <c r="Q1493">
        <v>0.42949999999999999</v>
      </c>
      <c r="R1493">
        <v>6</v>
      </c>
      <c r="S1493">
        <v>25571.82</v>
      </c>
      <c r="T1493">
        <v>0</v>
      </c>
      <c r="U1493">
        <v>2731.74</v>
      </c>
    </row>
    <row r="1494" spans="1:21" x14ac:dyDescent="0.35">
      <c r="A1494">
        <v>2025</v>
      </c>
      <c r="B1494">
        <v>8</v>
      </c>
      <c r="C1494">
        <v>3</v>
      </c>
      <c r="D1494" s="1">
        <v>45870</v>
      </c>
      <c r="E1494" s="4" t="s">
        <v>27</v>
      </c>
      <c r="F1494" s="4" t="s">
        <v>24</v>
      </c>
      <c r="G1494" s="4" t="s">
        <v>109</v>
      </c>
      <c r="H1494">
        <v>255</v>
      </c>
      <c r="I1494">
        <v>391</v>
      </c>
      <c r="J1494">
        <v>13</v>
      </c>
      <c r="K1494">
        <v>378</v>
      </c>
      <c r="L1494">
        <v>636006.24</v>
      </c>
      <c r="M1494">
        <v>18910</v>
      </c>
      <c r="N1494">
        <v>617096.24</v>
      </c>
      <c r="O1494">
        <v>350699.8</v>
      </c>
      <c r="P1494">
        <v>266396.44</v>
      </c>
      <c r="Q1494">
        <v>0.43169999999999997</v>
      </c>
      <c r="R1494">
        <v>30</v>
      </c>
      <c r="S1494">
        <v>79974.240000000005</v>
      </c>
      <c r="T1494">
        <v>0</v>
      </c>
      <c r="U1494">
        <v>2419.9899999999998</v>
      </c>
    </row>
    <row r="1495" spans="1:21" x14ac:dyDescent="0.35">
      <c r="A1495">
        <v>2025</v>
      </c>
      <c r="B1495">
        <v>8</v>
      </c>
      <c r="C1495">
        <v>3</v>
      </c>
      <c r="D1495" s="1">
        <v>45870</v>
      </c>
      <c r="E1495" s="4" t="s">
        <v>27</v>
      </c>
      <c r="F1495" s="4" t="s">
        <v>26</v>
      </c>
      <c r="G1495" s="4" t="s">
        <v>107</v>
      </c>
      <c r="H1495">
        <v>6</v>
      </c>
      <c r="I1495">
        <v>8</v>
      </c>
      <c r="J1495">
        <v>0</v>
      </c>
      <c r="K1495">
        <v>8</v>
      </c>
      <c r="L1495">
        <v>8682</v>
      </c>
      <c r="M1495">
        <v>0</v>
      </c>
      <c r="N1495">
        <v>8682</v>
      </c>
      <c r="O1495">
        <v>5209.2</v>
      </c>
      <c r="P1495">
        <v>3472.8</v>
      </c>
      <c r="Q1495">
        <v>0.4</v>
      </c>
      <c r="R1495">
        <v>0</v>
      </c>
      <c r="S1495">
        <v>0</v>
      </c>
      <c r="T1495">
        <v>0</v>
      </c>
      <c r="U1495">
        <v>1447</v>
      </c>
    </row>
    <row r="1496" spans="1:21" x14ac:dyDescent="0.35">
      <c r="A1496">
        <v>2025</v>
      </c>
      <c r="B1496">
        <v>8</v>
      </c>
      <c r="C1496">
        <v>3</v>
      </c>
      <c r="D1496" s="1">
        <v>45870</v>
      </c>
      <c r="E1496" s="4" t="s">
        <v>27</v>
      </c>
      <c r="F1496" s="4" t="s">
        <v>26</v>
      </c>
      <c r="G1496" s="4" t="s">
        <v>109</v>
      </c>
      <c r="H1496">
        <v>26</v>
      </c>
      <c r="I1496">
        <v>50</v>
      </c>
      <c r="J1496">
        <v>5</v>
      </c>
      <c r="K1496">
        <v>45</v>
      </c>
      <c r="L1496">
        <v>31059.33</v>
      </c>
      <c r="M1496">
        <v>2887</v>
      </c>
      <c r="N1496">
        <v>28172.33</v>
      </c>
      <c r="O1496">
        <v>17659.2</v>
      </c>
      <c r="P1496">
        <v>10513.13</v>
      </c>
      <c r="Q1496">
        <v>0.37319999999999998</v>
      </c>
      <c r="R1496">
        <v>7</v>
      </c>
      <c r="S1496">
        <v>6717.33</v>
      </c>
      <c r="T1496">
        <v>0</v>
      </c>
      <c r="U1496">
        <v>1083.55</v>
      </c>
    </row>
    <row r="1497" spans="1:21" x14ac:dyDescent="0.35">
      <c r="A1497">
        <v>2025</v>
      </c>
      <c r="B1497">
        <v>8</v>
      </c>
      <c r="C1497">
        <v>3</v>
      </c>
      <c r="D1497" s="1">
        <v>45870</v>
      </c>
      <c r="E1497" s="4" t="s">
        <v>34</v>
      </c>
      <c r="F1497" s="4" t="s">
        <v>28</v>
      </c>
      <c r="G1497" s="4" t="s">
        <v>107</v>
      </c>
      <c r="H1497">
        <v>193</v>
      </c>
      <c r="I1497">
        <v>276</v>
      </c>
      <c r="J1497">
        <v>0</v>
      </c>
      <c r="K1497">
        <v>276</v>
      </c>
      <c r="L1497">
        <v>183324.16</v>
      </c>
      <c r="M1497">
        <v>0</v>
      </c>
      <c r="N1497">
        <v>183324.16</v>
      </c>
      <c r="O1497">
        <v>66510.149999999994</v>
      </c>
      <c r="P1497">
        <v>116814.01</v>
      </c>
      <c r="Q1497">
        <v>0.63719999999999999</v>
      </c>
      <c r="R1497">
        <v>22</v>
      </c>
      <c r="S1497">
        <v>22680.16</v>
      </c>
      <c r="T1497">
        <v>0</v>
      </c>
      <c r="U1497">
        <v>949.87</v>
      </c>
    </row>
    <row r="1498" spans="1:21" x14ac:dyDescent="0.35">
      <c r="A1498">
        <v>2025</v>
      </c>
      <c r="B1498">
        <v>8</v>
      </c>
      <c r="C1498">
        <v>3</v>
      </c>
      <c r="D1498" s="1">
        <v>45870</v>
      </c>
      <c r="E1498" s="4" t="s">
        <v>34</v>
      </c>
      <c r="F1498" s="4" t="s">
        <v>28</v>
      </c>
      <c r="G1498" s="4" t="s">
        <v>108</v>
      </c>
      <c r="H1498">
        <v>46</v>
      </c>
      <c r="I1498">
        <v>62</v>
      </c>
      <c r="J1498">
        <v>0</v>
      </c>
      <c r="K1498">
        <v>62</v>
      </c>
      <c r="L1498">
        <v>25129.74</v>
      </c>
      <c r="M1498">
        <v>0</v>
      </c>
      <c r="N1498">
        <v>25129.74</v>
      </c>
      <c r="O1498">
        <v>9244.2000000000007</v>
      </c>
      <c r="P1498">
        <v>15885.54</v>
      </c>
      <c r="Q1498">
        <v>0.6321</v>
      </c>
      <c r="R1498">
        <v>6</v>
      </c>
      <c r="S1498">
        <v>3829.74</v>
      </c>
      <c r="T1498">
        <v>0</v>
      </c>
      <c r="U1498">
        <v>546.29999999999995</v>
      </c>
    </row>
    <row r="1499" spans="1:21" x14ac:dyDescent="0.35">
      <c r="A1499">
        <v>2025</v>
      </c>
      <c r="B1499">
        <v>8</v>
      </c>
      <c r="C1499">
        <v>3</v>
      </c>
      <c r="D1499" s="1">
        <v>45870</v>
      </c>
      <c r="E1499" s="4" t="s">
        <v>34</v>
      </c>
      <c r="F1499" s="4" t="s">
        <v>28</v>
      </c>
      <c r="G1499" s="4" t="s">
        <v>109</v>
      </c>
      <c r="H1499">
        <v>702</v>
      </c>
      <c r="I1499">
        <v>1053</v>
      </c>
      <c r="J1499">
        <v>0</v>
      </c>
      <c r="K1499">
        <v>1053</v>
      </c>
      <c r="L1499">
        <v>514871.25</v>
      </c>
      <c r="M1499">
        <v>0</v>
      </c>
      <c r="N1499">
        <v>514871.25</v>
      </c>
      <c r="O1499">
        <v>186389.35</v>
      </c>
      <c r="P1499">
        <v>328481.90000000002</v>
      </c>
      <c r="Q1499">
        <v>0.63800000000000001</v>
      </c>
      <c r="R1499">
        <v>78</v>
      </c>
      <c r="S1499">
        <v>71472.539999999994</v>
      </c>
      <c r="T1499">
        <v>0</v>
      </c>
      <c r="U1499">
        <v>733.43</v>
      </c>
    </row>
    <row r="1500" spans="1:21" x14ac:dyDescent="0.35">
      <c r="A1500">
        <v>2025</v>
      </c>
      <c r="B1500">
        <v>8</v>
      </c>
      <c r="C1500">
        <v>3</v>
      </c>
      <c r="D1500" s="1">
        <v>45870</v>
      </c>
      <c r="E1500" s="4" t="s">
        <v>34</v>
      </c>
      <c r="F1500" s="4" t="s">
        <v>24</v>
      </c>
      <c r="G1500" s="4" t="s">
        <v>107</v>
      </c>
      <c r="H1500">
        <v>100</v>
      </c>
      <c r="I1500">
        <v>153</v>
      </c>
      <c r="J1500">
        <v>3</v>
      </c>
      <c r="K1500">
        <v>150</v>
      </c>
      <c r="L1500">
        <v>265756.65000000002</v>
      </c>
      <c r="M1500">
        <v>5591</v>
      </c>
      <c r="N1500">
        <v>260165.65</v>
      </c>
      <c r="O1500">
        <v>148768.95000000001</v>
      </c>
      <c r="P1500">
        <v>111396.7</v>
      </c>
      <c r="Q1500">
        <v>0.42820000000000003</v>
      </c>
      <c r="R1500">
        <v>11</v>
      </c>
      <c r="S1500">
        <v>36326.97</v>
      </c>
      <c r="T1500">
        <v>0</v>
      </c>
      <c r="U1500">
        <v>2601.66</v>
      </c>
    </row>
    <row r="1501" spans="1:21" x14ac:dyDescent="0.35">
      <c r="A1501">
        <v>2025</v>
      </c>
      <c r="B1501">
        <v>8</v>
      </c>
      <c r="C1501">
        <v>3</v>
      </c>
      <c r="D1501" s="1">
        <v>45870</v>
      </c>
      <c r="E1501" s="4" t="s">
        <v>34</v>
      </c>
      <c r="F1501" s="4" t="s">
        <v>24</v>
      </c>
      <c r="G1501" s="4" t="s">
        <v>108</v>
      </c>
      <c r="H1501">
        <v>13</v>
      </c>
      <c r="I1501">
        <v>21</v>
      </c>
      <c r="J1501">
        <v>0</v>
      </c>
      <c r="K1501">
        <v>21</v>
      </c>
      <c r="L1501">
        <v>27635.16</v>
      </c>
      <c r="M1501">
        <v>0</v>
      </c>
      <c r="N1501">
        <v>27635.16</v>
      </c>
      <c r="O1501">
        <v>15927.45</v>
      </c>
      <c r="P1501">
        <v>11707.71</v>
      </c>
      <c r="Q1501">
        <v>0.42370000000000002</v>
      </c>
      <c r="R1501">
        <v>2</v>
      </c>
      <c r="S1501">
        <v>2813.16</v>
      </c>
      <c r="T1501">
        <v>0</v>
      </c>
      <c r="U1501">
        <v>2125.7800000000002</v>
      </c>
    </row>
    <row r="1502" spans="1:21" x14ac:dyDescent="0.35">
      <c r="A1502">
        <v>2025</v>
      </c>
      <c r="B1502">
        <v>8</v>
      </c>
      <c r="C1502">
        <v>3</v>
      </c>
      <c r="D1502" s="1">
        <v>45870</v>
      </c>
      <c r="E1502" s="4" t="s">
        <v>34</v>
      </c>
      <c r="F1502" s="4" t="s">
        <v>24</v>
      </c>
      <c r="G1502" s="4" t="s">
        <v>109</v>
      </c>
      <c r="H1502">
        <v>222</v>
      </c>
      <c r="I1502">
        <v>352</v>
      </c>
      <c r="J1502">
        <v>6</v>
      </c>
      <c r="K1502">
        <v>346</v>
      </c>
      <c r="L1502">
        <v>595062.32999999996</v>
      </c>
      <c r="M1502">
        <v>8025</v>
      </c>
      <c r="N1502">
        <v>587037.32999999996</v>
      </c>
      <c r="O1502">
        <v>333209.8</v>
      </c>
      <c r="P1502">
        <v>253827.53</v>
      </c>
      <c r="Q1502">
        <v>0.43240000000000001</v>
      </c>
      <c r="R1502">
        <v>21</v>
      </c>
      <c r="S1502">
        <v>64427.33</v>
      </c>
      <c r="T1502">
        <v>0</v>
      </c>
      <c r="U1502">
        <v>2644.31</v>
      </c>
    </row>
    <row r="1503" spans="1:21" x14ac:dyDescent="0.35">
      <c r="A1503">
        <v>2025</v>
      </c>
      <c r="B1503">
        <v>8</v>
      </c>
      <c r="C1503">
        <v>3</v>
      </c>
      <c r="D1503" s="1">
        <v>45870</v>
      </c>
      <c r="E1503" s="4" t="s">
        <v>34</v>
      </c>
      <c r="F1503" s="4" t="s">
        <v>26</v>
      </c>
      <c r="G1503" s="4" t="s">
        <v>107</v>
      </c>
      <c r="H1503">
        <v>4</v>
      </c>
      <c r="I1503">
        <v>5</v>
      </c>
      <c r="J1503">
        <v>0</v>
      </c>
      <c r="K1503">
        <v>5</v>
      </c>
      <c r="L1503">
        <v>2860</v>
      </c>
      <c r="M1503">
        <v>0</v>
      </c>
      <c r="N1503">
        <v>2860</v>
      </c>
      <c r="O1503">
        <v>1716</v>
      </c>
      <c r="P1503">
        <v>1144</v>
      </c>
      <c r="Q1503">
        <v>0.4</v>
      </c>
      <c r="R1503">
        <v>0</v>
      </c>
      <c r="S1503">
        <v>0</v>
      </c>
      <c r="T1503">
        <v>0</v>
      </c>
      <c r="U1503">
        <v>715</v>
      </c>
    </row>
    <row r="1504" spans="1:21" x14ac:dyDescent="0.35">
      <c r="A1504">
        <v>2025</v>
      </c>
      <c r="B1504">
        <v>8</v>
      </c>
      <c r="C1504">
        <v>3</v>
      </c>
      <c r="D1504" s="1">
        <v>45870</v>
      </c>
      <c r="E1504" s="4" t="s">
        <v>34</v>
      </c>
      <c r="F1504" s="4" t="s">
        <v>26</v>
      </c>
      <c r="G1504" s="4" t="s">
        <v>108</v>
      </c>
      <c r="H1504">
        <v>5</v>
      </c>
      <c r="I1504">
        <v>5</v>
      </c>
      <c r="J1504">
        <v>1</v>
      </c>
      <c r="K1504">
        <v>4</v>
      </c>
      <c r="L1504">
        <v>1830</v>
      </c>
      <c r="M1504">
        <v>366</v>
      </c>
      <c r="N1504">
        <v>1464</v>
      </c>
      <c r="O1504">
        <v>878.4</v>
      </c>
      <c r="P1504">
        <v>585.6</v>
      </c>
      <c r="Q1504">
        <v>0.4</v>
      </c>
      <c r="R1504">
        <v>0</v>
      </c>
      <c r="S1504">
        <v>0</v>
      </c>
      <c r="T1504">
        <v>0</v>
      </c>
      <c r="U1504">
        <v>292.8</v>
      </c>
    </row>
    <row r="1505" spans="1:21" x14ac:dyDescent="0.35">
      <c r="A1505">
        <v>2025</v>
      </c>
      <c r="B1505">
        <v>8</v>
      </c>
      <c r="C1505">
        <v>3</v>
      </c>
      <c r="D1505" s="1">
        <v>45870</v>
      </c>
      <c r="E1505" s="4" t="s">
        <v>34</v>
      </c>
      <c r="F1505" s="4" t="s">
        <v>26</v>
      </c>
      <c r="G1505" s="4" t="s">
        <v>109</v>
      </c>
      <c r="H1505">
        <v>41</v>
      </c>
      <c r="I1505">
        <v>63</v>
      </c>
      <c r="J1505">
        <v>0</v>
      </c>
      <c r="K1505">
        <v>63</v>
      </c>
      <c r="L1505">
        <v>44945.3</v>
      </c>
      <c r="M1505">
        <v>0</v>
      </c>
      <c r="N1505">
        <v>44945.3</v>
      </c>
      <c r="O1505">
        <v>27712.799999999999</v>
      </c>
      <c r="P1505">
        <v>17232.5</v>
      </c>
      <c r="Q1505">
        <v>0.38340000000000002</v>
      </c>
      <c r="R1505">
        <v>6</v>
      </c>
      <c r="S1505">
        <v>5932.3</v>
      </c>
      <c r="T1505">
        <v>0</v>
      </c>
      <c r="U1505">
        <v>1096.23</v>
      </c>
    </row>
    <row r="1506" spans="1:21" x14ac:dyDescent="0.35">
      <c r="A1506">
        <v>2025</v>
      </c>
      <c r="B1506">
        <v>8</v>
      </c>
      <c r="C1506">
        <v>3</v>
      </c>
      <c r="D1506" s="1">
        <v>45870</v>
      </c>
      <c r="E1506" s="4" t="s">
        <v>36</v>
      </c>
      <c r="F1506" s="4" t="s">
        <v>28</v>
      </c>
      <c r="G1506" s="4" t="s">
        <v>107</v>
      </c>
      <c r="H1506">
        <v>69</v>
      </c>
      <c r="I1506">
        <v>113</v>
      </c>
      <c r="J1506">
        <v>0</v>
      </c>
      <c r="K1506">
        <v>113</v>
      </c>
      <c r="L1506">
        <v>73371.649999999994</v>
      </c>
      <c r="M1506">
        <v>0</v>
      </c>
      <c r="N1506">
        <v>73371.649999999994</v>
      </c>
      <c r="O1506">
        <v>26381.95</v>
      </c>
      <c r="P1506">
        <v>46989.7</v>
      </c>
      <c r="Q1506">
        <v>0.64039999999999997</v>
      </c>
      <c r="R1506">
        <v>7</v>
      </c>
      <c r="S1506">
        <v>9075.65</v>
      </c>
      <c r="T1506">
        <v>0</v>
      </c>
      <c r="U1506">
        <v>1063.3599999999999</v>
      </c>
    </row>
    <row r="1507" spans="1:21" x14ac:dyDescent="0.35">
      <c r="A1507">
        <v>2025</v>
      </c>
      <c r="B1507">
        <v>8</v>
      </c>
      <c r="C1507">
        <v>3</v>
      </c>
      <c r="D1507" s="1">
        <v>45870</v>
      </c>
      <c r="E1507" s="4" t="s">
        <v>36</v>
      </c>
      <c r="F1507" s="4" t="s">
        <v>28</v>
      </c>
      <c r="G1507" s="4" t="s">
        <v>108</v>
      </c>
      <c r="H1507">
        <v>149</v>
      </c>
      <c r="I1507">
        <v>212</v>
      </c>
      <c r="J1507">
        <v>0</v>
      </c>
      <c r="K1507">
        <v>212</v>
      </c>
      <c r="L1507">
        <v>68291.039999999994</v>
      </c>
      <c r="M1507">
        <v>0</v>
      </c>
      <c r="N1507">
        <v>68291.039999999994</v>
      </c>
      <c r="O1507">
        <v>24764.6</v>
      </c>
      <c r="P1507">
        <v>43526.44</v>
      </c>
      <c r="Q1507">
        <v>0.63739999999999997</v>
      </c>
      <c r="R1507">
        <v>15</v>
      </c>
      <c r="S1507">
        <v>9373.43</v>
      </c>
      <c r="T1507">
        <v>0</v>
      </c>
      <c r="U1507">
        <v>458.33</v>
      </c>
    </row>
    <row r="1508" spans="1:21" x14ac:dyDescent="0.35">
      <c r="A1508">
        <v>2025</v>
      </c>
      <c r="B1508">
        <v>8</v>
      </c>
      <c r="C1508">
        <v>3</v>
      </c>
      <c r="D1508" s="1">
        <v>45870</v>
      </c>
      <c r="E1508" s="4" t="s">
        <v>36</v>
      </c>
      <c r="F1508" s="4" t="s">
        <v>28</v>
      </c>
      <c r="G1508" s="4" t="s">
        <v>109</v>
      </c>
      <c r="H1508">
        <v>697</v>
      </c>
      <c r="I1508">
        <v>1045</v>
      </c>
      <c r="J1508">
        <v>0</v>
      </c>
      <c r="K1508">
        <v>1045</v>
      </c>
      <c r="L1508">
        <v>506515.74</v>
      </c>
      <c r="M1508">
        <v>0</v>
      </c>
      <c r="N1508">
        <v>506515.74</v>
      </c>
      <c r="O1508">
        <v>182782.95</v>
      </c>
      <c r="P1508">
        <v>323732.78999999998</v>
      </c>
      <c r="Q1508">
        <v>0.6391</v>
      </c>
      <c r="R1508">
        <v>74</v>
      </c>
      <c r="S1508">
        <v>62025.74</v>
      </c>
      <c r="T1508">
        <v>0</v>
      </c>
      <c r="U1508">
        <v>726.71</v>
      </c>
    </row>
    <row r="1509" spans="1:21" x14ac:dyDescent="0.35">
      <c r="A1509">
        <v>2025</v>
      </c>
      <c r="B1509">
        <v>8</v>
      </c>
      <c r="C1509">
        <v>3</v>
      </c>
      <c r="D1509" s="1">
        <v>45870</v>
      </c>
      <c r="E1509" s="4" t="s">
        <v>36</v>
      </c>
      <c r="F1509" s="4" t="s">
        <v>24</v>
      </c>
      <c r="G1509" s="4" t="s">
        <v>107</v>
      </c>
      <c r="H1509">
        <v>58</v>
      </c>
      <c r="I1509">
        <v>88</v>
      </c>
      <c r="J1509">
        <v>0</v>
      </c>
      <c r="K1509">
        <v>88</v>
      </c>
      <c r="L1509">
        <v>120721.06</v>
      </c>
      <c r="M1509">
        <v>0</v>
      </c>
      <c r="N1509">
        <v>120721.06</v>
      </c>
      <c r="O1509">
        <v>67087.899999999994</v>
      </c>
      <c r="P1509">
        <v>53633.16</v>
      </c>
      <c r="Q1509">
        <v>0.44429999999999997</v>
      </c>
      <c r="R1509">
        <v>2</v>
      </c>
      <c r="S1509">
        <v>6252.06</v>
      </c>
      <c r="T1509">
        <v>0</v>
      </c>
      <c r="U1509">
        <v>2081.4</v>
      </c>
    </row>
    <row r="1510" spans="1:21" x14ac:dyDescent="0.35">
      <c r="A1510">
        <v>2025</v>
      </c>
      <c r="B1510">
        <v>8</v>
      </c>
      <c r="C1510">
        <v>3</v>
      </c>
      <c r="D1510" s="1">
        <v>45870</v>
      </c>
      <c r="E1510" s="4" t="s">
        <v>36</v>
      </c>
      <c r="F1510" s="4" t="s">
        <v>24</v>
      </c>
      <c r="G1510" s="4" t="s">
        <v>108</v>
      </c>
      <c r="H1510">
        <v>28</v>
      </c>
      <c r="I1510">
        <v>36</v>
      </c>
      <c r="J1510">
        <v>0</v>
      </c>
      <c r="K1510">
        <v>36</v>
      </c>
      <c r="L1510">
        <v>60792</v>
      </c>
      <c r="M1510">
        <v>0</v>
      </c>
      <c r="N1510">
        <v>60792</v>
      </c>
      <c r="O1510">
        <v>33638</v>
      </c>
      <c r="P1510">
        <v>27154</v>
      </c>
      <c r="Q1510">
        <v>0.44669999999999999</v>
      </c>
      <c r="R1510">
        <v>1</v>
      </c>
      <c r="S1510">
        <v>1232</v>
      </c>
      <c r="T1510">
        <v>0</v>
      </c>
      <c r="U1510">
        <v>2171.14</v>
      </c>
    </row>
    <row r="1511" spans="1:21" x14ac:dyDescent="0.35">
      <c r="A1511">
        <v>2025</v>
      </c>
      <c r="B1511">
        <v>8</v>
      </c>
      <c r="C1511">
        <v>3</v>
      </c>
      <c r="D1511" s="1">
        <v>45870</v>
      </c>
      <c r="E1511" s="4" t="s">
        <v>36</v>
      </c>
      <c r="F1511" s="4" t="s">
        <v>24</v>
      </c>
      <c r="G1511" s="4" t="s">
        <v>109</v>
      </c>
      <c r="H1511">
        <v>139</v>
      </c>
      <c r="I1511">
        <v>207</v>
      </c>
      <c r="J1511">
        <v>1</v>
      </c>
      <c r="K1511">
        <v>206</v>
      </c>
      <c r="L1511">
        <v>328988.17</v>
      </c>
      <c r="M1511">
        <v>1440</v>
      </c>
      <c r="N1511">
        <v>327548.17</v>
      </c>
      <c r="O1511">
        <v>186435.7</v>
      </c>
      <c r="P1511">
        <v>141112.47</v>
      </c>
      <c r="Q1511">
        <v>0.43080000000000002</v>
      </c>
      <c r="R1511">
        <v>12</v>
      </c>
      <c r="S1511">
        <v>37395.589999999997</v>
      </c>
      <c r="T1511">
        <v>0</v>
      </c>
      <c r="U1511">
        <v>2356.46</v>
      </c>
    </row>
    <row r="1512" spans="1:21" x14ac:dyDescent="0.35">
      <c r="A1512">
        <v>2025</v>
      </c>
      <c r="B1512">
        <v>8</v>
      </c>
      <c r="C1512">
        <v>3</v>
      </c>
      <c r="D1512" s="1">
        <v>45870</v>
      </c>
      <c r="E1512" s="4" t="s">
        <v>36</v>
      </c>
      <c r="F1512" s="4" t="s">
        <v>26</v>
      </c>
      <c r="G1512" s="4" t="s">
        <v>107</v>
      </c>
      <c r="H1512">
        <v>3</v>
      </c>
      <c r="I1512">
        <v>5</v>
      </c>
      <c r="J1512">
        <v>0</v>
      </c>
      <c r="K1512">
        <v>5</v>
      </c>
      <c r="L1512">
        <v>2345</v>
      </c>
      <c r="M1512">
        <v>0</v>
      </c>
      <c r="N1512">
        <v>2345</v>
      </c>
      <c r="O1512">
        <v>1407</v>
      </c>
      <c r="P1512">
        <v>938</v>
      </c>
      <c r="Q1512">
        <v>0.4</v>
      </c>
      <c r="R1512">
        <v>0</v>
      </c>
      <c r="S1512">
        <v>0</v>
      </c>
      <c r="T1512">
        <v>0</v>
      </c>
      <c r="U1512">
        <v>781.67</v>
      </c>
    </row>
    <row r="1513" spans="1:21" x14ac:dyDescent="0.35">
      <c r="A1513">
        <v>2025</v>
      </c>
      <c r="B1513">
        <v>8</v>
      </c>
      <c r="C1513">
        <v>3</v>
      </c>
      <c r="D1513" s="1">
        <v>45870</v>
      </c>
      <c r="E1513" s="4" t="s">
        <v>36</v>
      </c>
      <c r="F1513" s="4" t="s">
        <v>26</v>
      </c>
      <c r="G1513" s="4" t="s">
        <v>109</v>
      </c>
      <c r="H1513">
        <v>66</v>
      </c>
      <c r="I1513">
        <v>97</v>
      </c>
      <c r="J1513">
        <v>2</v>
      </c>
      <c r="K1513">
        <v>95</v>
      </c>
      <c r="L1513">
        <v>80177.45</v>
      </c>
      <c r="M1513">
        <v>2338</v>
      </c>
      <c r="N1513">
        <v>77839.45</v>
      </c>
      <c r="O1513">
        <v>48904.2</v>
      </c>
      <c r="P1513">
        <v>28935.25</v>
      </c>
      <c r="Q1513">
        <v>0.37169999999999997</v>
      </c>
      <c r="R1513">
        <v>8</v>
      </c>
      <c r="S1513">
        <v>10904.12</v>
      </c>
      <c r="T1513">
        <v>0</v>
      </c>
      <c r="U1513">
        <v>1179.3900000000001</v>
      </c>
    </row>
    <row r="1514" spans="1:21" x14ac:dyDescent="0.35">
      <c r="A1514">
        <v>2025</v>
      </c>
      <c r="B1514">
        <v>8</v>
      </c>
      <c r="C1514">
        <v>3</v>
      </c>
      <c r="D1514" s="1">
        <v>45870</v>
      </c>
      <c r="E1514" s="4" t="s">
        <v>23</v>
      </c>
      <c r="F1514" s="4" t="s">
        <v>28</v>
      </c>
      <c r="G1514" s="4" t="s">
        <v>107</v>
      </c>
      <c r="H1514">
        <v>120</v>
      </c>
      <c r="I1514">
        <v>169</v>
      </c>
      <c r="J1514">
        <v>0</v>
      </c>
      <c r="K1514">
        <v>169</v>
      </c>
      <c r="L1514">
        <v>55840.98</v>
      </c>
      <c r="M1514">
        <v>0</v>
      </c>
      <c r="N1514">
        <v>55840.98</v>
      </c>
      <c r="O1514">
        <v>19992.7</v>
      </c>
      <c r="P1514">
        <v>35848.28</v>
      </c>
      <c r="Q1514">
        <v>0.64200000000000002</v>
      </c>
      <c r="R1514">
        <v>6</v>
      </c>
      <c r="S1514">
        <v>4126.9799999999996</v>
      </c>
      <c r="T1514">
        <v>0</v>
      </c>
      <c r="U1514">
        <v>465.34</v>
      </c>
    </row>
    <row r="1515" spans="1:21" x14ac:dyDescent="0.35">
      <c r="A1515">
        <v>2025</v>
      </c>
      <c r="B1515">
        <v>8</v>
      </c>
      <c r="C1515">
        <v>3</v>
      </c>
      <c r="D1515" s="1">
        <v>45870</v>
      </c>
      <c r="E1515" s="4" t="s">
        <v>23</v>
      </c>
      <c r="F1515" s="4" t="s">
        <v>28</v>
      </c>
      <c r="G1515" s="4" t="s">
        <v>108</v>
      </c>
      <c r="H1515">
        <v>35</v>
      </c>
      <c r="I1515">
        <v>46</v>
      </c>
      <c r="J1515">
        <v>0</v>
      </c>
      <c r="K1515">
        <v>46</v>
      </c>
      <c r="L1515">
        <v>30995.27</v>
      </c>
      <c r="M1515">
        <v>0</v>
      </c>
      <c r="N1515">
        <v>30995.27</v>
      </c>
      <c r="O1515">
        <v>11318.3</v>
      </c>
      <c r="P1515">
        <v>19676.97</v>
      </c>
      <c r="Q1515">
        <v>0.63480000000000003</v>
      </c>
      <c r="R1515">
        <v>4</v>
      </c>
      <c r="S1515">
        <v>5687.27</v>
      </c>
      <c r="T1515">
        <v>0</v>
      </c>
      <c r="U1515">
        <v>885.58</v>
      </c>
    </row>
    <row r="1516" spans="1:21" x14ac:dyDescent="0.35">
      <c r="A1516">
        <v>2025</v>
      </c>
      <c r="B1516">
        <v>8</v>
      </c>
      <c r="C1516">
        <v>3</v>
      </c>
      <c r="D1516" s="1">
        <v>45870</v>
      </c>
      <c r="E1516" s="4" t="s">
        <v>23</v>
      </c>
      <c r="F1516" s="4" t="s">
        <v>28</v>
      </c>
      <c r="G1516" s="4" t="s">
        <v>109</v>
      </c>
      <c r="H1516">
        <v>577</v>
      </c>
      <c r="I1516">
        <v>861</v>
      </c>
      <c r="J1516">
        <v>0</v>
      </c>
      <c r="K1516">
        <v>861</v>
      </c>
      <c r="L1516">
        <v>404093.57</v>
      </c>
      <c r="M1516">
        <v>0</v>
      </c>
      <c r="N1516">
        <v>404093.57</v>
      </c>
      <c r="O1516">
        <v>145569.20000000001</v>
      </c>
      <c r="P1516">
        <v>258524.37</v>
      </c>
      <c r="Q1516">
        <v>0.63980000000000004</v>
      </c>
      <c r="R1516">
        <v>65</v>
      </c>
      <c r="S1516">
        <v>45280.639999999999</v>
      </c>
      <c r="T1516">
        <v>0</v>
      </c>
      <c r="U1516">
        <v>700.34</v>
      </c>
    </row>
    <row r="1517" spans="1:21" x14ac:dyDescent="0.35">
      <c r="A1517">
        <v>2025</v>
      </c>
      <c r="B1517">
        <v>8</v>
      </c>
      <c r="C1517">
        <v>3</v>
      </c>
      <c r="D1517" s="1">
        <v>45870</v>
      </c>
      <c r="E1517" s="4" t="s">
        <v>23</v>
      </c>
      <c r="F1517" s="4" t="s">
        <v>24</v>
      </c>
      <c r="G1517" s="4" t="s">
        <v>107</v>
      </c>
      <c r="H1517">
        <v>63</v>
      </c>
      <c r="I1517">
        <v>103</v>
      </c>
      <c r="J1517">
        <v>2</v>
      </c>
      <c r="K1517">
        <v>101</v>
      </c>
      <c r="L1517">
        <v>168235.42</v>
      </c>
      <c r="M1517">
        <v>2542</v>
      </c>
      <c r="N1517">
        <v>165693.42000000001</v>
      </c>
      <c r="O1517">
        <v>94963</v>
      </c>
      <c r="P1517">
        <v>70730.42</v>
      </c>
      <c r="Q1517">
        <v>0.4269</v>
      </c>
      <c r="R1517">
        <v>8</v>
      </c>
      <c r="S1517">
        <v>20362.240000000002</v>
      </c>
      <c r="T1517">
        <v>0</v>
      </c>
      <c r="U1517">
        <v>2630.05</v>
      </c>
    </row>
    <row r="1518" spans="1:21" x14ac:dyDescent="0.35">
      <c r="A1518">
        <v>2025</v>
      </c>
      <c r="B1518">
        <v>8</v>
      </c>
      <c r="C1518">
        <v>3</v>
      </c>
      <c r="D1518" s="1">
        <v>45870</v>
      </c>
      <c r="E1518" s="4" t="s">
        <v>23</v>
      </c>
      <c r="F1518" s="4" t="s">
        <v>24</v>
      </c>
      <c r="G1518" s="4" t="s">
        <v>109</v>
      </c>
      <c r="H1518">
        <v>156</v>
      </c>
      <c r="I1518">
        <v>247</v>
      </c>
      <c r="J1518">
        <v>2</v>
      </c>
      <c r="K1518">
        <v>245</v>
      </c>
      <c r="L1518">
        <v>256373.52</v>
      </c>
      <c r="M1518">
        <v>2578</v>
      </c>
      <c r="N1518">
        <v>253795.52</v>
      </c>
      <c r="O1518">
        <v>144996.5</v>
      </c>
      <c r="P1518">
        <v>108799.02</v>
      </c>
      <c r="Q1518">
        <v>0.42870000000000003</v>
      </c>
      <c r="R1518">
        <v>15</v>
      </c>
      <c r="S1518">
        <v>35790.519999999997</v>
      </c>
      <c r="T1518">
        <v>0</v>
      </c>
      <c r="U1518">
        <v>1626.89</v>
      </c>
    </row>
    <row r="1519" spans="1:21" x14ac:dyDescent="0.35">
      <c r="A1519">
        <v>2025</v>
      </c>
      <c r="B1519">
        <v>8</v>
      </c>
      <c r="C1519">
        <v>3</v>
      </c>
      <c r="D1519" s="1">
        <v>45870</v>
      </c>
      <c r="E1519" s="4" t="s">
        <v>23</v>
      </c>
      <c r="F1519" s="4" t="s">
        <v>26</v>
      </c>
      <c r="G1519" s="4" t="s">
        <v>107</v>
      </c>
      <c r="H1519">
        <v>10</v>
      </c>
      <c r="I1519">
        <v>15</v>
      </c>
      <c r="J1519">
        <v>0</v>
      </c>
      <c r="K1519">
        <v>15</v>
      </c>
      <c r="L1519">
        <v>8265.32</v>
      </c>
      <c r="M1519">
        <v>0</v>
      </c>
      <c r="N1519">
        <v>8265.32</v>
      </c>
      <c r="O1519">
        <v>5151</v>
      </c>
      <c r="P1519">
        <v>3114.32</v>
      </c>
      <c r="Q1519">
        <v>0.37680000000000002</v>
      </c>
      <c r="R1519">
        <v>2</v>
      </c>
      <c r="S1519">
        <v>1928.32</v>
      </c>
      <c r="T1519">
        <v>0</v>
      </c>
      <c r="U1519">
        <v>826.53</v>
      </c>
    </row>
    <row r="1520" spans="1:21" x14ac:dyDescent="0.35">
      <c r="A1520">
        <v>2025</v>
      </c>
      <c r="B1520">
        <v>8</v>
      </c>
      <c r="C1520">
        <v>3</v>
      </c>
      <c r="D1520" s="1">
        <v>45870</v>
      </c>
      <c r="E1520" s="4" t="s">
        <v>23</v>
      </c>
      <c r="F1520" s="4" t="s">
        <v>26</v>
      </c>
      <c r="G1520" s="4" t="s">
        <v>109</v>
      </c>
      <c r="H1520">
        <v>36</v>
      </c>
      <c r="I1520">
        <v>58</v>
      </c>
      <c r="J1520">
        <v>0</v>
      </c>
      <c r="K1520">
        <v>58</v>
      </c>
      <c r="L1520">
        <v>37729.18</v>
      </c>
      <c r="M1520">
        <v>0</v>
      </c>
      <c r="N1520">
        <v>37729.18</v>
      </c>
      <c r="O1520">
        <v>24366.6</v>
      </c>
      <c r="P1520">
        <v>13362.58</v>
      </c>
      <c r="Q1520">
        <v>0.35420000000000001</v>
      </c>
      <c r="R1520">
        <v>6</v>
      </c>
      <c r="S1520">
        <v>8109.96</v>
      </c>
      <c r="T1520">
        <v>0</v>
      </c>
      <c r="U1520">
        <v>1048.03</v>
      </c>
    </row>
    <row r="1521" spans="1:21" x14ac:dyDescent="0.35">
      <c r="A1521">
        <v>2025</v>
      </c>
      <c r="B1521">
        <v>8</v>
      </c>
      <c r="C1521">
        <v>3</v>
      </c>
      <c r="D1521" s="1">
        <v>45870</v>
      </c>
      <c r="E1521" s="4" t="s">
        <v>25</v>
      </c>
      <c r="F1521" s="4" t="s">
        <v>28</v>
      </c>
      <c r="G1521" s="4" t="s">
        <v>107</v>
      </c>
      <c r="H1521">
        <v>34</v>
      </c>
      <c r="I1521">
        <v>52</v>
      </c>
      <c r="J1521">
        <v>0</v>
      </c>
      <c r="K1521">
        <v>52</v>
      </c>
      <c r="L1521">
        <v>24845.03</v>
      </c>
      <c r="M1521">
        <v>0</v>
      </c>
      <c r="N1521">
        <v>24845.03</v>
      </c>
      <c r="O1521">
        <v>9045.4</v>
      </c>
      <c r="P1521">
        <v>15799.63</v>
      </c>
      <c r="Q1521">
        <v>0.63590000000000002</v>
      </c>
      <c r="R1521">
        <v>4</v>
      </c>
      <c r="S1521">
        <v>3971.03</v>
      </c>
      <c r="T1521">
        <v>0</v>
      </c>
      <c r="U1521">
        <v>730.74</v>
      </c>
    </row>
    <row r="1522" spans="1:21" x14ac:dyDescent="0.35">
      <c r="A1522">
        <v>2025</v>
      </c>
      <c r="B1522">
        <v>8</v>
      </c>
      <c r="C1522">
        <v>3</v>
      </c>
      <c r="D1522" s="1">
        <v>45870</v>
      </c>
      <c r="E1522" s="4" t="s">
        <v>25</v>
      </c>
      <c r="F1522" s="4" t="s">
        <v>28</v>
      </c>
      <c r="G1522" s="4" t="s">
        <v>109</v>
      </c>
      <c r="H1522">
        <v>634</v>
      </c>
      <c r="I1522">
        <v>952</v>
      </c>
      <c r="J1522">
        <v>0</v>
      </c>
      <c r="K1522">
        <v>952</v>
      </c>
      <c r="L1522">
        <v>490803.27</v>
      </c>
      <c r="M1522">
        <v>0</v>
      </c>
      <c r="N1522">
        <v>490803.27</v>
      </c>
      <c r="O1522">
        <v>178826.2</v>
      </c>
      <c r="P1522">
        <v>311977.07</v>
      </c>
      <c r="Q1522">
        <v>0.63560000000000005</v>
      </c>
      <c r="R1522">
        <v>83</v>
      </c>
      <c r="S1522">
        <v>78585.66</v>
      </c>
      <c r="T1522">
        <v>0</v>
      </c>
      <c r="U1522">
        <v>774.14</v>
      </c>
    </row>
    <row r="1523" spans="1:21" x14ac:dyDescent="0.35">
      <c r="A1523">
        <v>2025</v>
      </c>
      <c r="B1523">
        <v>8</v>
      </c>
      <c r="C1523">
        <v>3</v>
      </c>
      <c r="D1523" s="1">
        <v>45870</v>
      </c>
      <c r="E1523" s="4" t="s">
        <v>25</v>
      </c>
      <c r="F1523" s="4" t="s">
        <v>24</v>
      </c>
      <c r="G1523" s="4" t="s">
        <v>107</v>
      </c>
      <c r="H1523">
        <v>23</v>
      </c>
      <c r="I1523">
        <v>34</v>
      </c>
      <c r="J1523">
        <v>2</v>
      </c>
      <c r="K1523">
        <v>32</v>
      </c>
      <c r="L1523">
        <v>60600.83</v>
      </c>
      <c r="M1523">
        <v>3670</v>
      </c>
      <c r="N1523">
        <v>56930.83</v>
      </c>
      <c r="O1523">
        <v>33472.449999999997</v>
      </c>
      <c r="P1523">
        <v>23458.38</v>
      </c>
      <c r="Q1523">
        <v>0.41210000000000002</v>
      </c>
      <c r="R1523">
        <v>3</v>
      </c>
      <c r="S1523">
        <v>11966.83</v>
      </c>
      <c r="T1523">
        <v>0</v>
      </c>
      <c r="U1523">
        <v>2475.25</v>
      </c>
    </row>
    <row r="1524" spans="1:21" x14ac:dyDescent="0.35">
      <c r="A1524">
        <v>2025</v>
      </c>
      <c r="B1524">
        <v>8</v>
      </c>
      <c r="C1524">
        <v>3</v>
      </c>
      <c r="D1524" s="1">
        <v>45870</v>
      </c>
      <c r="E1524" s="4" t="s">
        <v>25</v>
      </c>
      <c r="F1524" s="4" t="s">
        <v>24</v>
      </c>
      <c r="G1524" s="4" t="s">
        <v>109</v>
      </c>
      <c r="H1524">
        <v>213</v>
      </c>
      <c r="I1524">
        <v>303</v>
      </c>
      <c r="J1524">
        <v>7</v>
      </c>
      <c r="K1524">
        <v>296</v>
      </c>
      <c r="L1524">
        <v>435542.95</v>
      </c>
      <c r="M1524">
        <v>9803.5400000000009</v>
      </c>
      <c r="N1524">
        <v>425739.41</v>
      </c>
      <c r="O1524">
        <v>241897.15</v>
      </c>
      <c r="P1524">
        <v>183842.26</v>
      </c>
      <c r="Q1524">
        <v>0.43180000000000002</v>
      </c>
      <c r="R1524">
        <v>17</v>
      </c>
      <c r="S1524">
        <v>46644.41</v>
      </c>
      <c r="T1524">
        <v>0</v>
      </c>
      <c r="U1524">
        <v>1998.78</v>
      </c>
    </row>
    <row r="1525" spans="1:21" x14ac:dyDescent="0.35">
      <c r="A1525">
        <v>2025</v>
      </c>
      <c r="B1525">
        <v>8</v>
      </c>
      <c r="C1525">
        <v>3</v>
      </c>
      <c r="D1525" s="1">
        <v>45870</v>
      </c>
      <c r="E1525" s="4" t="s">
        <v>25</v>
      </c>
      <c r="F1525" s="4" t="s">
        <v>26</v>
      </c>
      <c r="G1525" s="4" t="s">
        <v>107</v>
      </c>
      <c r="H1525">
        <v>17</v>
      </c>
      <c r="I1525">
        <v>31</v>
      </c>
      <c r="J1525">
        <v>0</v>
      </c>
      <c r="K1525">
        <v>31</v>
      </c>
      <c r="L1525">
        <v>23400.76</v>
      </c>
      <c r="M1525">
        <v>0</v>
      </c>
      <c r="N1525">
        <v>23400.76</v>
      </c>
      <c r="O1525">
        <v>14721</v>
      </c>
      <c r="P1525">
        <v>8679.76</v>
      </c>
      <c r="Q1525">
        <v>0.37090000000000001</v>
      </c>
      <c r="R1525">
        <v>3</v>
      </c>
      <c r="S1525">
        <v>4203.76</v>
      </c>
      <c r="T1525">
        <v>0</v>
      </c>
      <c r="U1525">
        <v>1376.52</v>
      </c>
    </row>
    <row r="1526" spans="1:21" x14ac:dyDescent="0.35">
      <c r="A1526">
        <v>2025</v>
      </c>
      <c r="B1526">
        <v>8</v>
      </c>
      <c r="C1526">
        <v>3</v>
      </c>
      <c r="D1526" s="1">
        <v>45870</v>
      </c>
      <c r="E1526" s="4" t="s">
        <v>25</v>
      </c>
      <c r="F1526" s="4" t="s">
        <v>26</v>
      </c>
      <c r="G1526" s="4" t="s">
        <v>109</v>
      </c>
      <c r="H1526">
        <v>39</v>
      </c>
      <c r="I1526">
        <v>63</v>
      </c>
      <c r="J1526">
        <v>1</v>
      </c>
      <c r="K1526">
        <v>62</v>
      </c>
      <c r="L1526">
        <v>44974.559999999998</v>
      </c>
      <c r="M1526">
        <v>966</v>
      </c>
      <c r="N1526">
        <v>44008.56</v>
      </c>
      <c r="O1526">
        <v>28278.6</v>
      </c>
      <c r="P1526">
        <v>15729.96</v>
      </c>
      <c r="Q1526">
        <v>0.3574</v>
      </c>
      <c r="R1526">
        <v>8</v>
      </c>
      <c r="S1526">
        <v>10503.56</v>
      </c>
      <c r="T1526">
        <v>0</v>
      </c>
      <c r="U1526">
        <v>1128.42</v>
      </c>
    </row>
    <row r="1527" spans="1:21" x14ac:dyDescent="0.35">
      <c r="A1527">
        <v>2025</v>
      </c>
      <c r="B1527">
        <v>8</v>
      </c>
      <c r="C1527">
        <v>3</v>
      </c>
      <c r="D1527" s="1">
        <v>45870</v>
      </c>
      <c r="E1527" s="4" t="s">
        <v>29</v>
      </c>
      <c r="F1527" s="4" t="s">
        <v>28</v>
      </c>
      <c r="G1527" s="4" t="s">
        <v>107</v>
      </c>
      <c r="H1527">
        <v>204</v>
      </c>
      <c r="I1527">
        <v>300</v>
      </c>
      <c r="J1527">
        <v>0</v>
      </c>
      <c r="K1527">
        <v>300</v>
      </c>
      <c r="L1527">
        <v>142000.35</v>
      </c>
      <c r="M1527">
        <v>0</v>
      </c>
      <c r="N1527">
        <v>142000.35</v>
      </c>
      <c r="O1527">
        <v>51567.6</v>
      </c>
      <c r="P1527">
        <v>90432.75</v>
      </c>
      <c r="Q1527">
        <v>0.63680000000000003</v>
      </c>
      <c r="R1527">
        <v>23</v>
      </c>
      <c r="S1527">
        <v>19843.8</v>
      </c>
      <c r="T1527">
        <v>0</v>
      </c>
      <c r="U1527">
        <v>696.08</v>
      </c>
    </row>
    <row r="1528" spans="1:21" x14ac:dyDescent="0.35">
      <c r="A1528">
        <v>2025</v>
      </c>
      <c r="B1528">
        <v>8</v>
      </c>
      <c r="C1528">
        <v>3</v>
      </c>
      <c r="D1528" s="1">
        <v>45870</v>
      </c>
      <c r="E1528" s="4" t="s">
        <v>29</v>
      </c>
      <c r="F1528" s="4" t="s">
        <v>28</v>
      </c>
      <c r="G1528" s="4" t="s">
        <v>108</v>
      </c>
      <c r="H1528">
        <v>62</v>
      </c>
      <c r="I1528">
        <v>87</v>
      </c>
      <c r="J1528">
        <v>0</v>
      </c>
      <c r="K1528">
        <v>87</v>
      </c>
      <c r="L1528">
        <v>51558.400000000001</v>
      </c>
      <c r="M1528">
        <v>0</v>
      </c>
      <c r="N1528">
        <v>51558.400000000001</v>
      </c>
      <c r="O1528">
        <v>18513.599999999999</v>
      </c>
      <c r="P1528">
        <v>33044.800000000003</v>
      </c>
      <c r="Q1528">
        <v>0.64090000000000003</v>
      </c>
      <c r="R1528">
        <v>7</v>
      </c>
      <c r="S1528">
        <v>4742.3999999999996</v>
      </c>
      <c r="T1528">
        <v>0</v>
      </c>
      <c r="U1528">
        <v>831.59</v>
      </c>
    </row>
    <row r="1529" spans="1:21" x14ac:dyDescent="0.35">
      <c r="A1529">
        <v>2025</v>
      </c>
      <c r="B1529">
        <v>8</v>
      </c>
      <c r="C1529">
        <v>3</v>
      </c>
      <c r="D1529" s="1">
        <v>45870</v>
      </c>
      <c r="E1529" s="4" t="s">
        <v>29</v>
      </c>
      <c r="F1529" s="4" t="s">
        <v>28</v>
      </c>
      <c r="G1529" s="4" t="s">
        <v>109</v>
      </c>
      <c r="H1529">
        <v>916</v>
      </c>
      <c r="I1529">
        <v>1405</v>
      </c>
      <c r="J1529">
        <v>0</v>
      </c>
      <c r="K1529">
        <v>1405</v>
      </c>
      <c r="L1529">
        <v>668317.61</v>
      </c>
      <c r="M1529">
        <v>0</v>
      </c>
      <c r="N1529">
        <v>668317.61</v>
      </c>
      <c r="O1529">
        <v>241975.65</v>
      </c>
      <c r="P1529">
        <v>426341.96</v>
      </c>
      <c r="Q1529">
        <v>0.63790000000000002</v>
      </c>
      <c r="R1529">
        <v>112</v>
      </c>
      <c r="S1529">
        <v>97977.69</v>
      </c>
      <c r="T1529">
        <v>0</v>
      </c>
      <c r="U1529">
        <v>729.6</v>
      </c>
    </row>
    <row r="1530" spans="1:21" x14ac:dyDescent="0.35">
      <c r="A1530">
        <v>2025</v>
      </c>
      <c r="B1530">
        <v>8</v>
      </c>
      <c r="C1530">
        <v>3</v>
      </c>
      <c r="D1530" s="1">
        <v>45870</v>
      </c>
      <c r="E1530" s="4" t="s">
        <v>29</v>
      </c>
      <c r="F1530" s="4" t="s">
        <v>35</v>
      </c>
      <c r="G1530" s="4" t="s">
        <v>108</v>
      </c>
      <c r="H1530">
        <v>1</v>
      </c>
      <c r="I1530">
        <v>2</v>
      </c>
      <c r="J1530">
        <v>0</v>
      </c>
      <c r="K1530">
        <v>2</v>
      </c>
      <c r="L1530">
        <v>886.4</v>
      </c>
      <c r="M1530">
        <v>0</v>
      </c>
      <c r="N1530">
        <v>886.4</v>
      </c>
      <c r="O1530">
        <v>221.6</v>
      </c>
      <c r="P1530">
        <v>664.8</v>
      </c>
      <c r="Q1530">
        <v>0.75</v>
      </c>
      <c r="R1530">
        <v>1</v>
      </c>
      <c r="S1530">
        <v>886.4</v>
      </c>
      <c r="T1530">
        <v>0</v>
      </c>
      <c r="U1530">
        <v>886.4</v>
      </c>
    </row>
    <row r="1531" spans="1:21" x14ac:dyDescent="0.35">
      <c r="A1531">
        <v>2025</v>
      </c>
      <c r="B1531">
        <v>8</v>
      </c>
      <c r="C1531">
        <v>3</v>
      </c>
      <c r="D1531" s="1">
        <v>45870</v>
      </c>
      <c r="E1531" s="4" t="s">
        <v>29</v>
      </c>
      <c r="F1531" s="4" t="s">
        <v>24</v>
      </c>
      <c r="G1531" s="4" t="s">
        <v>107</v>
      </c>
      <c r="H1531">
        <v>7</v>
      </c>
      <c r="I1531">
        <v>15</v>
      </c>
      <c r="J1531">
        <v>0</v>
      </c>
      <c r="K1531">
        <v>15</v>
      </c>
      <c r="L1531">
        <v>12389.76</v>
      </c>
      <c r="M1531">
        <v>0</v>
      </c>
      <c r="N1531">
        <v>12389.76</v>
      </c>
      <c r="O1531">
        <v>7128</v>
      </c>
      <c r="P1531">
        <v>5261.76</v>
      </c>
      <c r="Q1531">
        <v>0.42470000000000002</v>
      </c>
      <c r="R1531">
        <v>2</v>
      </c>
      <c r="S1531">
        <v>4613.76</v>
      </c>
      <c r="T1531">
        <v>0</v>
      </c>
      <c r="U1531">
        <v>1769.97</v>
      </c>
    </row>
    <row r="1532" spans="1:21" x14ac:dyDescent="0.35">
      <c r="A1532">
        <v>2025</v>
      </c>
      <c r="B1532">
        <v>8</v>
      </c>
      <c r="C1532">
        <v>3</v>
      </c>
      <c r="D1532" s="1">
        <v>45870</v>
      </c>
      <c r="E1532" s="4" t="s">
        <v>29</v>
      </c>
      <c r="F1532" s="4" t="s">
        <v>24</v>
      </c>
      <c r="G1532" s="4" t="s">
        <v>108</v>
      </c>
      <c r="H1532">
        <v>12</v>
      </c>
      <c r="I1532">
        <v>19</v>
      </c>
      <c r="J1532">
        <v>1</v>
      </c>
      <c r="K1532">
        <v>18</v>
      </c>
      <c r="L1532">
        <v>13504.4</v>
      </c>
      <c r="M1532">
        <v>742</v>
      </c>
      <c r="N1532">
        <v>12762.4</v>
      </c>
      <c r="O1532">
        <v>7345.8</v>
      </c>
      <c r="P1532">
        <v>5416.6</v>
      </c>
      <c r="Q1532">
        <v>0.4244</v>
      </c>
      <c r="R1532">
        <v>2</v>
      </c>
      <c r="S1532">
        <v>4600.3999999999996</v>
      </c>
      <c r="T1532">
        <v>0</v>
      </c>
      <c r="U1532">
        <v>1063.53</v>
      </c>
    </row>
    <row r="1533" spans="1:21" x14ac:dyDescent="0.35">
      <c r="A1533">
        <v>2025</v>
      </c>
      <c r="B1533">
        <v>8</v>
      </c>
      <c r="C1533">
        <v>3</v>
      </c>
      <c r="D1533" s="1">
        <v>45870</v>
      </c>
      <c r="E1533" s="4" t="s">
        <v>29</v>
      </c>
      <c r="F1533" s="4" t="s">
        <v>24</v>
      </c>
      <c r="G1533" s="4" t="s">
        <v>109</v>
      </c>
      <c r="H1533">
        <v>161</v>
      </c>
      <c r="I1533">
        <v>241</v>
      </c>
      <c r="J1533">
        <v>6</v>
      </c>
      <c r="K1533">
        <v>235</v>
      </c>
      <c r="L1533">
        <v>460145.28</v>
      </c>
      <c r="M1533">
        <v>11038</v>
      </c>
      <c r="N1533">
        <v>449107.28</v>
      </c>
      <c r="O1533">
        <v>257344.45</v>
      </c>
      <c r="P1533">
        <v>191762.83</v>
      </c>
      <c r="Q1533">
        <v>0.42699999999999999</v>
      </c>
      <c r="R1533">
        <v>20</v>
      </c>
      <c r="S1533">
        <v>76395.28</v>
      </c>
      <c r="T1533">
        <v>0</v>
      </c>
      <c r="U1533">
        <v>2789.49</v>
      </c>
    </row>
    <row r="1534" spans="1:21" x14ac:dyDescent="0.35">
      <c r="A1534">
        <v>2025</v>
      </c>
      <c r="B1534">
        <v>8</v>
      </c>
      <c r="C1534">
        <v>3</v>
      </c>
      <c r="D1534" s="1">
        <v>45870</v>
      </c>
      <c r="E1534" s="4" t="s">
        <v>29</v>
      </c>
      <c r="F1534" s="4" t="s">
        <v>26</v>
      </c>
      <c r="G1534" s="4" t="s">
        <v>107</v>
      </c>
      <c r="H1534">
        <v>22</v>
      </c>
      <c r="I1534">
        <v>34</v>
      </c>
      <c r="J1534">
        <v>1</v>
      </c>
      <c r="K1534">
        <v>33</v>
      </c>
      <c r="L1534">
        <v>25116.59</v>
      </c>
      <c r="M1534">
        <v>1013</v>
      </c>
      <c r="N1534">
        <v>24103.59</v>
      </c>
      <c r="O1534">
        <v>15253.8</v>
      </c>
      <c r="P1534">
        <v>8849.7900000000009</v>
      </c>
      <c r="Q1534">
        <v>0.36720000000000003</v>
      </c>
      <c r="R1534">
        <v>4</v>
      </c>
      <c r="S1534">
        <v>7788.59</v>
      </c>
      <c r="T1534">
        <v>0</v>
      </c>
      <c r="U1534">
        <v>1095.6199999999999</v>
      </c>
    </row>
    <row r="1535" spans="1:21" x14ac:dyDescent="0.35">
      <c r="A1535">
        <v>2025</v>
      </c>
      <c r="B1535">
        <v>8</v>
      </c>
      <c r="C1535">
        <v>3</v>
      </c>
      <c r="D1535" s="1">
        <v>45870</v>
      </c>
      <c r="E1535" s="4" t="s">
        <v>29</v>
      </c>
      <c r="F1535" s="4" t="s">
        <v>26</v>
      </c>
      <c r="G1535" s="4" t="s">
        <v>109</v>
      </c>
      <c r="H1535">
        <v>25</v>
      </c>
      <c r="I1535">
        <v>34</v>
      </c>
      <c r="J1535">
        <v>0</v>
      </c>
      <c r="K1535">
        <v>34</v>
      </c>
      <c r="L1535">
        <v>23456.7</v>
      </c>
      <c r="M1535">
        <v>0</v>
      </c>
      <c r="N1535">
        <v>23456.7</v>
      </c>
      <c r="O1535">
        <v>14409</v>
      </c>
      <c r="P1535">
        <v>9047.7000000000007</v>
      </c>
      <c r="Q1535">
        <v>0.38569999999999999</v>
      </c>
      <c r="R1535">
        <v>2</v>
      </c>
      <c r="S1535">
        <v>2636.7</v>
      </c>
      <c r="T1535">
        <v>0</v>
      </c>
      <c r="U1535">
        <v>938.27</v>
      </c>
    </row>
    <row r="1536" spans="1:21" x14ac:dyDescent="0.35">
      <c r="A1536">
        <v>2025</v>
      </c>
      <c r="B1536">
        <v>8</v>
      </c>
      <c r="C1536">
        <v>3</v>
      </c>
      <c r="D1536" s="1">
        <v>45870</v>
      </c>
      <c r="E1536" s="4" t="s">
        <v>31</v>
      </c>
      <c r="F1536" s="4" t="s">
        <v>28</v>
      </c>
      <c r="G1536" s="4" t="s">
        <v>107</v>
      </c>
      <c r="H1536">
        <v>85</v>
      </c>
      <c r="I1536">
        <v>134</v>
      </c>
      <c r="J1536">
        <v>0</v>
      </c>
      <c r="K1536">
        <v>134</v>
      </c>
      <c r="L1536">
        <v>49847.1</v>
      </c>
      <c r="M1536">
        <v>0</v>
      </c>
      <c r="N1536">
        <v>49847.1</v>
      </c>
      <c r="O1536">
        <v>18522.349999999999</v>
      </c>
      <c r="P1536">
        <v>31324.75</v>
      </c>
      <c r="Q1536">
        <v>0.62839999999999996</v>
      </c>
      <c r="R1536">
        <v>14</v>
      </c>
      <c r="S1536">
        <v>9454.1</v>
      </c>
      <c r="T1536">
        <v>0</v>
      </c>
      <c r="U1536">
        <v>586.44000000000005</v>
      </c>
    </row>
    <row r="1537" spans="1:21" x14ac:dyDescent="0.35">
      <c r="A1537">
        <v>2025</v>
      </c>
      <c r="B1537">
        <v>8</v>
      </c>
      <c r="C1537">
        <v>3</v>
      </c>
      <c r="D1537" s="1">
        <v>45870</v>
      </c>
      <c r="E1537" s="4" t="s">
        <v>31</v>
      </c>
      <c r="F1537" s="4" t="s">
        <v>28</v>
      </c>
      <c r="G1537" s="4" t="s">
        <v>108</v>
      </c>
      <c r="H1537">
        <v>275</v>
      </c>
      <c r="I1537">
        <v>395</v>
      </c>
      <c r="J1537">
        <v>0</v>
      </c>
      <c r="K1537">
        <v>395</v>
      </c>
      <c r="L1537">
        <v>145701.59</v>
      </c>
      <c r="M1537">
        <v>0</v>
      </c>
      <c r="N1537">
        <v>145701.59</v>
      </c>
      <c r="O1537">
        <v>53138.05</v>
      </c>
      <c r="P1537">
        <v>92563.54</v>
      </c>
      <c r="Q1537">
        <v>0.63529999999999998</v>
      </c>
      <c r="R1537">
        <v>37</v>
      </c>
      <c r="S1537">
        <v>23782.59</v>
      </c>
      <c r="T1537">
        <v>0</v>
      </c>
      <c r="U1537">
        <v>529.82000000000005</v>
      </c>
    </row>
    <row r="1538" spans="1:21" x14ac:dyDescent="0.35">
      <c r="A1538">
        <v>2025</v>
      </c>
      <c r="B1538">
        <v>8</v>
      </c>
      <c r="C1538">
        <v>3</v>
      </c>
      <c r="D1538" s="1">
        <v>45870</v>
      </c>
      <c r="E1538" s="4" t="s">
        <v>31</v>
      </c>
      <c r="F1538" s="4" t="s">
        <v>28</v>
      </c>
      <c r="G1538" s="4" t="s">
        <v>109</v>
      </c>
      <c r="H1538">
        <v>932</v>
      </c>
      <c r="I1538">
        <v>1448</v>
      </c>
      <c r="J1538">
        <v>0</v>
      </c>
      <c r="K1538">
        <v>1448</v>
      </c>
      <c r="L1538">
        <v>707850.1</v>
      </c>
      <c r="M1538">
        <v>0</v>
      </c>
      <c r="N1538">
        <v>707850.1</v>
      </c>
      <c r="O1538">
        <v>259530.25</v>
      </c>
      <c r="P1538">
        <v>448319.85</v>
      </c>
      <c r="Q1538">
        <v>0.63339999999999996</v>
      </c>
      <c r="R1538">
        <v>136</v>
      </c>
      <c r="S1538">
        <v>133297.88</v>
      </c>
      <c r="T1538">
        <v>0</v>
      </c>
      <c r="U1538">
        <v>759.5</v>
      </c>
    </row>
    <row r="1539" spans="1:21" x14ac:dyDescent="0.35">
      <c r="A1539">
        <v>2025</v>
      </c>
      <c r="B1539">
        <v>8</v>
      </c>
      <c r="C1539">
        <v>3</v>
      </c>
      <c r="D1539" s="1">
        <v>45870</v>
      </c>
      <c r="E1539" s="4" t="s">
        <v>31</v>
      </c>
      <c r="F1539" s="4" t="s">
        <v>24</v>
      </c>
      <c r="G1539" s="4" t="s">
        <v>107</v>
      </c>
      <c r="H1539">
        <v>11</v>
      </c>
      <c r="I1539">
        <v>18</v>
      </c>
      <c r="J1539">
        <v>0</v>
      </c>
      <c r="K1539">
        <v>18</v>
      </c>
      <c r="L1539">
        <v>32254.2</v>
      </c>
      <c r="M1539">
        <v>0</v>
      </c>
      <c r="N1539">
        <v>32254.2</v>
      </c>
      <c r="O1539">
        <v>17919</v>
      </c>
      <c r="P1539">
        <v>14335.2</v>
      </c>
      <c r="Q1539">
        <v>0.44440000000000002</v>
      </c>
      <c r="R1539">
        <v>1</v>
      </c>
      <c r="S1539">
        <v>5104.2</v>
      </c>
      <c r="T1539">
        <v>0</v>
      </c>
      <c r="U1539">
        <v>2932.2</v>
      </c>
    </row>
    <row r="1540" spans="1:21" x14ac:dyDescent="0.35">
      <c r="A1540">
        <v>2025</v>
      </c>
      <c r="B1540">
        <v>8</v>
      </c>
      <c r="C1540">
        <v>3</v>
      </c>
      <c r="D1540" s="1">
        <v>45870</v>
      </c>
      <c r="E1540" s="4" t="s">
        <v>31</v>
      </c>
      <c r="F1540" s="4" t="s">
        <v>24</v>
      </c>
      <c r="G1540" s="4" t="s">
        <v>109</v>
      </c>
      <c r="H1540">
        <v>249</v>
      </c>
      <c r="I1540">
        <v>350</v>
      </c>
      <c r="J1540">
        <v>7</v>
      </c>
      <c r="K1540">
        <v>343</v>
      </c>
      <c r="L1540">
        <v>507004.71</v>
      </c>
      <c r="M1540">
        <v>8730</v>
      </c>
      <c r="N1540">
        <v>498274.71</v>
      </c>
      <c r="O1540">
        <v>280914.7</v>
      </c>
      <c r="P1540">
        <v>217360.01</v>
      </c>
      <c r="Q1540">
        <v>0.43619999999999998</v>
      </c>
      <c r="R1540">
        <v>27</v>
      </c>
      <c r="S1540">
        <v>45535.71</v>
      </c>
      <c r="T1540">
        <v>0</v>
      </c>
      <c r="U1540">
        <v>2001.1</v>
      </c>
    </row>
    <row r="1541" spans="1:21" x14ac:dyDescent="0.35">
      <c r="A1541">
        <v>2025</v>
      </c>
      <c r="B1541">
        <v>8</v>
      </c>
      <c r="C1541">
        <v>3</v>
      </c>
      <c r="D1541" s="1">
        <v>45870</v>
      </c>
      <c r="E1541" s="4" t="s">
        <v>31</v>
      </c>
      <c r="F1541" s="4" t="s">
        <v>26</v>
      </c>
      <c r="G1541" s="4" t="s">
        <v>107</v>
      </c>
      <c r="H1541">
        <v>7</v>
      </c>
      <c r="I1541">
        <v>11</v>
      </c>
      <c r="J1541">
        <v>0</v>
      </c>
      <c r="K1541">
        <v>11</v>
      </c>
      <c r="L1541">
        <v>5510</v>
      </c>
      <c r="M1541">
        <v>0</v>
      </c>
      <c r="N1541">
        <v>5510</v>
      </c>
      <c r="O1541">
        <v>3306</v>
      </c>
      <c r="P1541">
        <v>2204</v>
      </c>
      <c r="Q1541">
        <v>0.4</v>
      </c>
      <c r="R1541">
        <v>0</v>
      </c>
      <c r="S1541">
        <v>0</v>
      </c>
      <c r="T1541">
        <v>0</v>
      </c>
      <c r="U1541">
        <v>787.14</v>
      </c>
    </row>
    <row r="1542" spans="1:21" x14ac:dyDescent="0.35">
      <c r="A1542">
        <v>2025</v>
      </c>
      <c r="B1542">
        <v>8</v>
      </c>
      <c r="C1542">
        <v>3</v>
      </c>
      <c r="D1542" s="1">
        <v>45870</v>
      </c>
      <c r="E1542" s="4" t="s">
        <v>31</v>
      </c>
      <c r="F1542" s="4" t="s">
        <v>26</v>
      </c>
      <c r="G1542" s="4" t="s">
        <v>108</v>
      </c>
      <c r="H1542">
        <v>2</v>
      </c>
      <c r="I1542">
        <v>4</v>
      </c>
      <c r="J1542">
        <v>0</v>
      </c>
      <c r="K1542">
        <v>4</v>
      </c>
      <c r="L1542">
        <v>2990</v>
      </c>
      <c r="M1542">
        <v>0</v>
      </c>
      <c r="N1542">
        <v>2990</v>
      </c>
      <c r="O1542">
        <v>1794</v>
      </c>
      <c r="P1542">
        <v>1196</v>
      </c>
      <c r="Q1542">
        <v>0.4</v>
      </c>
      <c r="R1542">
        <v>0</v>
      </c>
      <c r="S1542">
        <v>0</v>
      </c>
      <c r="T1542">
        <v>0</v>
      </c>
      <c r="U1542">
        <v>1495</v>
      </c>
    </row>
    <row r="1543" spans="1:21" x14ac:dyDescent="0.35">
      <c r="A1543">
        <v>2025</v>
      </c>
      <c r="B1543">
        <v>8</v>
      </c>
      <c r="C1543">
        <v>3</v>
      </c>
      <c r="D1543" s="1">
        <v>45870</v>
      </c>
      <c r="E1543" s="4" t="s">
        <v>31</v>
      </c>
      <c r="F1543" s="4" t="s">
        <v>26</v>
      </c>
      <c r="G1543" s="4" t="s">
        <v>109</v>
      </c>
      <c r="H1543">
        <v>35</v>
      </c>
      <c r="I1543">
        <v>54</v>
      </c>
      <c r="J1543">
        <v>1</v>
      </c>
      <c r="K1543">
        <v>53</v>
      </c>
      <c r="L1543">
        <v>44825.65</v>
      </c>
      <c r="M1543">
        <v>548</v>
      </c>
      <c r="N1543">
        <v>44277.65</v>
      </c>
      <c r="O1543">
        <v>26902.799999999999</v>
      </c>
      <c r="P1543">
        <v>17374.849999999999</v>
      </c>
      <c r="Q1543">
        <v>0.39240000000000003</v>
      </c>
      <c r="R1543">
        <v>3</v>
      </c>
      <c r="S1543">
        <v>2747.65</v>
      </c>
      <c r="T1543">
        <v>0</v>
      </c>
      <c r="U1543">
        <v>1265.08</v>
      </c>
    </row>
    <row r="1544" spans="1:21" x14ac:dyDescent="0.35">
      <c r="A1544">
        <v>2025</v>
      </c>
      <c r="B1544">
        <v>8</v>
      </c>
      <c r="C1544">
        <v>3</v>
      </c>
      <c r="D1544" s="1">
        <v>45870</v>
      </c>
      <c r="E1544" s="4" t="s">
        <v>30</v>
      </c>
      <c r="F1544" s="4" t="s">
        <v>28</v>
      </c>
      <c r="G1544" s="4" t="s">
        <v>107</v>
      </c>
      <c r="H1544">
        <v>115</v>
      </c>
      <c r="I1544">
        <v>173</v>
      </c>
      <c r="J1544">
        <v>0</v>
      </c>
      <c r="K1544">
        <v>173</v>
      </c>
      <c r="L1544">
        <v>75925.850000000006</v>
      </c>
      <c r="M1544">
        <v>0</v>
      </c>
      <c r="N1544">
        <v>75925.850000000006</v>
      </c>
      <c r="O1544">
        <v>27308.05</v>
      </c>
      <c r="P1544">
        <v>48617.8</v>
      </c>
      <c r="Q1544">
        <v>0.64029999999999998</v>
      </c>
      <c r="R1544">
        <v>14</v>
      </c>
      <c r="S1544">
        <v>9628.85</v>
      </c>
      <c r="T1544">
        <v>0</v>
      </c>
      <c r="U1544">
        <v>660.22</v>
      </c>
    </row>
    <row r="1545" spans="1:21" x14ac:dyDescent="0.35">
      <c r="A1545">
        <v>2025</v>
      </c>
      <c r="B1545">
        <v>8</v>
      </c>
      <c r="C1545">
        <v>3</v>
      </c>
      <c r="D1545" s="1">
        <v>45870</v>
      </c>
      <c r="E1545" s="4" t="s">
        <v>30</v>
      </c>
      <c r="F1545" s="4" t="s">
        <v>28</v>
      </c>
      <c r="G1545" s="4" t="s">
        <v>108</v>
      </c>
      <c r="H1545">
        <v>61</v>
      </c>
      <c r="I1545">
        <v>94</v>
      </c>
      <c r="J1545">
        <v>0</v>
      </c>
      <c r="K1545">
        <v>94</v>
      </c>
      <c r="L1545">
        <v>55737.45</v>
      </c>
      <c r="M1545">
        <v>0</v>
      </c>
      <c r="N1545">
        <v>55737.45</v>
      </c>
      <c r="O1545">
        <v>20233.5</v>
      </c>
      <c r="P1545">
        <v>35503.949999999997</v>
      </c>
      <c r="Q1545">
        <v>0.63700000000000001</v>
      </c>
      <c r="R1545">
        <v>12</v>
      </c>
      <c r="S1545">
        <v>9612.4500000000007</v>
      </c>
      <c r="T1545">
        <v>0</v>
      </c>
      <c r="U1545">
        <v>913.73</v>
      </c>
    </row>
    <row r="1546" spans="1:21" x14ac:dyDescent="0.35">
      <c r="A1546">
        <v>2025</v>
      </c>
      <c r="B1546">
        <v>8</v>
      </c>
      <c r="C1546">
        <v>3</v>
      </c>
      <c r="D1546" s="1">
        <v>45870</v>
      </c>
      <c r="E1546" s="4" t="s">
        <v>30</v>
      </c>
      <c r="F1546" s="4" t="s">
        <v>28</v>
      </c>
      <c r="G1546" s="4" t="s">
        <v>109</v>
      </c>
      <c r="H1546">
        <v>731</v>
      </c>
      <c r="I1546">
        <v>1132</v>
      </c>
      <c r="J1546">
        <v>0</v>
      </c>
      <c r="K1546">
        <v>1132</v>
      </c>
      <c r="L1546">
        <v>452072.17</v>
      </c>
      <c r="M1546">
        <v>0</v>
      </c>
      <c r="N1546">
        <v>452072.17</v>
      </c>
      <c r="O1546">
        <v>164012.1</v>
      </c>
      <c r="P1546">
        <v>288060.07</v>
      </c>
      <c r="Q1546">
        <v>0.63719999999999999</v>
      </c>
      <c r="R1546">
        <v>90</v>
      </c>
      <c r="S1546">
        <v>68647.05</v>
      </c>
      <c r="T1546">
        <v>0</v>
      </c>
      <c r="U1546">
        <v>618.42999999999995</v>
      </c>
    </row>
    <row r="1547" spans="1:21" x14ac:dyDescent="0.35">
      <c r="A1547">
        <v>2025</v>
      </c>
      <c r="B1547">
        <v>8</v>
      </c>
      <c r="C1547">
        <v>3</v>
      </c>
      <c r="D1547" s="1">
        <v>45870</v>
      </c>
      <c r="E1547" s="4" t="s">
        <v>30</v>
      </c>
      <c r="F1547" s="4" t="s">
        <v>35</v>
      </c>
      <c r="G1547" s="4" t="s">
        <v>109</v>
      </c>
      <c r="H1547">
        <v>1</v>
      </c>
      <c r="I1547">
        <v>2</v>
      </c>
      <c r="J1547">
        <v>0</v>
      </c>
      <c r="K1547">
        <v>2</v>
      </c>
      <c r="L1547">
        <v>406</v>
      </c>
      <c r="M1547">
        <v>0</v>
      </c>
      <c r="N1547">
        <v>406</v>
      </c>
      <c r="O1547">
        <v>81.2</v>
      </c>
      <c r="P1547">
        <v>324.8</v>
      </c>
      <c r="Q1547">
        <v>0.8</v>
      </c>
      <c r="R1547">
        <v>0</v>
      </c>
      <c r="S1547">
        <v>0</v>
      </c>
      <c r="T1547">
        <v>0</v>
      </c>
      <c r="U1547">
        <v>406</v>
      </c>
    </row>
    <row r="1548" spans="1:21" x14ac:dyDescent="0.35">
      <c r="A1548">
        <v>2025</v>
      </c>
      <c r="B1548">
        <v>8</v>
      </c>
      <c r="C1548">
        <v>3</v>
      </c>
      <c r="D1548" s="1">
        <v>45870</v>
      </c>
      <c r="E1548" s="4" t="s">
        <v>30</v>
      </c>
      <c r="F1548" s="4" t="s">
        <v>24</v>
      </c>
      <c r="G1548" s="4" t="s">
        <v>107</v>
      </c>
      <c r="H1548">
        <v>55</v>
      </c>
      <c r="I1548">
        <v>83</v>
      </c>
      <c r="J1548">
        <v>2</v>
      </c>
      <c r="K1548">
        <v>81</v>
      </c>
      <c r="L1548">
        <v>153270.24</v>
      </c>
      <c r="M1548">
        <v>4036</v>
      </c>
      <c r="N1548">
        <v>149234.23999999999</v>
      </c>
      <c r="O1548">
        <v>87043.55</v>
      </c>
      <c r="P1548">
        <v>62190.69</v>
      </c>
      <c r="Q1548">
        <v>0.41670000000000001</v>
      </c>
      <c r="R1548">
        <v>8</v>
      </c>
      <c r="S1548">
        <v>36110.239999999998</v>
      </c>
      <c r="T1548">
        <v>0</v>
      </c>
      <c r="U1548">
        <v>2713.35</v>
      </c>
    </row>
    <row r="1549" spans="1:21" x14ac:dyDescent="0.35">
      <c r="A1549">
        <v>2025</v>
      </c>
      <c r="B1549">
        <v>8</v>
      </c>
      <c r="C1549">
        <v>3</v>
      </c>
      <c r="D1549" s="1">
        <v>45870</v>
      </c>
      <c r="E1549" s="4" t="s">
        <v>30</v>
      </c>
      <c r="F1549" s="4" t="s">
        <v>24</v>
      </c>
      <c r="G1549" s="4" t="s">
        <v>108</v>
      </c>
      <c r="H1549">
        <v>8</v>
      </c>
      <c r="I1549">
        <v>14</v>
      </c>
      <c r="J1549">
        <v>0</v>
      </c>
      <c r="K1549">
        <v>14</v>
      </c>
      <c r="L1549">
        <v>31533.81</v>
      </c>
      <c r="M1549">
        <v>0</v>
      </c>
      <c r="N1549">
        <v>31533.81</v>
      </c>
      <c r="O1549">
        <v>18549.3</v>
      </c>
      <c r="P1549">
        <v>12984.51</v>
      </c>
      <c r="Q1549">
        <v>0.4118</v>
      </c>
      <c r="R1549">
        <v>3</v>
      </c>
      <c r="S1549">
        <v>12261.81</v>
      </c>
      <c r="T1549">
        <v>0</v>
      </c>
      <c r="U1549">
        <v>3941.73</v>
      </c>
    </row>
    <row r="1550" spans="1:21" x14ac:dyDescent="0.35">
      <c r="A1550">
        <v>2025</v>
      </c>
      <c r="B1550">
        <v>8</v>
      </c>
      <c r="C1550">
        <v>3</v>
      </c>
      <c r="D1550" s="1">
        <v>45870</v>
      </c>
      <c r="E1550" s="4" t="s">
        <v>30</v>
      </c>
      <c r="F1550" s="4" t="s">
        <v>24</v>
      </c>
      <c r="G1550" s="4" t="s">
        <v>109</v>
      </c>
      <c r="H1550">
        <v>242</v>
      </c>
      <c r="I1550">
        <v>363</v>
      </c>
      <c r="J1550">
        <v>7</v>
      </c>
      <c r="K1550">
        <v>356</v>
      </c>
      <c r="L1550">
        <v>648881.44999999995</v>
      </c>
      <c r="M1550">
        <v>15833</v>
      </c>
      <c r="N1550">
        <v>633048.44999999995</v>
      </c>
      <c r="O1550">
        <v>358120.4</v>
      </c>
      <c r="P1550">
        <v>274928.05</v>
      </c>
      <c r="Q1550">
        <v>0.43430000000000002</v>
      </c>
      <c r="R1550">
        <v>22</v>
      </c>
      <c r="S1550">
        <v>77243.45</v>
      </c>
      <c r="T1550">
        <v>0</v>
      </c>
      <c r="U1550">
        <v>2615.9</v>
      </c>
    </row>
    <row r="1551" spans="1:21" x14ac:dyDescent="0.35">
      <c r="A1551">
        <v>2025</v>
      </c>
      <c r="B1551">
        <v>8</v>
      </c>
      <c r="C1551">
        <v>3</v>
      </c>
      <c r="D1551" s="1">
        <v>45870</v>
      </c>
      <c r="E1551" s="4" t="s">
        <v>30</v>
      </c>
      <c r="F1551" s="4" t="s">
        <v>26</v>
      </c>
      <c r="G1551" s="4" t="s">
        <v>107</v>
      </c>
      <c r="H1551">
        <v>3</v>
      </c>
      <c r="I1551">
        <v>4</v>
      </c>
      <c r="J1551">
        <v>0</v>
      </c>
      <c r="K1551">
        <v>4</v>
      </c>
      <c r="L1551">
        <v>3265.48</v>
      </c>
      <c r="M1551">
        <v>0</v>
      </c>
      <c r="N1551">
        <v>3265.48</v>
      </c>
      <c r="O1551">
        <v>2199</v>
      </c>
      <c r="P1551">
        <v>1066.48</v>
      </c>
      <c r="Q1551">
        <v>0.3266</v>
      </c>
      <c r="R1551">
        <v>1</v>
      </c>
      <c r="S1551">
        <v>1416.48</v>
      </c>
      <c r="T1551">
        <v>0</v>
      </c>
      <c r="U1551">
        <v>1088.49</v>
      </c>
    </row>
    <row r="1552" spans="1:21" x14ac:dyDescent="0.35">
      <c r="A1552">
        <v>2025</v>
      </c>
      <c r="B1552">
        <v>8</v>
      </c>
      <c r="C1552">
        <v>3</v>
      </c>
      <c r="D1552" s="1">
        <v>45870</v>
      </c>
      <c r="E1552" s="4" t="s">
        <v>30</v>
      </c>
      <c r="F1552" s="4" t="s">
        <v>26</v>
      </c>
      <c r="G1552" s="4" t="s">
        <v>109</v>
      </c>
      <c r="H1552">
        <v>60</v>
      </c>
      <c r="I1552">
        <v>90</v>
      </c>
      <c r="J1552">
        <v>2</v>
      </c>
      <c r="K1552">
        <v>88</v>
      </c>
      <c r="L1552">
        <v>70441.83</v>
      </c>
      <c r="M1552">
        <v>1362.2</v>
      </c>
      <c r="N1552">
        <v>69079.63</v>
      </c>
      <c r="O1552">
        <v>42111</v>
      </c>
      <c r="P1552">
        <v>26968.63</v>
      </c>
      <c r="Q1552">
        <v>0.39040000000000002</v>
      </c>
      <c r="R1552">
        <v>6</v>
      </c>
      <c r="S1552">
        <v>4746.51</v>
      </c>
      <c r="T1552">
        <v>0</v>
      </c>
      <c r="U1552">
        <v>1151.33</v>
      </c>
    </row>
    <row r="1553" spans="1:21" x14ac:dyDescent="0.35">
      <c r="A1553">
        <v>2025</v>
      </c>
      <c r="B1553">
        <v>8</v>
      </c>
      <c r="C1553">
        <v>3</v>
      </c>
      <c r="D1553" s="1">
        <v>45870</v>
      </c>
      <c r="E1553" s="4" t="s">
        <v>78</v>
      </c>
      <c r="F1553" s="4" t="s">
        <v>78</v>
      </c>
      <c r="G1553" s="4" t="s">
        <v>110</v>
      </c>
      <c r="H1553">
        <v>246</v>
      </c>
      <c r="I1553">
        <v>347</v>
      </c>
      <c r="J1553">
        <v>0</v>
      </c>
      <c r="K1553">
        <v>347</v>
      </c>
      <c r="L1553">
        <v>748923</v>
      </c>
      <c r="M1553">
        <v>0</v>
      </c>
      <c r="N1553">
        <v>748923</v>
      </c>
      <c r="O1553">
        <v>112338.45</v>
      </c>
      <c r="P1553">
        <v>636584.55000000005</v>
      </c>
      <c r="Q1553">
        <v>0.85</v>
      </c>
      <c r="R1553">
        <v>1</v>
      </c>
      <c r="S1553">
        <v>1197</v>
      </c>
      <c r="T1553">
        <v>0</v>
      </c>
      <c r="U1553">
        <v>3044.4</v>
      </c>
    </row>
    <row r="1554" spans="1:21" x14ac:dyDescent="0.35">
      <c r="A1554">
        <v>2025</v>
      </c>
      <c r="B1554">
        <v>9</v>
      </c>
      <c r="C1554">
        <v>3</v>
      </c>
      <c r="D1554" s="1">
        <v>45901</v>
      </c>
      <c r="E1554" s="4" t="s">
        <v>33</v>
      </c>
      <c r="F1554" s="4" t="s">
        <v>28</v>
      </c>
      <c r="G1554" s="4" t="s">
        <v>107</v>
      </c>
      <c r="H1554">
        <v>201</v>
      </c>
      <c r="I1554">
        <v>296</v>
      </c>
      <c r="J1554">
        <v>0</v>
      </c>
      <c r="K1554">
        <v>296</v>
      </c>
      <c r="L1554">
        <v>93773.88</v>
      </c>
      <c r="M1554">
        <v>0</v>
      </c>
      <c r="N1554">
        <v>93773.88</v>
      </c>
      <c r="O1554">
        <v>33909.75</v>
      </c>
      <c r="P1554">
        <v>59864.13</v>
      </c>
      <c r="Q1554">
        <v>0.63839999999999997</v>
      </c>
      <c r="R1554">
        <v>25</v>
      </c>
      <c r="S1554">
        <v>12230.88</v>
      </c>
      <c r="T1554">
        <v>0</v>
      </c>
      <c r="U1554">
        <v>466.54</v>
      </c>
    </row>
    <row r="1555" spans="1:21" x14ac:dyDescent="0.35">
      <c r="A1555">
        <v>2025</v>
      </c>
      <c r="B1555">
        <v>9</v>
      </c>
      <c r="C1555">
        <v>3</v>
      </c>
      <c r="D1555" s="1">
        <v>45901</v>
      </c>
      <c r="E1555" s="4" t="s">
        <v>33</v>
      </c>
      <c r="F1555" s="4" t="s">
        <v>28</v>
      </c>
      <c r="G1555" s="4" t="s">
        <v>108</v>
      </c>
      <c r="H1555">
        <v>58</v>
      </c>
      <c r="I1555">
        <v>88</v>
      </c>
      <c r="J1555">
        <v>0</v>
      </c>
      <c r="K1555">
        <v>88</v>
      </c>
      <c r="L1555">
        <v>60306.400000000001</v>
      </c>
      <c r="M1555">
        <v>0</v>
      </c>
      <c r="N1555">
        <v>60306.400000000001</v>
      </c>
      <c r="O1555">
        <v>21929.599999999999</v>
      </c>
      <c r="P1555">
        <v>38376.800000000003</v>
      </c>
      <c r="Q1555">
        <v>0.63639999999999997</v>
      </c>
      <c r="R1555">
        <v>7</v>
      </c>
      <c r="S1555">
        <v>9042.4</v>
      </c>
      <c r="T1555">
        <v>0</v>
      </c>
      <c r="U1555">
        <v>1039.77</v>
      </c>
    </row>
    <row r="1556" spans="1:21" x14ac:dyDescent="0.35">
      <c r="A1556">
        <v>2025</v>
      </c>
      <c r="B1556">
        <v>9</v>
      </c>
      <c r="C1556">
        <v>3</v>
      </c>
      <c r="D1556" s="1">
        <v>45901</v>
      </c>
      <c r="E1556" s="4" t="s">
        <v>33</v>
      </c>
      <c r="F1556" s="4" t="s">
        <v>28</v>
      </c>
      <c r="G1556" s="4" t="s">
        <v>109</v>
      </c>
      <c r="H1556">
        <v>1144</v>
      </c>
      <c r="I1556">
        <v>1714</v>
      </c>
      <c r="J1556">
        <v>0</v>
      </c>
      <c r="K1556">
        <v>1714</v>
      </c>
      <c r="L1556">
        <v>876351.17</v>
      </c>
      <c r="M1556">
        <v>0</v>
      </c>
      <c r="N1556">
        <v>876351.17</v>
      </c>
      <c r="O1556">
        <v>319375.34999999998</v>
      </c>
      <c r="P1556">
        <v>556975.81999999995</v>
      </c>
      <c r="Q1556">
        <v>0.63560000000000005</v>
      </c>
      <c r="R1556">
        <v>159</v>
      </c>
      <c r="S1556">
        <v>142687.76999999999</v>
      </c>
      <c r="T1556">
        <v>0</v>
      </c>
      <c r="U1556">
        <v>766.04</v>
      </c>
    </row>
    <row r="1557" spans="1:21" x14ac:dyDescent="0.35">
      <c r="A1557">
        <v>2025</v>
      </c>
      <c r="B1557">
        <v>9</v>
      </c>
      <c r="C1557">
        <v>3</v>
      </c>
      <c r="D1557" s="1">
        <v>45901</v>
      </c>
      <c r="E1557" s="4" t="s">
        <v>33</v>
      </c>
      <c r="F1557" s="4" t="s">
        <v>24</v>
      </c>
      <c r="G1557" s="4" t="s">
        <v>107</v>
      </c>
      <c r="H1557">
        <v>25</v>
      </c>
      <c r="I1557">
        <v>33</v>
      </c>
      <c r="J1557">
        <v>0</v>
      </c>
      <c r="K1557">
        <v>33</v>
      </c>
      <c r="L1557">
        <v>48861.279999999999</v>
      </c>
      <c r="M1557">
        <v>0</v>
      </c>
      <c r="N1557">
        <v>48861.279999999999</v>
      </c>
      <c r="O1557">
        <v>27400.45</v>
      </c>
      <c r="P1557">
        <v>21460.83</v>
      </c>
      <c r="Q1557">
        <v>0.43919999999999998</v>
      </c>
      <c r="R1557">
        <v>3</v>
      </c>
      <c r="S1557">
        <v>3700.28</v>
      </c>
      <c r="T1557">
        <v>0</v>
      </c>
      <c r="U1557">
        <v>1954.45</v>
      </c>
    </row>
    <row r="1558" spans="1:21" x14ac:dyDescent="0.35">
      <c r="A1558">
        <v>2025</v>
      </c>
      <c r="B1558">
        <v>9</v>
      </c>
      <c r="C1558">
        <v>3</v>
      </c>
      <c r="D1558" s="1">
        <v>45901</v>
      </c>
      <c r="E1558" s="4" t="s">
        <v>33</v>
      </c>
      <c r="F1558" s="4" t="s">
        <v>24</v>
      </c>
      <c r="G1558" s="4" t="s">
        <v>109</v>
      </c>
      <c r="H1558">
        <v>259</v>
      </c>
      <c r="I1558">
        <v>395</v>
      </c>
      <c r="J1558">
        <v>2</v>
      </c>
      <c r="K1558">
        <v>393</v>
      </c>
      <c r="L1558">
        <v>618838.24</v>
      </c>
      <c r="M1558">
        <v>4549</v>
      </c>
      <c r="N1558">
        <v>614289.24</v>
      </c>
      <c r="O1558">
        <v>351679.35</v>
      </c>
      <c r="P1558">
        <v>262609.89</v>
      </c>
      <c r="Q1558">
        <v>0.42749999999999999</v>
      </c>
      <c r="R1558">
        <v>37</v>
      </c>
      <c r="S1558">
        <v>96549.35</v>
      </c>
      <c r="T1558">
        <v>0</v>
      </c>
      <c r="U1558">
        <v>2371.77</v>
      </c>
    </row>
    <row r="1559" spans="1:21" x14ac:dyDescent="0.35">
      <c r="A1559">
        <v>2025</v>
      </c>
      <c r="B1559">
        <v>9</v>
      </c>
      <c r="C1559">
        <v>3</v>
      </c>
      <c r="D1559" s="1">
        <v>45901</v>
      </c>
      <c r="E1559" s="4" t="s">
        <v>33</v>
      </c>
      <c r="F1559" s="4" t="s">
        <v>26</v>
      </c>
      <c r="G1559" s="4" t="s">
        <v>107</v>
      </c>
      <c r="H1559">
        <v>6</v>
      </c>
      <c r="I1559">
        <v>9</v>
      </c>
      <c r="J1559">
        <v>0</v>
      </c>
      <c r="K1559">
        <v>9</v>
      </c>
      <c r="L1559">
        <v>5191.16</v>
      </c>
      <c r="M1559">
        <v>0</v>
      </c>
      <c r="N1559">
        <v>5191.16</v>
      </c>
      <c r="O1559">
        <v>3354.6</v>
      </c>
      <c r="P1559">
        <v>1836.56</v>
      </c>
      <c r="Q1559">
        <v>0.3538</v>
      </c>
      <c r="R1559">
        <v>1</v>
      </c>
      <c r="S1559">
        <v>776.16</v>
      </c>
      <c r="T1559">
        <v>0</v>
      </c>
      <c r="U1559">
        <v>865.19</v>
      </c>
    </row>
    <row r="1560" spans="1:21" x14ac:dyDescent="0.35">
      <c r="A1560">
        <v>2025</v>
      </c>
      <c r="B1560">
        <v>9</v>
      </c>
      <c r="C1560">
        <v>3</v>
      </c>
      <c r="D1560" s="1">
        <v>45901</v>
      </c>
      <c r="E1560" s="4" t="s">
        <v>33</v>
      </c>
      <c r="F1560" s="4" t="s">
        <v>26</v>
      </c>
      <c r="G1560" s="4" t="s">
        <v>108</v>
      </c>
      <c r="H1560">
        <v>12</v>
      </c>
      <c r="I1560">
        <v>20</v>
      </c>
      <c r="J1560">
        <v>1</v>
      </c>
      <c r="K1560">
        <v>19</v>
      </c>
      <c r="L1560">
        <v>14869.5</v>
      </c>
      <c r="M1560">
        <v>614</v>
      </c>
      <c r="N1560">
        <v>14255.5</v>
      </c>
      <c r="O1560">
        <v>8878.7999999999993</v>
      </c>
      <c r="P1560">
        <v>5376.7</v>
      </c>
      <c r="Q1560">
        <v>0.37719999999999998</v>
      </c>
      <c r="R1560">
        <v>1</v>
      </c>
      <c r="S1560">
        <v>1207.5</v>
      </c>
      <c r="T1560">
        <v>0</v>
      </c>
      <c r="U1560">
        <v>1187.96</v>
      </c>
    </row>
    <row r="1561" spans="1:21" x14ac:dyDescent="0.35">
      <c r="A1561">
        <v>2025</v>
      </c>
      <c r="B1561">
        <v>9</v>
      </c>
      <c r="C1561">
        <v>3</v>
      </c>
      <c r="D1561" s="1">
        <v>45901</v>
      </c>
      <c r="E1561" s="4" t="s">
        <v>33</v>
      </c>
      <c r="F1561" s="4" t="s">
        <v>26</v>
      </c>
      <c r="G1561" s="4" t="s">
        <v>109</v>
      </c>
      <c r="H1561">
        <v>73</v>
      </c>
      <c r="I1561">
        <v>113</v>
      </c>
      <c r="J1561">
        <v>5</v>
      </c>
      <c r="K1561">
        <v>108</v>
      </c>
      <c r="L1561">
        <v>85567.33</v>
      </c>
      <c r="M1561">
        <v>3322</v>
      </c>
      <c r="N1561">
        <v>82245.33</v>
      </c>
      <c r="O1561">
        <v>51857.4</v>
      </c>
      <c r="P1561">
        <v>30387.93</v>
      </c>
      <c r="Q1561">
        <v>0.3695</v>
      </c>
      <c r="R1561">
        <v>12</v>
      </c>
      <c r="S1561">
        <v>14040.33</v>
      </c>
      <c r="T1561">
        <v>0</v>
      </c>
      <c r="U1561">
        <v>1126.6500000000001</v>
      </c>
    </row>
    <row r="1562" spans="1:21" x14ac:dyDescent="0.35">
      <c r="A1562">
        <v>2025</v>
      </c>
      <c r="B1562">
        <v>9</v>
      </c>
      <c r="C1562">
        <v>3</v>
      </c>
      <c r="D1562" s="1">
        <v>45901</v>
      </c>
      <c r="E1562" s="4" t="s">
        <v>32</v>
      </c>
      <c r="F1562" s="4" t="s">
        <v>28</v>
      </c>
      <c r="G1562" s="4" t="s">
        <v>107</v>
      </c>
      <c r="H1562">
        <v>30</v>
      </c>
      <c r="I1562">
        <v>40</v>
      </c>
      <c r="J1562">
        <v>0</v>
      </c>
      <c r="K1562">
        <v>40</v>
      </c>
      <c r="L1562">
        <v>17996.560000000001</v>
      </c>
      <c r="M1562">
        <v>0</v>
      </c>
      <c r="N1562">
        <v>17996.560000000001</v>
      </c>
      <c r="O1562">
        <v>6356</v>
      </c>
      <c r="P1562">
        <v>11640.56</v>
      </c>
      <c r="Q1562">
        <v>0.64680000000000004</v>
      </c>
      <c r="R1562">
        <v>1</v>
      </c>
      <c r="S1562">
        <v>1198.56</v>
      </c>
      <c r="T1562">
        <v>0</v>
      </c>
      <c r="U1562">
        <v>599.89</v>
      </c>
    </row>
    <row r="1563" spans="1:21" x14ac:dyDescent="0.35">
      <c r="A1563">
        <v>2025</v>
      </c>
      <c r="B1563">
        <v>9</v>
      </c>
      <c r="C1563">
        <v>3</v>
      </c>
      <c r="D1563" s="1">
        <v>45901</v>
      </c>
      <c r="E1563" s="4" t="s">
        <v>32</v>
      </c>
      <c r="F1563" s="4" t="s">
        <v>28</v>
      </c>
      <c r="G1563" s="4" t="s">
        <v>109</v>
      </c>
      <c r="H1563">
        <v>594</v>
      </c>
      <c r="I1563">
        <v>873</v>
      </c>
      <c r="J1563">
        <v>0</v>
      </c>
      <c r="K1563">
        <v>873</v>
      </c>
      <c r="L1563">
        <v>310265.44</v>
      </c>
      <c r="M1563">
        <v>0</v>
      </c>
      <c r="N1563">
        <v>310265.44</v>
      </c>
      <c r="O1563">
        <v>112552.65</v>
      </c>
      <c r="P1563">
        <v>197712.79</v>
      </c>
      <c r="Q1563">
        <v>0.63719999999999999</v>
      </c>
      <c r="R1563">
        <v>70</v>
      </c>
      <c r="S1563">
        <v>48063.44</v>
      </c>
      <c r="T1563">
        <v>0</v>
      </c>
      <c r="U1563">
        <v>522.33000000000004</v>
      </c>
    </row>
    <row r="1564" spans="1:21" x14ac:dyDescent="0.35">
      <c r="A1564">
        <v>2025</v>
      </c>
      <c r="B1564">
        <v>9</v>
      </c>
      <c r="C1564">
        <v>3</v>
      </c>
      <c r="D1564" s="1">
        <v>45901</v>
      </c>
      <c r="E1564" s="4" t="s">
        <v>32</v>
      </c>
      <c r="F1564" s="4" t="s">
        <v>24</v>
      </c>
      <c r="G1564" s="4" t="s">
        <v>107</v>
      </c>
      <c r="H1564">
        <v>57</v>
      </c>
      <c r="I1564">
        <v>81</v>
      </c>
      <c r="J1564">
        <v>0</v>
      </c>
      <c r="K1564">
        <v>81</v>
      </c>
      <c r="L1564">
        <v>123535.17</v>
      </c>
      <c r="M1564">
        <v>0</v>
      </c>
      <c r="N1564">
        <v>123535.17</v>
      </c>
      <c r="O1564">
        <v>70539.149999999994</v>
      </c>
      <c r="P1564">
        <v>52996.02</v>
      </c>
      <c r="Q1564">
        <v>0.42899999999999999</v>
      </c>
      <c r="R1564">
        <v>8</v>
      </c>
      <c r="S1564">
        <v>24208.17</v>
      </c>
      <c r="T1564">
        <v>0</v>
      </c>
      <c r="U1564">
        <v>2167.2800000000002</v>
      </c>
    </row>
    <row r="1565" spans="1:21" x14ac:dyDescent="0.35">
      <c r="A1565">
        <v>2025</v>
      </c>
      <c r="B1565">
        <v>9</v>
      </c>
      <c r="C1565">
        <v>3</v>
      </c>
      <c r="D1565" s="1">
        <v>45901</v>
      </c>
      <c r="E1565" s="4" t="s">
        <v>32</v>
      </c>
      <c r="F1565" s="4" t="s">
        <v>24</v>
      </c>
      <c r="G1565" s="4" t="s">
        <v>109</v>
      </c>
      <c r="H1565">
        <v>222</v>
      </c>
      <c r="I1565">
        <v>344</v>
      </c>
      <c r="J1565">
        <v>5</v>
      </c>
      <c r="K1565">
        <v>339</v>
      </c>
      <c r="L1565">
        <v>406656</v>
      </c>
      <c r="M1565">
        <v>6180</v>
      </c>
      <c r="N1565">
        <v>400476</v>
      </c>
      <c r="O1565">
        <v>232135.75</v>
      </c>
      <c r="P1565">
        <v>168340.25</v>
      </c>
      <c r="Q1565">
        <v>0.4204</v>
      </c>
      <c r="R1565">
        <v>35</v>
      </c>
      <c r="S1565">
        <v>71377.399999999994</v>
      </c>
      <c r="T1565">
        <v>0</v>
      </c>
      <c r="U1565">
        <v>1803.95</v>
      </c>
    </row>
    <row r="1566" spans="1:21" x14ac:dyDescent="0.35">
      <c r="A1566">
        <v>2025</v>
      </c>
      <c r="B1566">
        <v>9</v>
      </c>
      <c r="C1566">
        <v>3</v>
      </c>
      <c r="D1566" s="1">
        <v>45901</v>
      </c>
      <c r="E1566" s="4" t="s">
        <v>32</v>
      </c>
      <c r="F1566" s="4" t="s">
        <v>26</v>
      </c>
      <c r="G1566" s="4" t="s">
        <v>108</v>
      </c>
      <c r="H1566">
        <v>9</v>
      </c>
      <c r="I1566">
        <v>12</v>
      </c>
      <c r="J1566">
        <v>0</v>
      </c>
      <c r="K1566">
        <v>12</v>
      </c>
      <c r="L1566">
        <v>3893</v>
      </c>
      <c r="M1566">
        <v>0</v>
      </c>
      <c r="N1566">
        <v>3893</v>
      </c>
      <c r="O1566">
        <v>2335.8000000000002</v>
      </c>
      <c r="P1566">
        <v>1557.2</v>
      </c>
      <c r="Q1566">
        <v>0.4</v>
      </c>
      <c r="R1566">
        <v>0</v>
      </c>
      <c r="S1566">
        <v>0</v>
      </c>
      <c r="T1566">
        <v>0</v>
      </c>
      <c r="U1566">
        <v>432.56</v>
      </c>
    </row>
    <row r="1567" spans="1:21" x14ac:dyDescent="0.35">
      <c r="A1567">
        <v>2025</v>
      </c>
      <c r="B1567">
        <v>9</v>
      </c>
      <c r="C1567">
        <v>3</v>
      </c>
      <c r="D1567" s="1">
        <v>45901</v>
      </c>
      <c r="E1567" s="4" t="s">
        <v>32</v>
      </c>
      <c r="F1567" s="4" t="s">
        <v>26</v>
      </c>
      <c r="G1567" s="4" t="s">
        <v>109</v>
      </c>
      <c r="H1567">
        <v>64</v>
      </c>
      <c r="I1567">
        <v>93</v>
      </c>
      <c r="J1567">
        <v>1</v>
      </c>
      <c r="K1567">
        <v>92</v>
      </c>
      <c r="L1567">
        <v>69995.240000000005</v>
      </c>
      <c r="M1567">
        <v>857</v>
      </c>
      <c r="N1567">
        <v>69138.240000000005</v>
      </c>
      <c r="O1567">
        <v>43840.2</v>
      </c>
      <c r="P1567">
        <v>25298.04</v>
      </c>
      <c r="Q1567">
        <v>0.3659</v>
      </c>
      <c r="R1567">
        <v>12</v>
      </c>
      <c r="S1567">
        <v>14647.24</v>
      </c>
      <c r="T1567">
        <v>0</v>
      </c>
      <c r="U1567">
        <v>1080.29</v>
      </c>
    </row>
    <row r="1568" spans="1:21" x14ac:dyDescent="0.35">
      <c r="A1568">
        <v>2025</v>
      </c>
      <c r="B1568">
        <v>9</v>
      </c>
      <c r="C1568">
        <v>3</v>
      </c>
      <c r="D1568" s="1">
        <v>45901</v>
      </c>
      <c r="E1568" s="4" t="s">
        <v>27</v>
      </c>
      <c r="F1568" s="4" t="s">
        <v>28</v>
      </c>
      <c r="G1568" s="4" t="s">
        <v>107</v>
      </c>
      <c r="H1568">
        <v>526</v>
      </c>
      <c r="I1568">
        <v>802</v>
      </c>
      <c r="J1568">
        <v>0</v>
      </c>
      <c r="K1568">
        <v>802</v>
      </c>
      <c r="L1568">
        <v>356221.22</v>
      </c>
      <c r="M1568">
        <v>0</v>
      </c>
      <c r="N1568">
        <v>356221.22</v>
      </c>
      <c r="O1568">
        <v>129056.2</v>
      </c>
      <c r="P1568">
        <v>227165.02</v>
      </c>
      <c r="Q1568">
        <v>0.63770000000000004</v>
      </c>
      <c r="R1568">
        <v>56</v>
      </c>
      <c r="S1568">
        <v>47120.22</v>
      </c>
      <c r="T1568">
        <v>0</v>
      </c>
      <c r="U1568">
        <v>677.23</v>
      </c>
    </row>
    <row r="1569" spans="1:21" x14ac:dyDescent="0.35">
      <c r="A1569">
        <v>2025</v>
      </c>
      <c r="B1569">
        <v>9</v>
      </c>
      <c r="C1569">
        <v>3</v>
      </c>
      <c r="D1569" s="1">
        <v>45901</v>
      </c>
      <c r="E1569" s="4" t="s">
        <v>27</v>
      </c>
      <c r="F1569" s="4" t="s">
        <v>28</v>
      </c>
      <c r="G1569" s="4" t="s">
        <v>109</v>
      </c>
      <c r="H1569">
        <v>1381</v>
      </c>
      <c r="I1569">
        <v>2162</v>
      </c>
      <c r="J1569">
        <v>0</v>
      </c>
      <c r="K1569">
        <v>2162</v>
      </c>
      <c r="L1569">
        <v>1149573.1299999999</v>
      </c>
      <c r="M1569">
        <v>0</v>
      </c>
      <c r="N1569">
        <v>1149573.1299999999</v>
      </c>
      <c r="O1569">
        <v>417244.8</v>
      </c>
      <c r="P1569">
        <v>732328.33</v>
      </c>
      <c r="Q1569">
        <v>0.63700000000000001</v>
      </c>
      <c r="R1569">
        <v>181</v>
      </c>
      <c r="S1569">
        <v>167861.39</v>
      </c>
      <c r="T1569">
        <v>0</v>
      </c>
      <c r="U1569">
        <v>832.42</v>
      </c>
    </row>
    <row r="1570" spans="1:21" x14ac:dyDescent="0.35">
      <c r="A1570">
        <v>2025</v>
      </c>
      <c r="B1570">
        <v>9</v>
      </c>
      <c r="C1570">
        <v>3</v>
      </c>
      <c r="D1570" s="1">
        <v>45901</v>
      </c>
      <c r="E1570" s="4" t="s">
        <v>27</v>
      </c>
      <c r="F1570" s="4" t="s">
        <v>35</v>
      </c>
      <c r="G1570" s="4" t="s">
        <v>109</v>
      </c>
      <c r="H1570">
        <v>1</v>
      </c>
      <c r="I1570">
        <v>1</v>
      </c>
      <c r="J1570">
        <v>0</v>
      </c>
      <c r="K1570">
        <v>1</v>
      </c>
      <c r="L1570">
        <v>469</v>
      </c>
      <c r="M1570">
        <v>0</v>
      </c>
      <c r="N1570">
        <v>469</v>
      </c>
      <c r="O1570">
        <v>93.8</v>
      </c>
      <c r="P1570">
        <v>375.2</v>
      </c>
      <c r="Q1570">
        <v>0.8</v>
      </c>
      <c r="R1570">
        <v>0</v>
      </c>
      <c r="S1570">
        <v>0</v>
      </c>
      <c r="T1570">
        <v>0</v>
      </c>
      <c r="U1570">
        <v>469</v>
      </c>
    </row>
    <row r="1571" spans="1:21" x14ac:dyDescent="0.35">
      <c r="A1571">
        <v>2025</v>
      </c>
      <c r="B1571">
        <v>9</v>
      </c>
      <c r="C1571">
        <v>3</v>
      </c>
      <c r="D1571" s="1">
        <v>45901</v>
      </c>
      <c r="E1571" s="4" t="s">
        <v>27</v>
      </c>
      <c r="F1571" s="4" t="s">
        <v>24</v>
      </c>
      <c r="G1571" s="4" t="s">
        <v>107</v>
      </c>
      <c r="H1571">
        <v>109</v>
      </c>
      <c r="I1571">
        <v>166</v>
      </c>
      <c r="J1571">
        <v>3</v>
      </c>
      <c r="K1571">
        <v>163</v>
      </c>
      <c r="L1571">
        <v>288711.78000000003</v>
      </c>
      <c r="M1571">
        <v>3403.6</v>
      </c>
      <c r="N1571">
        <v>285308.18</v>
      </c>
      <c r="O1571">
        <v>168401.2</v>
      </c>
      <c r="P1571">
        <v>116906.98</v>
      </c>
      <c r="Q1571">
        <v>0.4098</v>
      </c>
      <c r="R1571">
        <v>21</v>
      </c>
      <c r="S1571">
        <v>66550.179999999993</v>
      </c>
      <c r="T1571">
        <v>0</v>
      </c>
      <c r="U1571">
        <v>2617.5100000000002</v>
      </c>
    </row>
    <row r="1572" spans="1:21" x14ac:dyDescent="0.35">
      <c r="A1572">
        <v>2025</v>
      </c>
      <c r="B1572">
        <v>9</v>
      </c>
      <c r="C1572">
        <v>3</v>
      </c>
      <c r="D1572" s="1">
        <v>45901</v>
      </c>
      <c r="E1572" s="4" t="s">
        <v>27</v>
      </c>
      <c r="F1572" s="4" t="s">
        <v>24</v>
      </c>
      <c r="G1572" s="4" t="s">
        <v>109</v>
      </c>
      <c r="H1572">
        <v>479</v>
      </c>
      <c r="I1572">
        <v>711</v>
      </c>
      <c r="J1572">
        <v>15</v>
      </c>
      <c r="K1572">
        <v>696</v>
      </c>
      <c r="L1572">
        <v>1170171.8</v>
      </c>
      <c r="M1572">
        <v>30750.95</v>
      </c>
      <c r="N1572">
        <v>1139420.8500000001</v>
      </c>
      <c r="O1572">
        <v>650909.05000000005</v>
      </c>
      <c r="P1572">
        <v>488511.8</v>
      </c>
      <c r="Q1572">
        <v>0.42870000000000003</v>
      </c>
      <c r="R1572">
        <v>52</v>
      </c>
      <c r="S1572">
        <v>159318.85</v>
      </c>
      <c r="T1572">
        <v>0</v>
      </c>
      <c r="U1572">
        <v>2378.75</v>
      </c>
    </row>
    <row r="1573" spans="1:21" x14ac:dyDescent="0.35">
      <c r="A1573">
        <v>2025</v>
      </c>
      <c r="B1573">
        <v>9</v>
      </c>
      <c r="C1573">
        <v>3</v>
      </c>
      <c r="D1573" s="1">
        <v>45901</v>
      </c>
      <c r="E1573" s="4" t="s">
        <v>27</v>
      </c>
      <c r="F1573" s="4" t="s">
        <v>26</v>
      </c>
      <c r="G1573" s="4" t="s">
        <v>107</v>
      </c>
      <c r="H1573">
        <v>17</v>
      </c>
      <c r="I1573">
        <v>22</v>
      </c>
      <c r="J1573">
        <v>1</v>
      </c>
      <c r="K1573">
        <v>21</v>
      </c>
      <c r="L1573">
        <v>20474.849999999999</v>
      </c>
      <c r="M1573">
        <v>805.8</v>
      </c>
      <c r="N1573">
        <v>19669.05</v>
      </c>
      <c r="O1573">
        <v>12504.6</v>
      </c>
      <c r="P1573">
        <v>7164.45</v>
      </c>
      <c r="Q1573">
        <v>0.36420000000000002</v>
      </c>
      <c r="R1573">
        <v>3</v>
      </c>
      <c r="S1573">
        <v>2770.05</v>
      </c>
      <c r="T1573">
        <v>0</v>
      </c>
      <c r="U1573">
        <v>1157</v>
      </c>
    </row>
    <row r="1574" spans="1:21" x14ac:dyDescent="0.35">
      <c r="A1574">
        <v>2025</v>
      </c>
      <c r="B1574">
        <v>9</v>
      </c>
      <c r="C1574">
        <v>3</v>
      </c>
      <c r="D1574" s="1">
        <v>45901</v>
      </c>
      <c r="E1574" s="4" t="s">
        <v>27</v>
      </c>
      <c r="F1574" s="4" t="s">
        <v>26</v>
      </c>
      <c r="G1574" s="4" t="s">
        <v>109</v>
      </c>
      <c r="H1574">
        <v>60</v>
      </c>
      <c r="I1574">
        <v>97</v>
      </c>
      <c r="J1574">
        <v>5</v>
      </c>
      <c r="K1574">
        <v>92</v>
      </c>
      <c r="L1574">
        <v>61094.27</v>
      </c>
      <c r="M1574">
        <v>5379</v>
      </c>
      <c r="N1574">
        <v>55715.27</v>
      </c>
      <c r="O1574">
        <v>35187</v>
      </c>
      <c r="P1574">
        <v>20528.27</v>
      </c>
      <c r="Q1574">
        <v>0.36840000000000001</v>
      </c>
      <c r="R1574">
        <v>10</v>
      </c>
      <c r="S1574">
        <v>11458.27</v>
      </c>
      <c r="T1574">
        <v>0</v>
      </c>
      <c r="U1574">
        <v>928.59</v>
      </c>
    </row>
    <row r="1575" spans="1:21" x14ac:dyDescent="0.35">
      <c r="A1575">
        <v>2025</v>
      </c>
      <c r="B1575">
        <v>9</v>
      </c>
      <c r="C1575">
        <v>3</v>
      </c>
      <c r="D1575" s="1">
        <v>45901</v>
      </c>
      <c r="E1575" s="4" t="s">
        <v>34</v>
      </c>
      <c r="F1575" s="4" t="s">
        <v>28</v>
      </c>
      <c r="G1575" s="4" t="s">
        <v>107</v>
      </c>
      <c r="H1575">
        <v>181</v>
      </c>
      <c r="I1575">
        <v>270</v>
      </c>
      <c r="J1575">
        <v>0</v>
      </c>
      <c r="K1575">
        <v>270</v>
      </c>
      <c r="L1575">
        <v>177729.54</v>
      </c>
      <c r="M1575">
        <v>0</v>
      </c>
      <c r="N1575">
        <v>177729.54</v>
      </c>
      <c r="O1575">
        <v>64501.5</v>
      </c>
      <c r="P1575">
        <v>113228.04</v>
      </c>
      <c r="Q1575">
        <v>0.6371</v>
      </c>
      <c r="R1575">
        <v>21</v>
      </c>
      <c r="S1575">
        <v>22195.96</v>
      </c>
      <c r="T1575">
        <v>0</v>
      </c>
      <c r="U1575">
        <v>981.93</v>
      </c>
    </row>
    <row r="1576" spans="1:21" x14ac:dyDescent="0.35">
      <c r="A1576">
        <v>2025</v>
      </c>
      <c r="B1576">
        <v>9</v>
      </c>
      <c r="C1576">
        <v>3</v>
      </c>
      <c r="D1576" s="1">
        <v>45901</v>
      </c>
      <c r="E1576" s="4" t="s">
        <v>34</v>
      </c>
      <c r="F1576" s="4" t="s">
        <v>28</v>
      </c>
      <c r="G1576" s="4" t="s">
        <v>108</v>
      </c>
      <c r="H1576">
        <v>56</v>
      </c>
      <c r="I1576">
        <v>80</v>
      </c>
      <c r="J1576">
        <v>0</v>
      </c>
      <c r="K1576">
        <v>80</v>
      </c>
      <c r="L1576">
        <v>32733.84</v>
      </c>
      <c r="M1576">
        <v>0</v>
      </c>
      <c r="N1576">
        <v>32733.84</v>
      </c>
      <c r="O1576">
        <v>11928</v>
      </c>
      <c r="P1576">
        <v>20805.84</v>
      </c>
      <c r="Q1576">
        <v>0.63560000000000005</v>
      </c>
      <c r="R1576">
        <v>9</v>
      </c>
      <c r="S1576">
        <v>5469.84</v>
      </c>
      <c r="T1576">
        <v>0</v>
      </c>
      <c r="U1576">
        <v>584.53</v>
      </c>
    </row>
    <row r="1577" spans="1:21" x14ac:dyDescent="0.35">
      <c r="A1577">
        <v>2025</v>
      </c>
      <c r="B1577">
        <v>9</v>
      </c>
      <c r="C1577">
        <v>3</v>
      </c>
      <c r="D1577" s="1">
        <v>45901</v>
      </c>
      <c r="E1577" s="4" t="s">
        <v>34</v>
      </c>
      <c r="F1577" s="4" t="s">
        <v>28</v>
      </c>
      <c r="G1577" s="4" t="s">
        <v>109</v>
      </c>
      <c r="H1577">
        <v>769</v>
      </c>
      <c r="I1577">
        <v>1159</v>
      </c>
      <c r="J1577">
        <v>0</v>
      </c>
      <c r="K1577">
        <v>1159</v>
      </c>
      <c r="L1577">
        <v>564562.96</v>
      </c>
      <c r="M1577">
        <v>0</v>
      </c>
      <c r="N1577">
        <v>564562.96</v>
      </c>
      <c r="O1577">
        <v>205142.35</v>
      </c>
      <c r="P1577">
        <v>359420.61</v>
      </c>
      <c r="Q1577">
        <v>0.63660000000000005</v>
      </c>
      <c r="R1577">
        <v>92</v>
      </c>
      <c r="S1577">
        <v>83195.960000000006</v>
      </c>
      <c r="T1577">
        <v>0</v>
      </c>
      <c r="U1577">
        <v>734.15</v>
      </c>
    </row>
    <row r="1578" spans="1:21" x14ac:dyDescent="0.35">
      <c r="A1578">
        <v>2025</v>
      </c>
      <c r="B1578">
        <v>9</v>
      </c>
      <c r="C1578">
        <v>3</v>
      </c>
      <c r="D1578" s="1">
        <v>45901</v>
      </c>
      <c r="E1578" s="4" t="s">
        <v>34</v>
      </c>
      <c r="F1578" s="4" t="s">
        <v>24</v>
      </c>
      <c r="G1578" s="4" t="s">
        <v>107</v>
      </c>
      <c r="H1578">
        <v>94</v>
      </c>
      <c r="I1578">
        <v>157</v>
      </c>
      <c r="J1578">
        <v>2</v>
      </c>
      <c r="K1578">
        <v>155</v>
      </c>
      <c r="L1578">
        <v>252003.47</v>
      </c>
      <c r="M1578">
        <v>3633.62</v>
      </c>
      <c r="N1578">
        <v>248369.85</v>
      </c>
      <c r="O1578">
        <v>140905.60000000001</v>
      </c>
      <c r="P1578">
        <v>107464.25</v>
      </c>
      <c r="Q1578">
        <v>0.43269999999999997</v>
      </c>
      <c r="R1578">
        <v>12</v>
      </c>
      <c r="S1578">
        <v>30356.85</v>
      </c>
      <c r="T1578">
        <v>0</v>
      </c>
      <c r="U1578">
        <v>2642.23</v>
      </c>
    </row>
    <row r="1579" spans="1:21" x14ac:dyDescent="0.35">
      <c r="A1579">
        <v>2025</v>
      </c>
      <c r="B1579">
        <v>9</v>
      </c>
      <c r="C1579">
        <v>3</v>
      </c>
      <c r="D1579" s="1">
        <v>45901</v>
      </c>
      <c r="E1579" s="4" t="s">
        <v>34</v>
      </c>
      <c r="F1579" s="4" t="s">
        <v>24</v>
      </c>
      <c r="G1579" s="4" t="s">
        <v>108</v>
      </c>
      <c r="H1579">
        <v>14</v>
      </c>
      <c r="I1579">
        <v>24</v>
      </c>
      <c r="J1579">
        <v>0</v>
      </c>
      <c r="K1579">
        <v>24</v>
      </c>
      <c r="L1579">
        <v>31799.74</v>
      </c>
      <c r="M1579">
        <v>0</v>
      </c>
      <c r="N1579">
        <v>31799.74</v>
      </c>
      <c r="O1579">
        <v>18202.8</v>
      </c>
      <c r="P1579">
        <v>13596.94</v>
      </c>
      <c r="Q1579">
        <v>0.42759999999999998</v>
      </c>
      <c r="R1579">
        <v>2</v>
      </c>
      <c r="S1579">
        <v>2840.74</v>
      </c>
      <c r="T1579">
        <v>0</v>
      </c>
      <c r="U1579">
        <v>2271.41</v>
      </c>
    </row>
    <row r="1580" spans="1:21" x14ac:dyDescent="0.35">
      <c r="A1580">
        <v>2025</v>
      </c>
      <c r="B1580">
        <v>9</v>
      </c>
      <c r="C1580">
        <v>3</v>
      </c>
      <c r="D1580" s="1">
        <v>45901</v>
      </c>
      <c r="E1580" s="4" t="s">
        <v>34</v>
      </c>
      <c r="F1580" s="4" t="s">
        <v>24</v>
      </c>
      <c r="G1580" s="4" t="s">
        <v>109</v>
      </c>
      <c r="H1580">
        <v>233</v>
      </c>
      <c r="I1580">
        <v>337</v>
      </c>
      <c r="J1580">
        <v>7</v>
      </c>
      <c r="K1580">
        <v>330</v>
      </c>
      <c r="L1580">
        <v>560461.04</v>
      </c>
      <c r="M1580">
        <v>12375</v>
      </c>
      <c r="N1580">
        <v>548086.04</v>
      </c>
      <c r="O1580">
        <v>307906.5</v>
      </c>
      <c r="P1580">
        <v>240179.54</v>
      </c>
      <c r="Q1580">
        <v>0.43819999999999998</v>
      </c>
      <c r="R1580">
        <v>16</v>
      </c>
      <c r="S1580">
        <v>42707.53</v>
      </c>
      <c r="T1580">
        <v>0</v>
      </c>
      <c r="U1580">
        <v>2352.3000000000002</v>
      </c>
    </row>
    <row r="1581" spans="1:21" x14ac:dyDescent="0.35">
      <c r="A1581">
        <v>2025</v>
      </c>
      <c r="B1581">
        <v>9</v>
      </c>
      <c r="C1581">
        <v>3</v>
      </c>
      <c r="D1581" s="1">
        <v>45901</v>
      </c>
      <c r="E1581" s="4" t="s">
        <v>34</v>
      </c>
      <c r="F1581" s="4" t="s">
        <v>26</v>
      </c>
      <c r="G1581" s="4" t="s">
        <v>107</v>
      </c>
      <c r="H1581">
        <v>13</v>
      </c>
      <c r="I1581">
        <v>17</v>
      </c>
      <c r="J1581">
        <v>2</v>
      </c>
      <c r="K1581">
        <v>15</v>
      </c>
      <c r="L1581">
        <v>8799.24</v>
      </c>
      <c r="M1581">
        <v>1380</v>
      </c>
      <c r="N1581">
        <v>7419.24</v>
      </c>
      <c r="O1581">
        <v>4780.8</v>
      </c>
      <c r="P1581">
        <v>2638.44</v>
      </c>
      <c r="Q1581">
        <v>0.35560000000000003</v>
      </c>
      <c r="R1581">
        <v>2</v>
      </c>
      <c r="S1581">
        <v>1535.24</v>
      </c>
      <c r="T1581">
        <v>0</v>
      </c>
      <c r="U1581">
        <v>570.71</v>
      </c>
    </row>
    <row r="1582" spans="1:21" x14ac:dyDescent="0.35">
      <c r="A1582">
        <v>2025</v>
      </c>
      <c r="B1582">
        <v>9</v>
      </c>
      <c r="C1582">
        <v>3</v>
      </c>
      <c r="D1582" s="1">
        <v>45901</v>
      </c>
      <c r="E1582" s="4" t="s">
        <v>34</v>
      </c>
      <c r="F1582" s="4" t="s">
        <v>26</v>
      </c>
      <c r="G1582" s="4" t="s">
        <v>108</v>
      </c>
      <c r="H1582">
        <v>2</v>
      </c>
      <c r="I1582">
        <v>2</v>
      </c>
      <c r="J1582">
        <v>0</v>
      </c>
      <c r="K1582">
        <v>2</v>
      </c>
      <c r="L1582">
        <v>1275</v>
      </c>
      <c r="M1582">
        <v>0</v>
      </c>
      <c r="N1582">
        <v>1275</v>
      </c>
      <c r="O1582">
        <v>765</v>
      </c>
      <c r="P1582">
        <v>510</v>
      </c>
      <c r="Q1582">
        <v>0.4</v>
      </c>
      <c r="R1582">
        <v>0</v>
      </c>
      <c r="S1582">
        <v>0</v>
      </c>
      <c r="T1582">
        <v>0</v>
      </c>
      <c r="U1582">
        <v>637.5</v>
      </c>
    </row>
    <row r="1583" spans="1:21" x14ac:dyDescent="0.35">
      <c r="A1583">
        <v>2025</v>
      </c>
      <c r="B1583">
        <v>9</v>
      </c>
      <c r="C1583">
        <v>3</v>
      </c>
      <c r="D1583" s="1">
        <v>45901</v>
      </c>
      <c r="E1583" s="4" t="s">
        <v>34</v>
      </c>
      <c r="F1583" s="4" t="s">
        <v>26</v>
      </c>
      <c r="G1583" s="4" t="s">
        <v>109</v>
      </c>
      <c r="H1583">
        <v>48</v>
      </c>
      <c r="I1583">
        <v>69</v>
      </c>
      <c r="J1583">
        <v>1</v>
      </c>
      <c r="K1583">
        <v>68</v>
      </c>
      <c r="L1583">
        <v>48208.68</v>
      </c>
      <c r="M1583">
        <v>457</v>
      </c>
      <c r="N1583">
        <v>47751.68</v>
      </c>
      <c r="O1583">
        <v>29623.8</v>
      </c>
      <c r="P1583">
        <v>18127.88</v>
      </c>
      <c r="Q1583">
        <v>0.37959999999999999</v>
      </c>
      <c r="R1583">
        <v>5</v>
      </c>
      <c r="S1583">
        <v>4862.68</v>
      </c>
      <c r="T1583">
        <v>0</v>
      </c>
      <c r="U1583">
        <v>994.83</v>
      </c>
    </row>
    <row r="1584" spans="1:21" x14ac:dyDescent="0.35">
      <c r="A1584">
        <v>2025</v>
      </c>
      <c r="B1584">
        <v>9</v>
      </c>
      <c r="C1584">
        <v>3</v>
      </c>
      <c r="D1584" s="1">
        <v>45901</v>
      </c>
      <c r="E1584" s="4" t="s">
        <v>36</v>
      </c>
      <c r="F1584" s="4" t="s">
        <v>28</v>
      </c>
      <c r="G1584" s="4" t="s">
        <v>107</v>
      </c>
      <c r="H1584">
        <v>88</v>
      </c>
      <c r="I1584">
        <v>137</v>
      </c>
      <c r="J1584">
        <v>0</v>
      </c>
      <c r="K1584">
        <v>137</v>
      </c>
      <c r="L1584">
        <v>84485.37</v>
      </c>
      <c r="M1584">
        <v>0</v>
      </c>
      <c r="N1584">
        <v>84485.37</v>
      </c>
      <c r="O1584">
        <v>30338.35</v>
      </c>
      <c r="P1584">
        <v>54147.02</v>
      </c>
      <c r="Q1584">
        <v>0.64090000000000003</v>
      </c>
      <c r="R1584">
        <v>10</v>
      </c>
      <c r="S1584">
        <v>12506.37</v>
      </c>
      <c r="T1584">
        <v>0</v>
      </c>
      <c r="U1584">
        <v>960.06</v>
      </c>
    </row>
    <row r="1585" spans="1:21" x14ac:dyDescent="0.35">
      <c r="A1585">
        <v>2025</v>
      </c>
      <c r="B1585">
        <v>9</v>
      </c>
      <c r="C1585">
        <v>3</v>
      </c>
      <c r="D1585" s="1">
        <v>45901</v>
      </c>
      <c r="E1585" s="4" t="s">
        <v>36</v>
      </c>
      <c r="F1585" s="4" t="s">
        <v>28</v>
      </c>
      <c r="G1585" s="4" t="s">
        <v>108</v>
      </c>
      <c r="H1585">
        <v>188</v>
      </c>
      <c r="I1585">
        <v>301</v>
      </c>
      <c r="J1585">
        <v>0</v>
      </c>
      <c r="K1585">
        <v>301</v>
      </c>
      <c r="L1585">
        <v>98150.33</v>
      </c>
      <c r="M1585">
        <v>0</v>
      </c>
      <c r="N1585">
        <v>98150.33</v>
      </c>
      <c r="O1585">
        <v>35493.85</v>
      </c>
      <c r="P1585">
        <v>62656.480000000003</v>
      </c>
      <c r="Q1585">
        <v>0.63839999999999997</v>
      </c>
      <c r="R1585">
        <v>18</v>
      </c>
      <c r="S1585">
        <v>14482.55</v>
      </c>
      <c r="T1585">
        <v>0</v>
      </c>
      <c r="U1585">
        <v>522.08000000000004</v>
      </c>
    </row>
    <row r="1586" spans="1:21" x14ac:dyDescent="0.35">
      <c r="A1586">
        <v>2025</v>
      </c>
      <c r="B1586">
        <v>9</v>
      </c>
      <c r="C1586">
        <v>3</v>
      </c>
      <c r="D1586" s="1">
        <v>45901</v>
      </c>
      <c r="E1586" s="4" t="s">
        <v>36</v>
      </c>
      <c r="F1586" s="4" t="s">
        <v>28</v>
      </c>
      <c r="G1586" s="4" t="s">
        <v>109</v>
      </c>
      <c r="H1586">
        <v>835</v>
      </c>
      <c r="I1586">
        <v>1321</v>
      </c>
      <c r="J1586">
        <v>0</v>
      </c>
      <c r="K1586">
        <v>1321</v>
      </c>
      <c r="L1586">
        <v>646630.14</v>
      </c>
      <c r="M1586">
        <v>0</v>
      </c>
      <c r="N1586">
        <v>646630.14</v>
      </c>
      <c r="O1586">
        <v>235414.55</v>
      </c>
      <c r="P1586">
        <v>411215.59</v>
      </c>
      <c r="Q1586">
        <v>0.63590000000000002</v>
      </c>
      <c r="R1586">
        <v>113</v>
      </c>
      <c r="S1586">
        <v>101296.54</v>
      </c>
      <c r="T1586">
        <v>0</v>
      </c>
      <c r="U1586">
        <v>774.41</v>
      </c>
    </row>
    <row r="1587" spans="1:21" x14ac:dyDescent="0.35">
      <c r="A1587">
        <v>2025</v>
      </c>
      <c r="B1587">
        <v>9</v>
      </c>
      <c r="C1587">
        <v>3</v>
      </c>
      <c r="D1587" s="1">
        <v>45901</v>
      </c>
      <c r="E1587" s="4" t="s">
        <v>36</v>
      </c>
      <c r="F1587" s="4" t="s">
        <v>24</v>
      </c>
      <c r="G1587" s="4" t="s">
        <v>107</v>
      </c>
      <c r="H1587">
        <v>54</v>
      </c>
      <c r="I1587">
        <v>91</v>
      </c>
      <c r="J1587">
        <v>0</v>
      </c>
      <c r="K1587">
        <v>91</v>
      </c>
      <c r="L1587">
        <v>121149.61</v>
      </c>
      <c r="M1587">
        <v>0</v>
      </c>
      <c r="N1587">
        <v>121149.61</v>
      </c>
      <c r="O1587">
        <v>69433.649999999994</v>
      </c>
      <c r="P1587">
        <v>51715.96</v>
      </c>
      <c r="Q1587">
        <v>0.4269</v>
      </c>
      <c r="R1587">
        <v>7</v>
      </c>
      <c r="S1587">
        <v>18190.61</v>
      </c>
      <c r="T1587">
        <v>0</v>
      </c>
      <c r="U1587">
        <v>2243.5100000000002</v>
      </c>
    </row>
    <row r="1588" spans="1:21" x14ac:dyDescent="0.35">
      <c r="A1588">
        <v>2025</v>
      </c>
      <c r="B1588">
        <v>9</v>
      </c>
      <c r="C1588">
        <v>3</v>
      </c>
      <c r="D1588" s="1">
        <v>45901</v>
      </c>
      <c r="E1588" s="4" t="s">
        <v>36</v>
      </c>
      <c r="F1588" s="4" t="s">
        <v>24</v>
      </c>
      <c r="G1588" s="4" t="s">
        <v>108</v>
      </c>
      <c r="H1588">
        <v>25</v>
      </c>
      <c r="I1588">
        <v>34</v>
      </c>
      <c r="J1588">
        <v>1</v>
      </c>
      <c r="K1588">
        <v>33</v>
      </c>
      <c r="L1588">
        <v>56239.72</v>
      </c>
      <c r="M1588">
        <v>1600</v>
      </c>
      <c r="N1588">
        <v>54639.72</v>
      </c>
      <c r="O1588">
        <v>31389.599999999999</v>
      </c>
      <c r="P1588">
        <v>23250.12</v>
      </c>
      <c r="Q1588">
        <v>0.42549999999999999</v>
      </c>
      <c r="R1588">
        <v>3</v>
      </c>
      <c r="S1588">
        <v>8235.7199999999993</v>
      </c>
      <c r="T1588">
        <v>0</v>
      </c>
      <c r="U1588">
        <v>2185.59</v>
      </c>
    </row>
    <row r="1589" spans="1:21" x14ac:dyDescent="0.35">
      <c r="A1589">
        <v>2025</v>
      </c>
      <c r="B1589">
        <v>9</v>
      </c>
      <c r="C1589">
        <v>3</v>
      </c>
      <c r="D1589" s="1">
        <v>45901</v>
      </c>
      <c r="E1589" s="4" t="s">
        <v>36</v>
      </c>
      <c r="F1589" s="4" t="s">
        <v>24</v>
      </c>
      <c r="G1589" s="4" t="s">
        <v>109</v>
      </c>
      <c r="H1589">
        <v>153</v>
      </c>
      <c r="I1589">
        <v>228</v>
      </c>
      <c r="J1589">
        <v>9</v>
      </c>
      <c r="K1589">
        <v>219</v>
      </c>
      <c r="L1589">
        <v>359374.44</v>
      </c>
      <c r="M1589">
        <v>13462.92</v>
      </c>
      <c r="N1589">
        <v>345911.52</v>
      </c>
      <c r="O1589">
        <v>195302.8</v>
      </c>
      <c r="P1589">
        <v>150608.72</v>
      </c>
      <c r="Q1589">
        <v>0.43540000000000001</v>
      </c>
      <c r="R1589">
        <v>16</v>
      </c>
      <c r="S1589">
        <v>50408.52</v>
      </c>
      <c r="T1589">
        <v>0</v>
      </c>
      <c r="U1589">
        <v>2260.86</v>
      </c>
    </row>
    <row r="1590" spans="1:21" x14ac:dyDescent="0.35">
      <c r="A1590">
        <v>2025</v>
      </c>
      <c r="B1590">
        <v>9</v>
      </c>
      <c r="C1590">
        <v>3</v>
      </c>
      <c r="D1590" s="1">
        <v>45901</v>
      </c>
      <c r="E1590" s="4" t="s">
        <v>36</v>
      </c>
      <c r="F1590" s="4" t="s">
        <v>26</v>
      </c>
      <c r="G1590" s="4" t="s">
        <v>107</v>
      </c>
      <c r="H1590">
        <v>3</v>
      </c>
      <c r="I1590">
        <v>3</v>
      </c>
      <c r="J1590">
        <v>1</v>
      </c>
      <c r="K1590">
        <v>2</v>
      </c>
      <c r="L1590">
        <v>1681.07</v>
      </c>
      <c r="M1590">
        <v>469</v>
      </c>
      <c r="N1590">
        <v>1212.07</v>
      </c>
      <c r="O1590">
        <v>842.4</v>
      </c>
      <c r="P1590">
        <v>369.67</v>
      </c>
      <c r="Q1590">
        <v>0.30499999999999999</v>
      </c>
      <c r="R1590">
        <v>0</v>
      </c>
      <c r="S1590">
        <v>0</v>
      </c>
      <c r="T1590">
        <v>0</v>
      </c>
      <c r="U1590">
        <v>404.02</v>
      </c>
    </row>
    <row r="1591" spans="1:21" x14ac:dyDescent="0.35">
      <c r="A1591">
        <v>2025</v>
      </c>
      <c r="B1591">
        <v>9</v>
      </c>
      <c r="C1591">
        <v>3</v>
      </c>
      <c r="D1591" s="1">
        <v>45901</v>
      </c>
      <c r="E1591" s="4" t="s">
        <v>36</v>
      </c>
      <c r="F1591" s="4" t="s">
        <v>26</v>
      </c>
      <c r="G1591" s="4" t="s">
        <v>109</v>
      </c>
      <c r="H1591">
        <v>56</v>
      </c>
      <c r="I1591">
        <v>85</v>
      </c>
      <c r="J1591">
        <v>4</v>
      </c>
      <c r="K1591">
        <v>81</v>
      </c>
      <c r="L1591">
        <v>65632.639999999999</v>
      </c>
      <c r="M1591">
        <v>4098.16</v>
      </c>
      <c r="N1591">
        <v>61534.48</v>
      </c>
      <c r="O1591">
        <v>37567.800000000003</v>
      </c>
      <c r="P1591">
        <v>23966.68</v>
      </c>
      <c r="Q1591">
        <v>0.38950000000000001</v>
      </c>
      <c r="R1591">
        <v>6</v>
      </c>
      <c r="S1591">
        <v>5979.48</v>
      </c>
      <c r="T1591">
        <v>0</v>
      </c>
      <c r="U1591">
        <v>1098.83</v>
      </c>
    </row>
    <row r="1592" spans="1:21" x14ac:dyDescent="0.35">
      <c r="A1592">
        <v>2025</v>
      </c>
      <c r="B1592">
        <v>9</v>
      </c>
      <c r="C1592">
        <v>3</v>
      </c>
      <c r="D1592" s="1">
        <v>45901</v>
      </c>
      <c r="E1592" s="4" t="s">
        <v>23</v>
      </c>
      <c r="F1592" s="4" t="s">
        <v>28</v>
      </c>
      <c r="G1592" s="4" t="s">
        <v>107</v>
      </c>
      <c r="H1592">
        <v>131</v>
      </c>
      <c r="I1592">
        <v>175</v>
      </c>
      <c r="J1592">
        <v>0</v>
      </c>
      <c r="K1592">
        <v>175</v>
      </c>
      <c r="L1592">
        <v>57199.74</v>
      </c>
      <c r="M1592">
        <v>0</v>
      </c>
      <c r="N1592">
        <v>57199.74</v>
      </c>
      <c r="O1592">
        <v>20702.5</v>
      </c>
      <c r="P1592">
        <v>36497.24</v>
      </c>
      <c r="Q1592">
        <v>0.6381</v>
      </c>
      <c r="R1592">
        <v>22</v>
      </c>
      <c r="S1592">
        <v>9203.74</v>
      </c>
      <c r="T1592">
        <v>0</v>
      </c>
      <c r="U1592">
        <v>436.64</v>
      </c>
    </row>
    <row r="1593" spans="1:21" x14ac:dyDescent="0.35">
      <c r="A1593">
        <v>2025</v>
      </c>
      <c r="B1593">
        <v>9</v>
      </c>
      <c r="C1593">
        <v>3</v>
      </c>
      <c r="D1593" s="1">
        <v>45901</v>
      </c>
      <c r="E1593" s="4" t="s">
        <v>23</v>
      </c>
      <c r="F1593" s="4" t="s">
        <v>28</v>
      </c>
      <c r="G1593" s="4" t="s">
        <v>108</v>
      </c>
      <c r="H1593">
        <v>47</v>
      </c>
      <c r="I1593">
        <v>71</v>
      </c>
      <c r="J1593">
        <v>0</v>
      </c>
      <c r="K1593">
        <v>71</v>
      </c>
      <c r="L1593">
        <v>47501.71</v>
      </c>
      <c r="M1593">
        <v>0</v>
      </c>
      <c r="N1593">
        <v>47501.71</v>
      </c>
      <c r="O1593">
        <v>17469.55</v>
      </c>
      <c r="P1593">
        <v>30032.16</v>
      </c>
      <c r="Q1593">
        <v>0.63219999999999998</v>
      </c>
      <c r="R1593">
        <v>5</v>
      </c>
      <c r="S1593">
        <v>8836.7099999999991</v>
      </c>
      <c r="T1593">
        <v>0</v>
      </c>
      <c r="U1593">
        <v>1010.67</v>
      </c>
    </row>
    <row r="1594" spans="1:21" x14ac:dyDescent="0.35">
      <c r="A1594">
        <v>2025</v>
      </c>
      <c r="B1594">
        <v>9</v>
      </c>
      <c r="C1594">
        <v>3</v>
      </c>
      <c r="D1594" s="1">
        <v>45901</v>
      </c>
      <c r="E1594" s="4" t="s">
        <v>23</v>
      </c>
      <c r="F1594" s="4" t="s">
        <v>28</v>
      </c>
      <c r="G1594" s="4" t="s">
        <v>109</v>
      </c>
      <c r="H1594">
        <v>707</v>
      </c>
      <c r="I1594">
        <v>1101</v>
      </c>
      <c r="J1594">
        <v>0</v>
      </c>
      <c r="K1594">
        <v>1101</v>
      </c>
      <c r="L1594">
        <v>512338.06</v>
      </c>
      <c r="M1594">
        <v>0</v>
      </c>
      <c r="N1594">
        <v>512338.06</v>
      </c>
      <c r="O1594">
        <v>186405.1</v>
      </c>
      <c r="P1594">
        <v>325932.96000000002</v>
      </c>
      <c r="Q1594">
        <v>0.63619999999999999</v>
      </c>
      <c r="R1594">
        <v>98</v>
      </c>
      <c r="S1594">
        <v>86996.81</v>
      </c>
      <c r="T1594">
        <v>0</v>
      </c>
      <c r="U1594">
        <v>724.66</v>
      </c>
    </row>
    <row r="1595" spans="1:21" x14ac:dyDescent="0.35">
      <c r="A1595">
        <v>2025</v>
      </c>
      <c r="B1595">
        <v>9</v>
      </c>
      <c r="C1595">
        <v>3</v>
      </c>
      <c r="D1595" s="1">
        <v>45901</v>
      </c>
      <c r="E1595" s="4" t="s">
        <v>23</v>
      </c>
      <c r="F1595" s="4" t="s">
        <v>24</v>
      </c>
      <c r="G1595" s="4" t="s">
        <v>107</v>
      </c>
      <c r="H1595">
        <v>77</v>
      </c>
      <c r="I1595">
        <v>112</v>
      </c>
      <c r="J1595">
        <v>1</v>
      </c>
      <c r="K1595">
        <v>111</v>
      </c>
      <c r="L1595">
        <v>198487.81</v>
      </c>
      <c r="M1595">
        <v>2449</v>
      </c>
      <c r="N1595">
        <v>196038.81</v>
      </c>
      <c r="O1595">
        <v>111870.55</v>
      </c>
      <c r="P1595">
        <v>84168.26</v>
      </c>
      <c r="Q1595">
        <v>0.42930000000000001</v>
      </c>
      <c r="R1595">
        <v>5</v>
      </c>
      <c r="S1595">
        <v>21033.81</v>
      </c>
      <c r="T1595">
        <v>0</v>
      </c>
      <c r="U1595">
        <v>2545.96</v>
      </c>
    </row>
    <row r="1596" spans="1:21" x14ac:dyDescent="0.35">
      <c r="A1596">
        <v>2025</v>
      </c>
      <c r="B1596">
        <v>9</v>
      </c>
      <c r="C1596">
        <v>3</v>
      </c>
      <c r="D1596" s="1">
        <v>45901</v>
      </c>
      <c r="E1596" s="4" t="s">
        <v>23</v>
      </c>
      <c r="F1596" s="4" t="s">
        <v>24</v>
      </c>
      <c r="G1596" s="4" t="s">
        <v>109</v>
      </c>
      <c r="H1596">
        <v>152</v>
      </c>
      <c r="I1596">
        <v>248</v>
      </c>
      <c r="J1596">
        <v>4</v>
      </c>
      <c r="K1596">
        <v>244</v>
      </c>
      <c r="L1596">
        <v>278779.83</v>
      </c>
      <c r="M1596">
        <v>5060</v>
      </c>
      <c r="N1596">
        <v>273719.83</v>
      </c>
      <c r="O1596">
        <v>157984.20000000001</v>
      </c>
      <c r="P1596">
        <v>115735.63</v>
      </c>
      <c r="Q1596">
        <v>0.42280000000000001</v>
      </c>
      <c r="R1596">
        <v>20</v>
      </c>
      <c r="S1596">
        <v>42751.83</v>
      </c>
      <c r="T1596">
        <v>0</v>
      </c>
      <c r="U1596">
        <v>1800.79</v>
      </c>
    </row>
    <row r="1597" spans="1:21" x14ac:dyDescent="0.35">
      <c r="A1597">
        <v>2025</v>
      </c>
      <c r="B1597">
        <v>9</v>
      </c>
      <c r="C1597">
        <v>3</v>
      </c>
      <c r="D1597" s="1">
        <v>45901</v>
      </c>
      <c r="E1597" s="4" t="s">
        <v>23</v>
      </c>
      <c r="F1597" s="4" t="s">
        <v>26</v>
      </c>
      <c r="G1597" s="4" t="s">
        <v>107</v>
      </c>
      <c r="H1597">
        <v>10</v>
      </c>
      <c r="I1597">
        <v>15</v>
      </c>
      <c r="J1597">
        <v>3</v>
      </c>
      <c r="K1597">
        <v>12</v>
      </c>
      <c r="L1597">
        <v>8372.7999999999993</v>
      </c>
      <c r="M1597">
        <v>1593</v>
      </c>
      <c r="N1597">
        <v>6779.8</v>
      </c>
      <c r="O1597">
        <v>4131.6000000000004</v>
      </c>
      <c r="P1597">
        <v>2648.2</v>
      </c>
      <c r="Q1597">
        <v>0.3906</v>
      </c>
      <c r="R1597">
        <v>1</v>
      </c>
      <c r="S1597">
        <v>424.8</v>
      </c>
      <c r="T1597">
        <v>0</v>
      </c>
      <c r="U1597">
        <v>677.98</v>
      </c>
    </row>
    <row r="1598" spans="1:21" x14ac:dyDescent="0.35">
      <c r="A1598">
        <v>2025</v>
      </c>
      <c r="B1598">
        <v>9</v>
      </c>
      <c r="C1598">
        <v>3</v>
      </c>
      <c r="D1598" s="1">
        <v>45901</v>
      </c>
      <c r="E1598" s="4" t="s">
        <v>23</v>
      </c>
      <c r="F1598" s="4" t="s">
        <v>26</v>
      </c>
      <c r="G1598" s="4" t="s">
        <v>109</v>
      </c>
      <c r="H1598">
        <v>58</v>
      </c>
      <c r="I1598">
        <v>84</v>
      </c>
      <c r="J1598">
        <v>1</v>
      </c>
      <c r="K1598">
        <v>83</v>
      </c>
      <c r="L1598">
        <v>57667.3</v>
      </c>
      <c r="M1598">
        <v>519</v>
      </c>
      <c r="N1598">
        <v>57148.3</v>
      </c>
      <c r="O1598">
        <v>35701.199999999997</v>
      </c>
      <c r="P1598">
        <v>21447.1</v>
      </c>
      <c r="Q1598">
        <v>0.37530000000000002</v>
      </c>
      <c r="R1598">
        <v>8</v>
      </c>
      <c r="S1598">
        <v>8489.2999999999993</v>
      </c>
      <c r="T1598">
        <v>0</v>
      </c>
      <c r="U1598">
        <v>985.32</v>
      </c>
    </row>
    <row r="1599" spans="1:21" x14ac:dyDescent="0.35">
      <c r="A1599">
        <v>2025</v>
      </c>
      <c r="B1599">
        <v>9</v>
      </c>
      <c r="C1599">
        <v>3</v>
      </c>
      <c r="D1599" s="1">
        <v>45901</v>
      </c>
      <c r="E1599" s="4" t="s">
        <v>25</v>
      </c>
      <c r="F1599" s="4" t="s">
        <v>28</v>
      </c>
      <c r="G1599" s="4" t="s">
        <v>107</v>
      </c>
      <c r="H1599">
        <v>38</v>
      </c>
      <c r="I1599">
        <v>59</v>
      </c>
      <c r="J1599">
        <v>0</v>
      </c>
      <c r="K1599">
        <v>59</v>
      </c>
      <c r="L1599">
        <v>27752.48</v>
      </c>
      <c r="M1599">
        <v>0</v>
      </c>
      <c r="N1599">
        <v>27752.48</v>
      </c>
      <c r="O1599">
        <v>10263.049999999999</v>
      </c>
      <c r="P1599">
        <v>17489.43</v>
      </c>
      <c r="Q1599">
        <v>0.63019999999999998</v>
      </c>
      <c r="R1599">
        <v>7</v>
      </c>
      <c r="S1599">
        <v>4890.4799999999996</v>
      </c>
      <c r="T1599">
        <v>0</v>
      </c>
      <c r="U1599">
        <v>730.33</v>
      </c>
    </row>
    <row r="1600" spans="1:21" x14ac:dyDescent="0.35">
      <c r="A1600">
        <v>2025</v>
      </c>
      <c r="B1600">
        <v>9</v>
      </c>
      <c r="C1600">
        <v>3</v>
      </c>
      <c r="D1600" s="1">
        <v>45901</v>
      </c>
      <c r="E1600" s="4" t="s">
        <v>25</v>
      </c>
      <c r="F1600" s="4" t="s">
        <v>28</v>
      </c>
      <c r="G1600" s="4" t="s">
        <v>109</v>
      </c>
      <c r="H1600">
        <v>709</v>
      </c>
      <c r="I1600">
        <v>1079</v>
      </c>
      <c r="J1600">
        <v>0</v>
      </c>
      <c r="K1600">
        <v>1079</v>
      </c>
      <c r="L1600">
        <v>566127.59</v>
      </c>
      <c r="M1600">
        <v>0</v>
      </c>
      <c r="N1600">
        <v>566127.59</v>
      </c>
      <c r="O1600">
        <v>206201.8</v>
      </c>
      <c r="P1600">
        <v>359925.79</v>
      </c>
      <c r="Q1600">
        <v>0.63580000000000003</v>
      </c>
      <c r="R1600">
        <v>83</v>
      </c>
      <c r="S1600">
        <v>80851.78</v>
      </c>
      <c r="T1600">
        <v>0</v>
      </c>
      <c r="U1600">
        <v>798.49</v>
      </c>
    </row>
    <row r="1601" spans="1:21" x14ac:dyDescent="0.35">
      <c r="A1601">
        <v>2025</v>
      </c>
      <c r="B1601">
        <v>9</v>
      </c>
      <c r="C1601">
        <v>3</v>
      </c>
      <c r="D1601" s="1">
        <v>45901</v>
      </c>
      <c r="E1601" s="4" t="s">
        <v>25</v>
      </c>
      <c r="F1601" s="4" t="s">
        <v>35</v>
      </c>
      <c r="G1601" s="4" t="s">
        <v>109</v>
      </c>
      <c r="H1601">
        <v>3</v>
      </c>
      <c r="I1601">
        <v>6</v>
      </c>
      <c r="J1601">
        <v>0</v>
      </c>
      <c r="K1601">
        <v>6</v>
      </c>
      <c r="L1601">
        <v>2498</v>
      </c>
      <c r="M1601">
        <v>0</v>
      </c>
      <c r="N1601">
        <v>2498</v>
      </c>
      <c r="O1601">
        <v>499.6</v>
      </c>
      <c r="P1601">
        <v>1998.4</v>
      </c>
      <c r="Q1601">
        <v>0.8</v>
      </c>
      <c r="R1601">
        <v>0</v>
      </c>
      <c r="S1601">
        <v>0</v>
      </c>
      <c r="T1601">
        <v>0</v>
      </c>
      <c r="U1601">
        <v>832.67</v>
      </c>
    </row>
    <row r="1602" spans="1:21" x14ac:dyDescent="0.35">
      <c r="A1602">
        <v>2025</v>
      </c>
      <c r="B1602">
        <v>9</v>
      </c>
      <c r="C1602">
        <v>3</v>
      </c>
      <c r="D1602" s="1">
        <v>45901</v>
      </c>
      <c r="E1602" s="4" t="s">
        <v>25</v>
      </c>
      <c r="F1602" s="4" t="s">
        <v>24</v>
      </c>
      <c r="G1602" s="4" t="s">
        <v>107</v>
      </c>
      <c r="H1602">
        <v>33</v>
      </c>
      <c r="I1602">
        <v>49</v>
      </c>
      <c r="J1602">
        <v>5</v>
      </c>
      <c r="K1602">
        <v>44</v>
      </c>
      <c r="L1602">
        <v>84561.54</v>
      </c>
      <c r="M1602">
        <v>9896</v>
      </c>
      <c r="N1602">
        <v>74665.539999999994</v>
      </c>
      <c r="O1602">
        <v>43534.7</v>
      </c>
      <c r="P1602">
        <v>31130.84</v>
      </c>
      <c r="Q1602">
        <v>0.41689999999999999</v>
      </c>
      <c r="R1602">
        <v>3</v>
      </c>
      <c r="S1602">
        <v>11286.06</v>
      </c>
      <c r="T1602">
        <v>0</v>
      </c>
      <c r="U1602">
        <v>2262.59</v>
      </c>
    </row>
    <row r="1603" spans="1:21" x14ac:dyDescent="0.35">
      <c r="A1603">
        <v>2025</v>
      </c>
      <c r="B1603">
        <v>9</v>
      </c>
      <c r="C1603">
        <v>3</v>
      </c>
      <c r="D1603" s="1">
        <v>45901</v>
      </c>
      <c r="E1603" s="4" t="s">
        <v>25</v>
      </c>
      <c r="F1603" s="4" t="s">
        <v>24</v>
      </c>
      <c r="G1603" s="4" t="s">
        <v>109</v>
      </c>
      <c r="H1603">
        <v>226</v>
      </c>
      <c r="I1603">
        <v>327</v>
      </c>
      <c r="J1603">
        <v>8</v>
      </c>
      <c r="K1603">
        <v>319</v>
      </c>
      <c r="L1603">
        <v>466123.86</v>
      </c>
      <c r="M1603">
        <v>8712.9599999999991</v>
      </c>
      <c r="N1603">
        <v>457410.9</v>
      </c>
      <c r="O1603">
        <v>258943.85</v>
      </c>
      <c r="P1603">
        <v>198467.05</v>
      </c>
      <c r="Q1603">
        <v>0.43390000000000001</v>
      </c>
      <c r="R1603">
        <v>26</v>
      </c>
      <c r="S1603">
        <v>67639.960000000006</v>
      </c>
      <c r="T1603">
        <v>0</v>
      </c>
      <c r="U1603">
        <v>2023.94</v>
      </c>
    </row>
    <row r="1604" spans="1:21" x14ac:dyDescent="0.35">
      <c r="A1604">
        <v>2025</v>
      </c>
      <c r="B1604">
        <v>9</v>
      </c>
      <c r="C1604">
        <v>3</v>
      </c>
      <c r="D1604" s="1">
        <v>45901</v>
      </c>
      <c r="E1604" s="4" t="s">
        <v>25</v>
      </c>
      <c r="F1604" s="4" t="s">
        <v>26</v>
      </c>
      <c r="G1604" s="4" t="s">
        <v>107</v>
      </c>
      <c r="H1604">
        <v>21</v>
      </c>
      <c r="I1604">
        <v>35</v>
      </c>
      <c r="J1604">
        <v>0</v>
      </c>
      <c r="K1604">
        <v>35</v>
      </c>
      <c r="L1604">
        <v>27720.94</v>
      </c>
      <c r="M1604">
        <v>0</v>
      </c>
      <c r="N1604">
        <v>27720.94</v>
      </c>
      <c r="O1604">
        <v>17196.599999999999</v>
      </c>
      <c r="P1604">
        <v>10524.34</v>
      </c>
      <c r="Q1604">
        <v>0.37969999999999998</v>
      </c>
      <c r="R1604">
        <v>3</v>
      </c>
      <c r="S1604">
        <v>4003.94</v>
      </c>
      <c r="T1604">
        <v>0</v>
      </c>
      <c r="U1604">
        <v>1320.04</v>
      </c>
    </row>
    <row r="1605" spans="1:21" x14ac:dyDescent="0.35">
      <c r="A1605">
        <v>2025</v>
      </c>
      <c r="B1605">
        <v>9</v>
      </c>
      <c r="C1605">
        <v>3</v>
      </c>
      <c r="D1605" s="1">
        <v>45901</v>
      </c>
      <c r="E1605" s="4" t="s">
        <v>25</v>
      </c>
      <c r="F1605" s="4" t="s">
        <v>26</v>
      </c>
      <c r="G1605" s="4" t="s">
        <v>109</v>
      </c>
      <c r="H1605">
        <v>61</v>
      </c>
      <c r="I1605">
        <v>91</v>
      </c>
      <c r="J1605">
        <v>0</v>
      </c>
      <c r="K1605">
        <v>91</v>
      </c>
      <c r="L1605">
        <v>64381.06</v>
      </c>
      <c r="M1605">
        <v>0</v>
      </c>
      <c r="N1605">
        <v>64381.06</v>
      </c>
      <c r="O1605">
        <v>39606</v>
      </c>
      <c r="P1605">
        <v>24775.06</v>
      </c>
      <c r="Q1605">
        <v>0.38479999999999998</v>
      </c>
      <c r="R1605">
        <v>4</v>
      </c>
      <c r="S1605">
        <v>7344.06</v>
      </c>
      <c r="T1605">
        <v>0</v>
      </c>
      <c r="U1605">
        <v>1055.43</v>
      </c>
    </row>
    <row r="1606" spans="1:21" x14ac:dyDescent="0.35">
      <c r="A1606">
        <v>2025</v>
      </c>
      <c r="B1606">
        <v>9</v>
      </c>
      <c r="C1606">
        <v>3</v>
      </c>
      <c r="D1606" s="1">
        <v>45901</v>
      </c>
      <c r="E1606" s="4" t="s">
        <v>29</v>
      </c>
      <c r="F1606" s="4" t="s">
        <v>28</v>
      </c>
      <c r="G1606" s="4" t="s">
        <v>107</v>
      </c>
      <c r="H1606">
        <v>256</v>
      </c>
      <c r="I1606">
        <v>370</v>
      </c>
      <c r="J1606">
        <v>0</v>
      </c>
      <c r="K1606">
        <v>370</v>
      </c>
      <c r="L1606">
        <v>178840.2</v>
      </c>
      <c r="M1606">
        <v>0</v>
      </c>
      <c r="N1606">
        <v>178840.2</v>
      </c>
      <c r="O1606">
        <v>65461.2</v>
      </c>
      <c r="P1606">
        <v>113379</v>
      </c>
      <c r="Q1606">
        <v>0.63400000000000001</v>
      </c>
      <c r="R1606">
        <v>38</v>
      </c>
      <c r="S1606">
        <v>32776.199999999997</v>
      </c>
      <c r="T1606">
        <v>0</v>
      </c>
      <c r="U1606">
        <v>698.59</v>
      </c>
    </row>
    <row r="1607" spans="1:21" x14ac:dyDescent="0.35">
      <c r="A1607">
        <v>2025</v>
      </c>
      <c r="B1607">
        <v>9</v>
      </c>
      <c r="C1607">
        <v>3</v>
      </c>
      <c r="D1607" s="1">
        <v>45901</v>
      </c>
      <c r="E1607" s="4" t="s">
        <v>29</v>
      </c>
      <c r="F1607" s="4" t="s">
        <v>28</v>
      </c>
      <c r="G1607" s="4" t="s">
        <v>108</v>
      </c>
      <c r="H1607">
        <v>64</v>
      </c>
      <c r="I1607">
        <v>98</v>
      </c>
      <c r="J1607">
        <v>0</v>
      </c>
      <c r="K1607">
        <v>98</v>
      </c>
      <c r="L1607">
        <v>57498.559999999998</v>
      </c>
      <c r="M1607">
        <v>0</v>
      </c>
      <c r="N1607">
        <v>57498.559999999998</v>
      </c>
      <c r="O1607">
        <v>20854.400000000001</v>
      </c>
      <c r="P1607">
        <v>36644.160000000003</v>
      </c>
      <c r="Q1607">
        <v>0.63729999999999998</v>
      </c>
      <c r="R1607">
        <v>5</v>
      </c>
      <c r="S1607">
        <v>6426.56</v>
      </c>
      <c r="T1607">
        <v>0</v>
      </c>
      <c r="U1607">
        <v>898.42</v>
      </c>
    </row>
    <row r="1608" spans="1:21" x14ac:dyDescent="0.35">
      <c r="A1608">
        <v>2025</v>
      </c>
      <c r="B1608">
        <v>9</v>
      </c>
      <c r="C1608">
        <v>3</v>
      </c>
      <c r="D1608" s="1">
        <v>45901</v>
      </c>
      <c r="E1608" s="4" t="s">
        <v>29</v>
      </c>
      <c r="F1608" s="4" t="s">
        <v>28</v>
      </c>
      <c r="G1608" s="4" t="s">
        <v>109</v>
      </c>
      <c r="H1608">
        <v>920</v>
      </c>
      <c r="I1608">
        <v>1447</v>
      </c>
      <c r="J1608">
        <v>0</v>
      </c>
      <c r="K1608">
        <v>1447</v>
      </c>
      <c r="L1608">
        <v>688839.53</v>
      </c>
      <c r="M1608">
        <v>0</v>
      </c>
      <c r="N1608">
        <v>688839.53</v>
      </c>
      <c r="O1608">
        <v>251132</v>
      </c>
      <c r="P1608">
        <v>437707.53</v>
      </c>
      <c r="Q1608">
        <v>0.63539999999999996</v>
      </c>
      <c r="R1608">
        <v>116</v>
      </c>
      <c r="S1608">
        <v>102473.53</v>
      </c>
      <c r="T1608">
        <v>0</v>
      </c>
      <c r="U1608">
        <v>748.74</v>
      </c>
    </row>
    <row r="1609" spans="1:21" x14ac:dyDescent="0.35">
      <c r="A1609">
        <v>2025</v>
      </c>
      <c r="B1609">
        <v>9</v>
      </c>
      <c r="C1609">
        <v>3</v>
      </c>
      <c r="D1609" s="1">
        <v>45901</v>
      </c>
      <c r="E1609" s="4" t="s">
        <v>29</v>
      </c>
      <c r="F1609" s="4" t="s">
        <v>24</v>
      </c>
      <c r="G1609" s="4" t="s">
        <v>107</v>
      </c>
      <c r="H1609">
        <v>9</v>
      </c>
      <c r="I1609">
        <v>13</v>
      </c>
      <c r="J1609">
        <v>1</v>
      </c>
      <c r="K1609">
        <v>12</v>
      </c>
      <c r="L1609">
        <v>10990.08</v>
      </c>
      <c r="M1609">
        <v>864</v>
      </c>
      <c r="N1609">
        <v>10126.08</v>
      </c>
      <c r="O1609">
        <v>5702.4</v>
      </c>
      <c r="P1609">
        <v>4423.68</v>
      </c>
      <c r="Q1609">
        <v>0.43690000000000001</v>
      </c>
      <c r="R1609">
        <v>1</v>
      </c>
      <c r="S1609">
        <v>1486.08</v>
      </c>
      <c r="T1609">
        <v>0</v>
      </c>
      <c r="U1609">
        <v>1125.1199999999999</v>
      </c>
    </row>
    <row r="1610" spans="1:21" x14ac:dyDescent="0.35">
      <c r="A1610">
        <v>2025</v>
      </c>
      <c r="B1610">
        <v>9</v>
      </c>
      <c r="C1610">
        <v>3</v>
      </c>
      <c r="D1610" s="1">
        <v>45901</v>
      </c>
      <c r="E1610" s="4" t="s">
        <v>29</v>
      </c>
      <c r="F1610" s="4" t="s">
        <v>24</v>
      </c>
      <c r="G1610" s="4" t="s">
        <v>108</v>
      </c>
      <c r="H1610">
        <v>11</v>
      </c>
      <c r="I1610">
        <v>18</v>
      </c>
      <c r="J1610">
        <v>0</v>
      </c>
      <c r="K1610">
        <v>18</v>
      </c>
      <c r="L1610">
        <v>12406.24</v>
      </c>
      <c r="M1610">
        <v>0</v>
      </c>
      <c r="N1610">
        <v>12406.24</v>
      </c>
      <c r="O1610">
        <v>7345.8</v>
      </c>
      <c r="P1610">
        <v>5060.4399999999996</v>
      </c>
      <c r="Q1610">
        <v>0.40789999999999998</v>
      </c>
      <c r="R1610">
        <v>1</v>
      </c>
      <c r="S1610">
        <v>2018.24</v>
      </c>
      <c r="T1610">
        <v>0</v>
      </c>
      <c r="U1610">
        <v>1127.8399999999999</v>
      </c>
    </row>
    <row r="1611" spans="1:21" x14ac:dyDescent="0.35">
      <c r="A1611">
        <v>2025</v>
      </c>
      <c r="B1611">
        <v>9</v>
      </c>
      <c r="C1611">
        <v>3</v>
      </c>
      <c r="D1611" s="1">
        <v>45901</v>
      </c>
      <c r="E1611" s="4" t="s">
        <v>29</v>
      </c>
      <c r="F1611" s="4" t="s">
        <v>24</v>
      </c>
      <c r="G1611" s="4" t="s">
        <v>109</v>
      </c>
      <c r="H1611">
        <v>191</v>
      </c>
      <c r="I1611">
        <v>304</v>
      </c>
      <c r="J1611">
        <v>13</v>
      </c>
      <c r="K1611">
        <v>291</v>
      </c>
      <c r="L1611">
        <v>613065.43999999994</v>
      </c>
      <c r="M1611">
        <v>29986.78</v>
      </c>
      <c r="N1611">
        <v>583078.66</v>
      </c>
      <c r="O1611">
        <v>332737.34999999998</v>
      </c>
      <c r="P1611">
        <v>250341.31</v>
      </c>
      <c r="Q1611">
        <v>0.42930000000000001</v>
      </c>
      <c r="R1611">
        <v>23</v>
      </c>
      <c r="S1611">
        <v>79295.259999999995</v>
      </c>
      <c r="T1611">
        <v>0</v>
      </c>
      <c r="U1611">
        <v>3052.77</v>
      </c>
    </row>
    <row r="1612" spans="1:21" x14ac:dyDescent="0.35">
      <c r="A1612">
        <v>2025</v>
      </c>
      <c r="B1612">
        <v>9</v>
      </c>
      <c r="C1612">
        <v>3</v>
      </c>
      <c r="D1612" s="1">
        <v>45901</v>
      </c>
      <c r="E1612" s="4" t="s">
        <v>29</v>
      </c>
      <c r="F1612" s="4" t="s">
        <v>26</v>
      </c>
      <c r="G1612" s="4" t="s">
        <v>107</v>
      </c>
      <c r="H1612">
        <v>21</v>
      </c>
      <c r="I1612">
        <v>36</v>
      </c>
      <c r="J1612">
        <v>0</v>
      </c>
      <c r="K1612">
        <v>36</v>
      </c>
      <c r="L1612">
        <v>21404.87</v>
      </c>
      <c r="M1612">
        <v>0</v>
      </c>
      <c r="N1612">
        <v>21404.87</v>
      </c>
      <c r="O1612">
        <v>13233</v>
      </c>
      <c r="P1612">
        <v>8171.87</v>
      </c>
      <c r="Q1612">
        <v>0.38179999999999997</v>
      </c>
      <c r="R1612">
        <v>2</v>
      </c>
      <c r="S1612">
        <v>1296.8699999999999</v>
      </c>
      <c r="T1612">
        <v>0</v>
      </c>
      <c r="U1612">
        <v>1019.28</v>
      </c>
    </row>
    <row r="1613" spans="1:21" x14ac:dyDescent="0.35">
      <c r="A1613">
        <v>2025</v>
      </c>
      <c r="B1613">
        <v>9</v>
      </c>
      <c r="C1613">
        <v>3</v>
      </c>
      <c r="D1613" s="1">
        <v>45901</v>
      </c>
      <c r="E1613" s="4" t="s">
        <v>29</v>
      </c>
      <c r="F1613" s="4" t="s">
        <v>26</v>
      </c>
      <c r="G1613" s="4" t="s">
        <v>109</v>
      </c>
      <c r="H1613">
        <v>40</v>
      </c>
      <c r="I1613">
        <v>62</v>
      </c>
      <c r="J1613">
        <v>1</v>
      </c>
      <c r="K1613">
        <v>61</v>
      </c>
      <c r="L1613">
        <v>48972.19</v>
      </c>
      <c r="M1613">
        <v>696</v>
      </c>
      <c r="N1613">
        <v>48276.19</v>
      </c>
      <c r="O1613">
        <v>29814</v>
      </c>
      <c r="P1613">
        <v>18462.189999999999</v>
      </c>
      <c r="Q1613">
        <v>0.38240000000000002</v>
      </c>
      <c r="R1613">
        <v>4</v>
      </c>
      <c r="S1613">
        <v>4501.1899999999996</v>
      </c>
      <c r="T1613">
        <v>0</v>
      </c>
      <c r="U1613">
        <v>1206.9000000000001</v>
      </c>
    </row>
    <row r="1614" spans="1:21" x14ac:dyDescent="0.35">
      <c r="A1614">
        <v>2025</v>
      </c>
      <c r="B1614">
        <v>9</v>
      </c>
      <c r="C1614">
        <v>3</v>
      </c>
      <c r="D1614" s="1">
        <v>45901</v>
      </c>
      <c r="E1614" s="4" t="s">
        <v>31</v>
      </c>
      <c r="F1614" s="4" t="s">
        <v>28</v>
      </c>
      <c r="G1614" s="4" t="s">
        <v>107</v>
      </c>
      <c r="H1614">
        <v>96</v>
      </c>
      <c r="I1614">
        <v>147</v>
      </c>
      <c r="J1614">
        <v>0</v>
      </c>
      <c r="K1614">
        <v>147</v>
      </c>
      <c r="L1614">
        <v>57079.96</v>
      </c>
      <c r="M1614">
        <v>0</v>
      </c>
      <c r="N1614">
        <v>57079.96</v>
      </c>
      <c r="O1614">
        <v>20766.55</v>
      </c>
      <c r="P1614">
        <v>36313.410000000003</v>
      </c>
      <c r="Q1614">
        <v>0.63619999999999999</v>
      </c>
      <c r="R1614">
        <v>10</v>
      </c>
      <c r="S1614">
        <v>8626.9599999999991</v>
      </c>
      <c r="T1614">
        <v>0</v>
      </c>
      <c r="U1614">
        <v>594.58000000000004</v>
      </c>
    </row>
    <row r="1615" spans="1:21" x14ac:dyDescent="0.35">
      <c r="A1615">
        <v>2025</v>
      </c>
      <c r="B1615">
        <v>9</v>
      </c>
      <c r="C1615">
        <v>3</v>
      </c>
      <c r="D1615" s="1">
        <v>45901</v>
      </c>
      <c r="E1615" s="4" t="s">
        <v>31</v>
      </c>
      <c r="F1615" s="4" t="s">
        <v>28</v>
      </c>
      <c r="G1615" s="4" t="s">
        <v>108</v>
      </c>
      <c r="H1615">
        <v>289</v>
      </c>
      <c r="I1615">
        <v>446</v>
      </c>
      <c r="J1615">
        <v>0</v>
      </c>
      <c r="K1615">
        <v>446</v>
      </c>
      <c r="L1615">
        <v>173289.85</v>
      </c>
      <c r="M1615">
        <v>0</v>
      </c>
      <c r="N1615">
        <v>173289.85</v>
      </c>
      <c r="O1615">
        <v>62893.95</v>
      </c>
      <c r="P1615">
        <v>110395.9</v>
      </c>
      <c r="Q1615">
        <v>0.6371</v>
      </c>
      <c r="R1615">
        <v>37</v>
      </c>
      <c r="S1615">
        <v>28441.85</v>
      </c>
      <c r="T1615">
        <v>0</v>
      </c>
      <c r="U1615">
        <v>599.62</v>
      </c>
    </row>
    <row r="1616" spans="1:21" x14ac:dyDescent="0.35">
      <c r="A1616">
        <v>2025</v>
      </c>
      <c r="B1616">
        <v>9</v>
      </c>
      <c r="C1616">
        <v>3</v>
      </c>
      <c r="D1616" s="1">
        <v>45901</v>
      </c>
      <c r="E1616" s="4" t="s">
        <v>31</v>
      </c>
      <c r="F1616" s="4" t="s">
        <v>28</v>
      </c>
      <c r="G1616" s="4" t="s">
        <v>109</v>
      </c>
      <c r="H1616">
        <v>1107</v>
      </c>
      <c r="I1616">
        <v>1732</v>
      </c>
      <c r="J1616">
        <v>0</v>
      </c>
      <c r="K1616">
        <v>1732</v>
      </c>
      <c r="L1616">
        <v>861227</v>
      </c>
      <c r="M1616">
        <v>0</v>
      </c>
      <c r="N1616">
        <v>861227</v>
      </c>
      <c r="O1616">
        <v>313331.20000000001</v>
      </c>
      <c r="P1616">
        <v>547895.80000000005</v>
      </c>
      <c r="Q1616">
        <v>0.63619999999999999</v>
      </c>
      <c r="R1616">
        <v>154</v>
      </c>
      <c r="S1616">
        <v>137851</v>
      </c>
      <c r="T1616">
        <v>0</v>
      </c>
      <c r="U1616">
        <v>777.98</v>
      </c>
    </row>
    <row r="1617" spans="1:21" x14ac:dyDescent="0.35">
      <c r="A1617">
        <v>2025</v>
      </c>
      <c r="B1617">
        <v>9</v>
      </c>
      <c r="C1617">
        <v>3</v>
      </c>
      <c r="D1617" s="1">
        <v>45901</v>
      </c>
      <c r="E1617" s="4" t="s">
        <v>31</v>
      </c>
      <c r="F1617" s="4" t="s">
        <v>24</v>
      </c>
      <c r="G1617" s="4" t="s">
        <v>107</v>
      </c>
      <c r="H1617">
        <v>16</v>
      </c>
      <c r="I1617">
        <v>27</v>
      </c>
      <c r="J1617">
        <v>1</v>
      </c>
      <c r="K1617">
        <v>26</v>
      </c>
      <c r="L1617">
        <v>47422</v>
      </c>
      <c r="M1617">
        <v>1810</v>
      </c>
      <c r="N1617">
        <v>45612</v>
      </c>
      <c r="O1617">
        <v>25883</v>
      </c>
      <c r="P1617">
        <v>19729</v>
      </c>
      <c r="Q1617">
        <v>0.4325</v>
      </c>
      <c r="R1617">
        <v>2</v>
      </c>
      <c r="S1617">
        <v>13032</v>
      </c>
      <c r="T1617">
        <v>0</v>
      </c>
      <c r="U1617">
        <v>2850.75</v>
      </c>
    </row>
    <row r="1618" spans="1:21" x14ac:dyDescent="0.35">
      <c r="A1618">
        <v>2025</v>
      </c>
      <c r="B1618">
        <v>9</v>
      </c>
      <c r="C1618">
        <v>3</v>
      </c>
      <c r="D1618" s="1">
        <v>45901</v>
      </c>
      <c r="E1618" s="4" t="s">
        <v>31</v>
      </c>
      <c r="F1618" s="4" t="s">
        <v>24</v>
      </c>
      <c r="G1618" s="4" t="s">
        <v>109</v>
      </c>
      <c r="H1618">
        <v>284</v>
      </c>
      <c r="I1618">
        <v>445</v>
      </c>
      <c r="J1618">
        <v>8</v>
      </c>
      <c r="K1618">
        <v>437</v>
      </c>
      <c r="L1618">
        <v>633134.93999999994</v>
      </c>
      <c r="M1618">
        <v>10793.84</v>
      </c>
      <c r="N1618">
        <v>622341.1</v>
      </c>
      <c r="O1618">
        <v>352535.15</v>
      </c>
      <c r="P1618">
        <v>269805.95</v>
      </c>
      <c r="Q1618">
        <v>0.4335</v>
      </c>
      <c r="R1618">
        <v>37</v>
      </c>
      <c r="S1618">
        <v>97652.1</v>
      </c>
      <c r="T1618">
        <v>0</v>
      </c>
      <c r="U1618">
        <v>2191.34</v>
      </c>
    </row>
    <row r="1619" spans="1:21" x14ac:dyDescent="0.35">
      <c r="A1619">
        <v>2025</v>
      </c>
      <c r="B1619">
        <v>9</v>
      </c>
      <c r="C1619">
        <v>3</v>
      </c>
      <c r="D1619" s="1">
        <v>45901</v>
      </c>
      <c r="E1619" s="4" t="s">
        <v>31</v>
      </c>
      <c r="F1619" s="4" t="s">
        <v>26</v>
      </c>
      <c r="G1619" s="4" t="s">
        <v>107</v>
      </c>
      <c r="H1619">
        <v>1</v>
      </c>
      <c r="I1619">
        <v>3</v>
      </c>
      <c r="J1619">
        <v>0</v>
      </c>
      <c r="K1619">
        <v>3</v>
      </c>
      <c r="L1619">
        <v>1542</v>
      </c>
      <c r="M1619">
        <v>0</v>
      </c>
      <c r="N1619">
        <v>1542</v>
      </c>
      <c r="O1619">
        <v>925.2</v>
      </c>
      <c r="P1619">
        <v>616.79999999999995</v>
      </c>
      <c r="Q1619">
        <v>0.4</v>
      </c>
      <c r="R1619">
        <v>0</v>
      </c>
      <c r="S1619">
        <v>0</v>
      </c>
      <c r="T1619">
        <v>0</v>
      </c>
      <c r="U1619">
        <v>1542</v>
      </c>
    </row>
    <row r="1620" spans="1:21" x14ac:dyDescent="0.35">
      <c r="A1620">
        <v>2025</v>
      </c>
      <c r="B1620">
        <v>9</v>
      </c>
      <c r="C1620">
        <v>3</v>
      </c>
      <c r="D1620" s="1">
        <v>45901</v>
      </c>
      <c r="E1620" s="4" t="s">
        <v>31</v>
      </c>
      <c r="F1620" s="4" t="s">
        <v>26</v>
      </c>
      <c r="G1620" s="4" t="s">
        <v>108</v>
      </c>
      <c r="H1620">
        <v>1</v>
      </c>
      <c r="I1620">
        <v>1</v>
      </c>
      <c r="J1620">
        <v>0</v>
      </c>
      <c r="K1620">
        <v>1</v>
      </c>
      <c r="L1620">
        <v>726</v>
      </c>
      <c r="M1620">
        <v>0</v>
      </c>
      <c r="N1620">
        <v>726</v>
      </c>
      <c r="O1620">
        <v>435.6</v>
      </c>
      <c r="P1620">
        <v>290.39999999999998</v>
      </c>
      <c r="Q1620">
        <v>0.4</v>
      </c>
      <c r="R1620">
        <v>0</v>
      </c>
      <c r="S1620">
        <v>0</v>
      </c>
      <c r="T1620">
        <v>0</v>
      </c>
      <c r="U1620">
        <v>726</v>
      </c>
    </row>
    <row r="1621" spans="1:21" x14ac:dyDescent="0.35">
      <c r="A1621">
        <v>2025</v>
      </c>
      <c r="B1621">
        <v>9</v>
      </c>
      <c r="C1621">
        <v>3</v>
      </c>
      <c r="D1621" s="1">
        <v>45901</v>
      </c>
      <c r="E1621" s="4" t="s">
        <v>31</v>
      </c>
      <c r="F1621" s="4" t="s">
        <v>26</v>
      </c>
      <c r="G1621" s="4" t="s">
        <v>109</v>
      </c>
      <c r="H1621">
        <v>46</v>
      </c>
      <c r="I1621">
        <v>72</v>
      </c>
      <c r="J1621">
        <v>0</v>
      </c>
      <c r="K1621">
        <v>72</v>
      </c>
      <c r="L1621">
        <v>53844.3</v>
      </c>
      <c r="M1621">
        <v>0</v>
      </c>
      <c r="N1621">
        <v>53844.3</v>
      </c>
      <c r="O1621">
        <v>32390.400000000001</v>
      </c>
      <c r="P1621">
        <v>21453.9</v>
      </c>
      <c r="Q1621">
        <v>0.39839999999999998</v>
      </c>
      <c r="R1621">
        <v>5</v>
      </c>
      <c r="S1621">
        <v>6296.3</v>
      </c>
      <c r="T1621">
        <v>0</v>
      </c>
      <c r="U1621">
        <v>1170.53</v>
      </c>
    </row>
    <row r="1622" spans="1:21" x14ac:dyDescent="0.35">
      <c r="A1622">
        <v>2025</v>
      </c>
      <c r="B1622">
        <v>9</v>
      </c>
      <c r="C1622">
        <v>3</v>
      </c>
      <c r="D1622" s="1">
        <v>45901</v>
      </c>
      <c r="E1622" s="4" t="s">
        <v>30</v>
      </c>
      <c r="F1622" s="4" t="s">
        <v>28</v>
      </c>
      <c r="G1622" s="4" t="s">
        <v>107</v>
      </c>
      <c r="H1622">
        <v>186</v>
      </c>
      <c r="I1622">
        <v>277</v>
      </c>
      <c r="J1622">
        <v>0</v>
      </c>
      <c r="K1622">
        <v>277</v>
      </c>
      <c r="L1622">
        <v>120908.59</v>
      </c>
      <c r="M1622">
        <v>0</v>
      </c>
      <c r="N1622">
        <v>120908.59</v>
      </c>
      <c r="O1622">
        <v>43724.45</v>
      </c>
      <c r="P1622">
        <v>77184.14</v>
      </c>
      <c r="Q1622">
        <v>0.63839999999999997</v>
      </c>
      <c r="R1622">
        <v>20</v>
      </c>
      <c r="S1622">
        <v>14923.59</v>
      </c>
      <c r="T1622">
        <v>0</v>
      </c>
      <c r="U1622">
        <v>650.04999999999995</v>
      </c>
    </row>
    <row r="1623" spans="1:21" x14ac:dyDescent="0.35">
      <c r="A1623">
        <v>2025</v>
      </c>
      <c r="B1623">
        <v>9</v>
      </c>
      <c r="C1623">
        <v>3</v>
      </c>
      <c r="D1623" s="1">
        <v>45901</v>
      </c>
      <c r="E1623" s="4" t="s">
        <v>30</v>
      </c>
      <c r="F1623" s="4" t="s">
        <v>28</v>
      </c>
      <c r="G1623" s="4" t="s">
        <v>108</v>
      </c>
      <c r="H1623">
        <v>97</v>
      </c>
      <c r="I1623">
        <v>138</v>
      </c>
      <c r="J1623">
        <v>0</v>
      </c>
      <c r="K1623">
        <v>138</v>
      </c>
      <c r="L1623">
        <v>83141.850000000006</v>
      </c>
      <c r="M1623">
        <v>0</v>
      </c>
      <c r="N1623">
        <v>83141.850000000006</v>
      </c>
      <c r="O1623">
        <v>29704.5</v>
      </c>
      <c r="P1623">
        <v>53437.35</v>
      </c>
      <c r="Q1623">
        <v>0.64270000000000005</v>
      </c>
      <c r="R1623">
        <v>9</v>
      </c>
      <c r="S1623">
        <v>7496.85</v>
      </c>
      <c r="T1623">
        <v>0</v>
      </c>
      <c r="U1623">
        <v>857.13</v>
      </c>
    </row>
    <row r="1624" spans="1:21" x14ac:dyDescent="0.35">
      <c r="A1624">
        <v>2025</v>
      </c>
      <c r="B1624">
        <v>9</v>
      </c>
      <c r="C1624">
        <v>3</v>
      </c>
      <c r="D1624" s="1">
        <v>45901</v>
      </c>
      <c r="E1624" s="4" t="s">
        <v>30</v>
      </c>
      <c r="F1624" s="4" t="s">
        <v>28</v>
      </c>
      <c r="G1624" s="4" t="s">
        <v>109</v>
      </c>
      <c r="H1624">
        <v>1222</v>
      </c>
      <c r="I1624">
        <v>1927</v>
      </c>
      <c r="J1624">
        <v>0</v>
      </c>
      <c r="K1624">
        <v>1927</v>
      </c>
      <c r="L1624">
        <v>762264.89</v>
      </c>
      <c r="M1624">
        <v>0</v>
      </c>
      <c r="N1624">
        <v>762264.89</v>
      </c>
      <c r="O1624">
        <v>275734.2</v>
      </c>
      <c r="P1624">
        <v>486530.69</v>
      </c>
      <c r="Q1624">
        <v>0.63829999999999998</v>
      </c>
      <c r="R1624">
        <v>144</v>
      </c>
      <c r="S1624">
        <v>102575.72</v>
      </c>
      <c r="T1624">
        <v>0</v>
      </c>
      <c r="U1624">
        <v>623.78</v>
      </c>
    </row>
    <row r="1625" spans="1:21" x14ac:dyDescent="0.35">
      <c r="A1625">
        <v>2025</v>
      </c>
      <c r="B1625">
        <v>9</v>
      </c>
      <c r="C1625">
        <v>3</v>
      </c>
      <c r="D1625" s="1">
        <v>45901</v>
      </c>
      <c r="E1625" s="4" t="s">
        <v>30</v>
      </c>
      <c r="F1625" s="4" t="s">
        <v>24</v>
      </c>
      <c r="G1625" s="4" t="s">
        <v>107</v>
      </c>
      <c r="H1625">
        <v>102</v>
      </c>
      <c r="I1625">
        <v>147</v>
      </c>
      <c r="J1625">
        <v>3</v>
      </c>
      <c r="K1625">
        <v>144</v>
      </c>
      <c r="L1625">
        <v>281393.45</v>
      </c>
      <c r="M1625">
        <v>5364</v>
      </c>
      <c r="N1625">
        <v>276029.45</v>
      </c>
      <c r="O1625">
        <v>157670.70000000001</v>
      </c>
      <c r="P1625">
        <v>118358.75</v>
      </c>
      <c r="Q1625">
        <v>0.42880000000000001</v>
      </c>
      <c r="R1625">
        <v>14</v>
      </c>
      <c r="S1625">
        <v>48344.45</v>
      </c>
      <c r="T1625">
        <v>0</v>
      </c>
      <c r="U1625">
        <v>2706.17</v>
      </c>
    </row>
    <row r="1626" spans="1:21" x14ac:dyDescent="0.35">
      <c r="A1626">
        <v>2025</v>
      </c>
      <c r="B1626">
        <v>9</v>
      </c>
      <c r="C1626">
        <v>3</v>
      </c>
      <c r="D1626" s="1">
        <v>45901</v>
      </c>
      <c r="E1626" s="4" t="s">
        <v>30</v>
      </c>
      <c r="F1626" s="4" t="s">
        <v>24</v>
      </c>
      <c r="G1626" s="4" t="s">
        <v>108</v>
      </c>
      <c r="H1626">
        <v>8</v>
      </c>
      <c r="I1626">
        <v>14</v>
      </c>
      <c r="J1626">
        <v>0</v>
      </c>
      <c r="K1626">
        <v>14</v>
      </c>
      <c r="L1626">
        <v>33485.1</v>
      </c>
      <c r="M1626">
        <v>0</v>
      </c>
      <c r="N1626">
        <v>33485.1</v>
      </c>
      <c r="O1626">
        <v>18549.3</v>
      </c>
      <c r="P1626">
        <v>14935.8</v>
      </c>
      <c r="Q1626">
        <v>0.44600000000000001</v>
      </c>
      <c r="R1626">
        <v>1</v>
      </c>
      <c r="S1626">
        <v>4577.1000000000004</v>
      </c>
      <c r="T1626">
        <v>0</v>
      </c>
      <c r="U1626">
        <v>4185.6400000000003</v>
      </c>
    </row>
    <row r="1627" spans="1:21" x14ac:dyDescent="0.35">
      <c r="A1627">
        <v>2025</v>
      </c>
      <c r="B1627">
        <v>9</v>
      </c>
      <c r="C1627">
        <v>3</v>
      </c>
      <c r="D1627" s="1">
        <v>45901</v>
      </c>
      <c r="E1627" s="4" t="s">
        <v>30</v>
      </c>
      <c r="F1627" s="4" t="s">
        <v>24</v>
      </c>
      <c r="G1627" s="4" t="s">
        <v>109</v>
      </c>
      <c r="H1627">
        <v>389</v>
      </c>
      <c r="I1627">
        <v>576</v>
      </c>
      <c r="J1627">
        <v>16</v>
      </c>
      <c r="K1627">
        <v>560</v>
      </c>
      <c r="L1627">
        <v>1017467.8</v>
      </c>
      <c r="M1627">
        <v>29368.25</v>
      </c>
      <c r="N1627">
        <v>988099.55</v>
      </c>
      <c r="O1627">
        <v>558494.75</v>
      </c>
      <c r="P1627">
        <v>429604.8</v>
      </c>
      <c r="Q1627">
        <v>0.43480000000000002</v>
      </c>
      <c r="R1627">
        <v>35</v>
      </c>
      <c r="S1627">
        <v>109781.55</v>
      </c>
      <c r="T1627">
        <v>0</v>
      </c>
      <c r="U1627">
        <v>2540.1</v>
      </c>
    </row>
    <row r="1628" spans="1:21" x14ac:dyDescent="0.35">
      <c r="A1628">
        <v>2025</v>
      </c>
      <c r="B1628">
        <v>9</v>
      </c>
      <c r="C1628">
        <v>3</v>
      </c>
      <c r="D1628" s="1">
        <v>45901</v>
      </c>
      <c r="E1628" s="4" t="s">
        <v>30</v>
      </c>
      <c r="F1628" s="4" t="s">
        <v>26</v>
      </c>
      <c r="G1628" s="4" t="s">
        <v>107</v>
      </c>
      <c r="H1628">
        <v>5</v>
      </c>
      <c r="I1628">
        <v>7</v>
      </c>
      <c r="J1628">
        <v>0</v>
      </c>
      <c r="K1628">
        <v>7</v>
      </c>
      <c r="L1628">
        <v>6455</v>
      </c>
      <c r="M1628">
        <v>0</v>
      </c>
      <c r="N1628">
        <v>6455</v>
      </c>
      <c r="O1628">
        <v>3873</v>
      </c>
      <c r="P1628">
        <v>2582</v>
      </c>
      <c r="Q1628">
        <v>0.4</v>
      </c>
      <c r="R1628">
        <v>0</v>
      </c>
      <c r="S1628">
        <v>0</v>
      </c>
      <c r="T1628">
        <v>0</v>
      </c>
      <c r="U1628">
        <v>1291</v>
      </c>
    </row>
    <row r="1629" spans="1:21" x14ac:dyDescent="0.35">
      <c r="A1629">
        <v>2025</v>
      </c>
      <c r="B1629">
        <v>9</v>
      </c>
      <c r="C1629">
        <v>3</v>
      </c>
      <c r="D1629" s="1">
        <v>45901</v>
      </c>
      <c r="E1629" s="4" t="s">
        <v>30</v>
      </c>
      <c r="F1629" s="4" t="s">
        <v>26</v>
      </c>
      <c r="G1629" s="4" t="s">
        <v>109</v>
      </c>
      <c r="H1629">
        <v>119</v>
      </c>
      <c r="I1629">
        <v>183</v>
      </c>
      <c r="J1629">
        <v>1</v>
      </c>
      <c r="K1629">
        <v>182</v>
      </c>
      <c r="L1629">
        <v>134571.98000000001</v>
      </c>
      <c r="M1629">
        <v>463</v>
      </c>
      <c r="N1629">
        <v>134108.98000000001</v>
      </c>
      <c r="O1629">
        <v>84767.4</v>
      </c>
      <c r="P1629">
        <v>49341.58</v>
      </c>
      <c r="Q1629">
        <v>0.3679</v>
      </c>
      <c r="R1629">
        <v>17</v>
      </c>
      <c r="S1629">
        <v>24077.98</v>
      </c>
      <c r="T1629">
        <v>0</v>
      </c>
      <c r="U1629">
        <v>1126.97</v>
      </c>
    </row>
    <row r="1630" spans="1:21" x14ac:dyDescent="0.35">
      <c r="A1630">
        <v>2025</v>
      </c>
      <c r="B1630">
        <v>9</v>
      </c>
      <c r="C1630">
        <v>3</v>
      </c>
      <c r="D1630" s="1">
        <v>45901</v>
      </c>
      <c r="E1630" s="4" t="s">
        <v>78</v>
      </c>
      <c r="F1630" s="4" t="s">
        <v>78</v>
      </c>
      <c r="G1630" s="4" t="s">
        <v>110</v>
      </c>
      <c r="H1630">
        <v>280</v>
      </c>
      <c r="I1630">
        <v>374</v>
      </c>
      <c r="J1630">
        <v>0</v>
      </c>
      <c r="K1630">
        <v>374</v>
      </c>
      <c r="L1630">
        <v>788614.12</v>
      </c>
      <c r="M1630">
        <v>0</v>
      </c>
      <c r="N1630">
        <v>788614.12</v>
      </c>
      <c r="O1630">
        <v>118263.6</v>
      </c>
      <c r="P1630">
        <v>670350.52</v>
      </c>
      <c r="Q1630">
        <v>0.85</v>
      </c>
      <c r="R1630">
        <v>2</v>
      </c>
      <c r="S1630">
        <v>7980</v>
      </c>
      <c r="T1630">
        <v>0</v>
      </c>
      <c r="U1630">
        <v>2816.48</v>
      </c>
    </row>
    <row r="1631" spans="1:21" x14ac:dyDescent="0.35">
      <c r="A1631">
        <v>2025</v>
      </c>
      <c r="B1631">
        <v>10</v>
      </c>
      <c r="C1631">
        <v>4</v>
      </c>
      <c r="D1631" s="1">
        <v>45931</v>
      </c>
      <c r="E1631" s="4" t="s">
        <v>33</v>
      </c>
      <c r="F1631" s="4" t="s">
        <v>28</v>
      </c>
      <c r="G1631" s="4" t="s">
        <v>107</v>
      </c>
      <c r="H1631">
        <v>118</v>
      </c>
      <c r="I1631">
        <v>171</v>
      </c>
      <c r="J1631">
        <v>0</v>
      </c>
      <c r="K1631">
        <v>171</v>
      </c>
      <c r="L1631">
        <v>55091.43</v>
      </c>
      <c r="M1631">
        <v>0</v>
      </c>
      <c r="N1631">
        <v>55091.43</v>
      </c>
      <c r="O1631">
        <v>19790.400000000001</v>
      </c>
      <c r="P1631">
        <v>35301.03</v>
      </c>
      <c r="Q1631">
        <v>0.64080000000000004</v>
      </c>
      <c r="R1631">
        <v>13</v>
      </c>
      <c r="S1631">
        <v>7049.43</v>
      </c>
      <c r="T1631">
        <v>0</v>
      </c>
      <c r="U1631">
        <v>466.88</v>
      </c>
    </row>
    <row r="1632" spans="1:21" x14ac:dyDescent="0.35">
      <c r="A1632">
        <v>2025</v>
      </c>
      <c r="B1632">
        <v>10</v>
      </c>
      <c r="C1632">
        <v>4</v>
      </c>
      <c r="D1632" s="1">
        <v>45931</v>
      </c>
      <c r="E1632" s="4" t="s">
        <v>33</v>
      </c>
      <c r="F1632" s="4" t="s">
        <v>28</v>
      </c>
      <c r="G1632" s="4" t="s">
        <v>108</v>
      </c>
      <c r="H1632">
        <v>37</v>
      </c>
      <c r="I1632">
        <v>53</v>
      </c>
      <c r="J1632">
        <v>0</v>
      </c>
      <c r="K1632">
        <v>53</v>
      </c>
      <c r="L1632">
        <v>35486.080000000002</v>
      </c>
      <c r="M1632">
        <v>0</v>
      </c>
      <c r="N1632">
        <v>35486.080000000002</v>
      </c>
      <c r="O1632">
        <v>13207.6</v>
      </c>
      <c r="P1632">
        <v>22278.48</v>
      </c>
      <c r="Q1632">
        <v>0.62780000000000002</v>
      </c>
      <c r="R1632">
        <v>7</v>
      </c>
      <c r="S1632">
        <v>9142.08</v>
      </c>
      <c r="T1632">
        <v>0</v>
      </c>
      <c r="U1632">
        <v>959.08</v>
      </c>
    </row>
    <row r="1633" spans="1:21" x14ac:dyDescent="0.35">
      <c r="A1633">
        <v>2025</v>
      </c>
      <c r="B1633">
        <v>10</v>
      </c>
      <c r="C1633">
        <v>4</v>
      </c>
      <c r="D1633" s="1">
        <v>45931</v>
      </c>
      <c r="E1633" s="4" t="s">
        <v>33</v>
      </c>
      <c r="F1633" s="4" t="s">
        <v>28</v>
      </c>
      <c r="G1633" s="4" t="s">
        <v>109</v>
      </c>
      <c r="H1633">
        <v>748</v>
      </c>
      <c r="I1633">
        <v>1140</v>
      </c>
      <c r="J1633">
        <v>0</v>
      </c>
      <c r="K1633">
        <v>1140</v>
      </c>
      <c r="L1633">
        <v>568438.84</v>
      </c>
      <c r="M1633">
        <v>0</v>
      </c>
      <c r="N1633">
        <v>568438.84</v>
      </c>
      <c r="O1633">
        <v>206579.1</v>
      </c>
      <c r="P1633">
        <v>361859.74</v>
      </c>
      <c r="Q1633">
        <v>0.63660000000000005</v>
      </c>
      <c r="R1633">
        <v>97</v>
      </c>
      <c r="S1633">
        <v>85031.43</v>
      </c>
      <c r="T1633">
        <v>0</v>
      </c>
      <c r="U1633">
        <v>759.94</v>
      </c>
    </row>
    <row r="1634" spans="1:21" x14ac:dyDescent="0.35">
      <c r="A1634">
        <v>2025</v>
      </c>
      <c r="B1634">
        <v>10</v>
      </c>
      <c r="C1634">
        <v>4</v>
      </c>
      <c r="D1634" s="1">
        <v>45931</v>
      </c>
      <c r="E1634" s="4" t="s">
        <v>33</v>
      </c>
      <c r="F1634" s="4" t="s">
        <v>24</v>
      </c>
      <c r="G1634" s="4" t="s">
        <v>107</v>
      </c>
      <c r="H1634">
        <v>15</v>
      </c>
      <c r="I1634">
        <v>20</v>
      </c>
      <c r="J1634">
        <v>0</v>
      </c>
      <c r="K1634">
        <v>20</v>
      </c>
      <c r="L1634">
        <v>31484.52</v>
      </c>
      <c r="M1634">
        <v>0</v>
      </c>
      <c r="N1634">
        <v>31484.52</v>
      </c>
      <c r="O1634">
        <v>17686.349999999999</v>
      </c>
      <c r="P1634">
        <v>13798.17</v>
      </c>
      <c r="Q1634">
        <v>0.43830000000000002</v>
      </c>
      <c r="R1634">
        <v>1</v>
      </c>
      <c r="S1634">
        <v>3063.52</v>
      </c>
      <c r="T1634">
        <v>0</v>
      </c>
      <c r="U1634">
        <v>2098.9699999999998</v>
      </c>
    </row>
    <row r="1635" spans="1:21" x14ac:dyDescent="0.35">
      <c r="A1635">
        <v>2025</v>
      </c>
      <c r="B1635">
        <v>10</v>
      </c>
      <c r="C1635">
        <v>4</v>
      </c>
      <c r="D1635" s="1">
        <v>45931</v>
      </c>
      <c r="E1635" s="4" t="s">
        <v>33</v>
      </c>
      <c r="F1635" s="4" t="s">
        <v>24</v>
      </c>
      <c r="G1635" s="4" t="s">
        <v>109</v>
      </c>
      <c r="H1635">
        <v>184</v>
      </c>
      <c r="I1635">
        <v>273</v>
      </c>
      <c r="J1635">
        <v>8</v>
      </c>
      <c r="K1635">
        <v>265</v>
      </c>
      <c r="L1635">
        <v>428589.11</v>
      </c>
      <c r="M1635">
        <v>17320</v>
      </c>
      <c r="N1635">
        <v>411269.11</v>
      </c>
      <c r="O1635">
        <v>236137.55</v>
      </c>
      <c r="P1635">
        <v>175131.56</v>
      </c>
      <c r="Q1635">
        <v>0.42580000000000001</v>
      </c>
      <c r="R1635">
        <v>27</v>
      </c>
      <c r="S1635">
        <v>69965.11</v>
      </c>
      <c r="T1635">
        <v>0</v>
      </c>
      <c r="U1635">
        <v>2235.16</v>
      </c>
    </row>
    <row r="1636" spans="1:21" x14ac:dyDescent="0.35">
      <c r="A1636">
        <v>2025</v>
      </c>
      <c r="B1636">
        <v>10</v>
      </c>
      <c r="C1636">
        <v>4</v>
      </c>
      <c r="D1636" s="1">
        <v>45931</v>
      </c>
      <c r="E1636" s="4" t="s">
        <v>33</v>
      </c>
      <c r="F1636" s="4" t="s">
        <v>26</v>
      </c>
      <c r="G1636" s="4" t="s">
        <v>107</v>
      </c>
      <c r="H1636">
        <v>4</v>
      </c>
      <c r="I1636">
        <v>5</v>
      </c>
      <c r="J1636">
        <v>0</v>
      </c>
      <c r="K1636">
        <v>5</v>
      </c>
      <c r="L1636">
        <v>3682</v>
      </c>
      <c r="M1636">
        <v>0</v>
      </c>
      <c r="N1636">
        <v>3682</v>
      </c>
      <c r="O1636">
        <v>2209.1999999999998</v>
      </c>
      <c r="P1636">
        <v>1472.8</v>
      </c>
      <c r="Q1636">
        <v>0.4</v>
      </c>
      <c r="R1636">
        <v>0</v>
      </c>
      <c r="S1636">
        <v>0</v>
      </c>
      <c r="T1636">
        <v>0</v>
      </c>
      <c r="U1636">
        <v>920.5</v>
      </c>
    </row>
    <row r="1637" spans="1:21" x14ac:dyDescent="0.35">
      <c r="A1637">
        <v>2025</v>
      </c>
      <c r="B1637">
        <v>10</v>
      </c>
      <c r="C1637">
        <v>4</v>
      </c>
      <c r="D1637" s="1">
        <v>45931</v>
      </c>
      <c r="E1637" s="4" t="s">
        <v>33</v>
      </c>
      <c r="F1637" s="4" t="s">
        <v>26</v>
      </c>
      <c r="G1637" s="4" t="s">
        <v>108</v>
      </c>
      <c r="H1637">
        <v>4</v>
      </c>
      <c r="I1637">
        <v>5</v>
      </c>
      <c r="J1637">
        <v>0</v>
      </c>
      <c r="K1637">
        <v>5</v>
      </c>
      <c r="L1637">
        <v>4114</v>
      </c>
      <c r="M1637">
        <v>0</v>
      </c>
      <c r="N1637">
        <v>4114</v>
      </c>
      <c r="O1637">
        <v>2468.4</v>
      </c>
      <c r="P1637">
        <v>1645.6</v>
      </c>
      <c r="Q1637">
        <v>0.4</v>
      </c>
      <c r="R1637">
        <v>0</v>
      </c>
      <c r="S1637">
        <v>0</v>
      </c>
      <c r="T1637">
        <v>0</v>
      </c>
      <c r="U1637">
        <v>1028.5</v>
      </c>
    </row>
    <row r="1638" spans="1:21" x14ac:dyDescent="0.35">
      <c r="A1638">
        <v>2025</v>
      </c>
      <c r="B1638">
        <v>10</v>
      </c>
      <c r="C1638">
        <v>4</v>
      </c>
      <c r="D1638" s="1">
        <v>45931</v>
      </c>
      <c r="E1638" s="4" t="s">
        <v>33</v>
      </c>
      <c r="F1638" s="4" t="s">
        <v>26</v>
      </c>
      <c r="G1638" s="4" t="s">
        <v>109</v>
      </c>
      <c r="H1638">
        <v>56</v>
      </c>
      <c r="I1638">
        <v>80</v>
      </c>
      <c r="J1638">
        <v>5</v>
      </c>
      <c r="K1638">
        <v>75</v>
      </c>
      <c r="L1638">
        <v>58392.6</v>
      </c>
      <c r="M1638">
        <v>4155.66</v>
      </c>
      <c r="N1638">
        <v>54236.94</v>
      </c>
      <c r="O1638">
        <v>33299.4</v>
      </c>
      <c r="P1638">
        <v>20937.54</v>
      </c>
      <c r="Q1638">
        <v>0.38600000000000001</v>
      </c>
      <c r="R1638">
        <v>6</v>
      </c>
      <c r="S1638">
        <v>5183.9399999999996</v>
      </c>
      <c r="T1638">
        <v>0</v>
      </c>
      <c r="U1638">
        <v>968.52</v>
      </c>
    </row>
    <row r="1639" spans="1:21" x14ac:dyDescent="0.35">
      <c r="A1639">
        <v>2025</v>
      </c>
      <c r="B1639">
        <v>10</v>
      </c>
      <c r="C1639">
        <v>4</v>
      </c>
      <c r="D1639" s="1">
        <v>45931</v>
      </c>
      <c r="E1639" s="4" t="s">
        <v>32</v>
      </c>
      <c r="F1639" s="4" t="s">
        <v>28</v>
      </c>
      <c r="G1639" s="4" t="s">
        <v>107</v>
      </c>
      <c r="H1639">
        <v>31</v>
      </c>
      <c r="I1639">
        <v>46</v>
      </c>
      <c r="J1639">
        <v>0</v>
      </c>
      <c r="K1639">
        <v>46</v>
      </c>
      <c r="L1639">
        <v>20466.32</v>
      </c>
      <c r="M1639">
        <v>0</v>
      </c>
      <c r="N1639">
        <v>20466.32</v>
      </c>
      <c r="O1639">
        <v>7309.4</v>
      </c>
      <c r="P1639">
        <v>13156.92</v>
      </c>
      <c r="Q1639">
        <v>0.64290000000000003</v>
      </c>
      <c r="R1639">
        <v>4</v>
      </c>
      <c r="S1639">
        <v>2306.3200000000002</v>
      </c>
      <c r="T1639">
        <v>0</v>
      </c>
      <c r="U1639">
        <v>660.2</v>
      </c>
    </row>
    <row r="1640" spans="1:21" x14ac:dyDescent="0.35">
      <c r="A1640">
        <v>2025</v>
      </c>
      <c r="B1640">
        <v>10</v>
      </c>
      <c r="C1640">
        <v>4</v>
      </c>
      <c r="D1640" s="1">
        <v>45931</v>
      </c>
      <c r="E1640" s="4" t="s">
        <v>32</v>
      </c>
      <c r="F1640" s="4" t="s">
        <v>28</v>
      </c>
      <c r="G1640" s="4" t="s">
        <v>109</v>
      </c>
      <c r="H1640">
        <v>519</v>
      </c>
      <c r="I1640">
        <v>792</v>
      </c>
      <c r="J1640">
        <v>0</v>
      </c>
      <c r="K1640">
        <v>792</v>
      </c>
      <c r="L1640">
        <v>274351.43</v>
      </c>
      <c r="M1640">
        <v>0</v>
      </c>
      <c r="N1640">
        <v>274351.43</v>
      </c>
      <c r="O1640">
        <v>99429.05</v>
      </c>
      <c r="P1640">
        <v>174922.38</v>
      </c>
      <c r="Q1640">
        <v>0.63759999999999994</v>
      </c>
      <c r="R1640">
        <v>62</v>
      </c>
      <c r="S1640">
        <v>36463.43</v>
      </c>
      <c r="T1640">
        <v>0</v>
      </c>
      <c r="U1640">
        <v>528.62</v>
      </c>
    </row>
    <row r="1641" spans="1:21" x14ac:dyDescent="0.35">
      <c r="A1641">
        <v>2025</v>
      </c>
      <c r="B1641">
        <v>10</v>
      </c>
      <c r="C1641">
        <v>4</v>
      </c>
      <c r="D1641" s="1">
        <v>45931</v>
      </c>
      <c r="E1641" s="4" t="s">
        <v>32</v>
      </c>
      <c r="F1641" s="4" t="s">
        <v>35</v>
      </c>
      <c r="G1641" s="4" t="s">
        <v>109</v>
      </c>
      <c r="H1641">
        <v>1</v>
      </c>
      <c r="I1641">
        <v>2</v>
      </c>
      <c r="J1641">
        <v>0</v>
      </c>
      <c r="K1641">
        <v>2</v>
      </c>
      <c r="L1641">
        <v>806.6</v>
      </c>
      <c r="M1641">
        <v>0</v>
      </c>
      <c r="N1641">
        <v>806.6</v>
      </c>
      <c r="O1641">
        <v>218</v>
      </c>
      <c r="P1641">
        <v>588.6</v>
      </c>
      <c r="Q1641">
        <v>0.72970000000000002</v>
      </c>
      <c r="R1641">
        <v>1</v>
      </c>
      <c r="S1641">
        <v>806.6</v>
      </c>
      <c r="T1641">
        <v>0</v>
      </c>
      <c r="U1641">
        <v>806.6</v>
      </c>
    </row>
    <row r="1642" spans="1:21" x14ac:dyDescent="0.35">
      <c r="A1642">
        <v>2025</v>
      </c>
      <c r="B1642">
        <v>10</v>
      </c>
      <c r="C1642">
        <v>4</v>
      </c>
      <c r="D1642" s="1">
        <v>45931</v>
      </c>
      <c r="E1642" s="4" t="s">
        <v>32</v>
      </c>
      <c r="F1642" s="4" t="s">
        <v>24</v>
      </c>
      <c r="G1642" s="4" t="s">
        <v>107</v>
      </c>
      <c r="H1642">
        <v>51</v>
      </c>
      <c r="I1642">
        <v>67</v>
      </c>
      <c r="J1642">
        <v>2</v>
      </c>
      <c r="K1642">
        <v>65</v>
      </c>
      <c r="L1642">
        <v>102644.55</v>
      </c>
      <c r="M1642">
        <v>3168</v>
      </c>
      <c r="N1642">
        <v>99476.55</v>
      </c>
      <c r="O1642">
        <v>56863.95</v>
      </c>
      <c r="P1642">
        <v>42612.6</v>
      </c>
      <c r="Q1642">
        <v>0.4284</v>
      </c>
      <c r="R1642">
        <v>8</v>
      </c>
      <c r="S1642">
        <v>13508.55</v>
      </c>
      <c r="T1642">
        <v>0</v>
      </c>
      <c r="U1642">
        <v>1950.52</v>
      </c>
    </row>
    <row r="1643" spans="1:21" x14ac:dyDescent="0.35">
      <c r="A1643">
        <v>2025</v>
      </c>
      <c r="B1643">
        <v>10</v>
      </c>
      <c r="C1643">
        <v>4</v>
      </c>
      <c r="D1643" s="1">
        <v>45931</v>
      </c>
      <c r="E1643" s="4" t="s">
        <v>32</v>
      </c>
      <c r="F1643" s="4" t="s">
        <v>24</v>
      </c>
      <c r="G1643" s="4" t="s">
        <v>109</v>
      </c>
      <c r="H1643">
        <v>201</v>
      </c>
      <c r="I1643">
        <v>293</v>
      </c>
      <c r="J1643">
        <v>12</v>
      </c>
      <c r="K1643">
        <v>281</v>
      </c>
      <c r="L1643">
        <v>354082.63</v>
      </c>
      <c r="M1643">
        <v>11689</v>
      </c>
      <c r="N1643">
        <v>342393.63</v>
      </c>
      <c r="O1643">
        <v>198343.75</v>
      </c>
      <c r="P1643">
        <v>144049.88</v>
      </c>
      <c r="Q1643">
        <v>0.42070000000000002</v>
      </c>
      <c r="R1643">
        <v>29</v>
      </c>
      <c r="S1643">
        <v>70747.63</v>
      </c>
      <c r="T1643">
        <v>0</v>
      </c>
      <c r="U1643">
        <v>1703.45</v>
      </c>
    </row>
    <row r="1644" spans="1:21" x14ac:dyDescent="0.35">
      <c r="A1644">
        <v>2025</v>
      </c>
      <c r="B1644">
        <v>10</v>
      </c>
      <c r="C1644">
        <v>4</v>
      </c>
      <c r="D1644" s="1">
        <v>45931</v>
      </c>
      <c r="E1644" s="4" t="s">
        <v>32</v>
      </c>
      <c r="F1644" s="4" t="s">
        <v>26</v>
      </c>
      <c r="G1644" s="4" t="s">
        <v>108</v>
      </c>
      <c r="H1644">
        <v>11</v>
      </c>
      <c r="I1644">
        <v>14</v>
      </c>
      <c r="J1644">
        <v>0</v>
      </c>
      <c r="K1644">
        <v>14</v>
      </c>
      <c r="L1644">
        <v>4214.7</v>
      </c>
      <c r="M1644">
        <v>0</v>
      </c>
      <c r="N1644">
        <v>4214.7</v>
      </c>
      <c r="O1644">
        <v>2646</v>
      </c>
      <c r="P1644">
        <v>1568.7</v>
      </c>
      <c r="Q1644">
        <v>0.37219999999999998</v>
      </c>
      <c r="R1644">
        <v>1</v>
      </c>
      <c r="S1644">
        <v>434.7</v>
      </c>
      <c r="T1644">
        <v>0</v>
      </c>
      <c r="U1644">
        <v>383.15</v>
      </c>
    </row>
    <row r="1645" spans="1:21" x14ac:dyDescent="0.35">
      <c r="A1645">
        <v>2025</v>
      </c>
      <c r="B1645">
        <v>10</v>
      </c>
      <c r="C1645">
        <v>4</v>
      </c>
      <c r="D1645" s="1">
        <v>45931</v>
      </c>
      <c r="E1645" s="4" t="s">
        <v>32</v>
      </c>
      <c r="F1645" s="4" t="s">
        <v>26</v>
      </c>
      <c r="G1645" s="4" t="s">
        <v>109</v>
      </c>
      <c r="H1645">
        <v>43</v>
      </c>
      <c r="I1645">
        <v>70</v>
      </c>
      <c r="J1645">
        <v>2</v>
      </c>
      <c r="K1645">
        <v>68</v>
      </c>
      <c r="L1645">
        <v>41066.839999999997</v>
      </c>
      <c r="M1645">
        <v>1968</v>
      </c>
      <c r="N1645">
        <v>39098.839999999997</v>
      </c>
      <c r="O1645">
        <v>23737.200000000001</v>
      </c>
      <c r="P1645">
        <v>15361.64</v>
      </c>
      <c r="Q1645">
        <v>0.39290000000000003</v>
      </c>
      <c r="R1645">
        <v>3</v>
      </c>
      <c r="S1645">
        <v>4194.84</v>
      </c>
      <c r="T1645">
        <v>0</v>
      </c>
      <c r="U1645">
        <v>909.28</v>
      </c>
    </row>
    <row r="1646" spans="1:21" x14ac:dyDescent="0.35">
      <c r="A1646">
        <v>2025</v>
      </c>
      <c r="B1646">
        <v>10</v>
      </c>
      <c r="C1646">
        <v>4</v>
      </c>
      <c r="D1646" s="1">
        <v>45931</v>
      </c>
      <c r="E1646" s="4" t="s">
        <v>27</v>
      </c>
      <c r="F1646" s="4" t="s">
        <v>28</v>
      </c>
      <c r="G1646" s="4" t="s">
        <v>107</v>
      </c>
      <c r="H1646">
        <v>310</v>
      </c>
      <c r="I1646">
        <v>457</v>
      </c>
      <c r="J1646">
        <v>0</v>
      </c>
      <c r="K1646">
        <v>457</v>
      </c>
      <c r="L1646">
        <v>198763.39</v>
      </c>
      <c r="M1646">
        <v>0</v>
      </c>
      <c r="N1646">
        <v>198763.39</v>
      </c>
      <c r="O1646">
        <v>72421.3</v>
      </c>
      <c r="P1646">
        <v>126342.09</v>
      </c>
      <c r="Q1646">
        <v>0.63560000000000005</v>
      </c>
      <c r="R1646">
        <v>40</v>
      </c>
      <c r="S1646">
        <v>30472.720000000001</v>
      </c>
      <c r="T1646">
        <v>0</v>
      </c>
      <c r="U1646">
        <v>641.16999999999996</v>
      </c>
    </row>
    <row r="1647" spans="1:21" x14ac:dyDescent="0.35">
      <c r="A1647">
        <v>2025</v>
      </c>
      <c r="B1647">
        <v>10</v>
      </c>
      <c r="C1647">
        <v>4</v>
      </c>
      <c r="D1647" s="1">
        <v>45931</v>
      </c>
      <c r="E1647" s="4" t="s">
        <v>27</v>
      </c>
      <c r="F1647" s="4" t="s">
        <v>28</v>
      </c>
      <c r="G1647" s="4" t="s">
        <v>109</v>
      </c>
      <c r="H1647">
        <v>810</v>
      </c>
      <c r="I1647">
        <v>1255</v>
      </c>
      <c r="J1647">
        <v>0</v>
      </c>
      <c r="K1647">
        <v>1255</v>
      </c>
      <c r="L1647">
        <v>667693.34</v>
      </c>
      <c r="M1647">
        <v>0</v>
      </c>
      <c r="N1647">
        <v>667693.34</v>
      </c>
      <c r="O1647">
        <v>241735.55</v>
      </c>
      <c r="P1647">
        <v>425957.79</v>
      </c>
      <c r="Q1647">
        <v>0.63800000000000001</v>
      </c>
      <c r="R1647">
        <v>96</v>
      </c>
      <c r="S1647">
        <v>89591.72</v>
      </c>
      <c r="T1647">
        <v>0</v>
      </c>
      <c r="U1647">
        <v>824.31</v>
      </c>
    </row>
    <row r="1648" spans="1:21" x14ac:dyDescent="0.35">
      <c r="A1648">
        <v>2025</v>
      </c>
      <c r="B1648">
        <v>10</v>
      </c>
      <c r="C1648">
        <v>4</v>
      </c>
      <c r="D1648" s="1">
        <v>45931</v>
      </c>
      <c r="E1648" s="4" t="s">
        <v>27</v>
      </c>
      <c r="F1648" s="4" t="s">
        <v>24</v>
      </c>
      <c r="G1648" s="4" t="s">
        <v>107</v>
      </c>
      <c r="H1648">
        <v>56</v>
      </c>
      <c r="I1648">
        <v>96</v>
      </c>
      <c r="J1648">
        <v>1</v>
      </c>
      <c r="K1648">
        <v>95</v>
      </c>
      <c r="L1648">
        <v>178882.99</v>
      </c>
      <c r="M1648">
        <v>1920</v>
      </c>
      <c r="N1648">
        <v>176962.99</v>
      </c>
      <c r="O1648">
        <v>99557.15</v>
      </c>
      <c r="P1648">
        <v>77405.84</v>
      </c>
      <c r="Q1648">
        <v>0.43740000000000001</v>
      </c>
      <c r="R1648">
        <v>4</v>
      </c>
      <c r="S1648">
        <v>10038.99</v>
      </c>
      <c r="T1648">
        <v>0</v>
      </c>
      <c r="U1648">
        <v>3160.05</v>
      </c>
    </row>
    <row r="1649" spans="1:21" x14ac:dyDescent="0.35">
      <c r="A1649">
        <v>2025</v>
      </c>
      <c r="B1649">
        <v>10</v>
      </c>
      <c r="C1649">
        <v>4</v>
      </c>
      <c r="D1649" s="1">
        <v>45931</v>
      </c>
      <c r="E1649" s="4" t="s">
        <v>27</v>
      </c>
      <c r="F1649" s="4" t="s">
        <v>24</v>
      </c>
      <c r="G1649" s="4" t="s">
        <v>109</v>
      </c>
      <c r="H1649">
        <v>306</v>
      </c>
      <c r="I1649">
        <v>462</v>
      </c>
      <c r="J1649">
        <v>14</v>
      </c>
      <c r="K1649">
        <v>448</v>
      </c>
      <c r="L1649">
        <v>765441.29</v>
      </c>
      <c r="M1649">
        <v>23628</v>
      </c>
      <c r="N1649">
        <v>741813.29</v>
      </c>
      <c r="O1649">
        <v>418301.4</v>
      </c>
      <c r="P1649">
        <v>323511.89</v>
      </c>
      <c r="Q1649">
        <v>0.43609999999999999</v>
      </c>
      <c r="R1649">
        <v>29</v>
      </c>
      <c r="S1649">
        <v>90276.29</v>
      </c>
      <c r="T1649">
        <v>0</v>
      </c>
      <c r="U1649">
        <v>2424.23</v>
      </c>
    </row>
    <row r="1650" spans="1:21" x14ac:dyDescent="0.35">
      <c r="A1650">
        <v>2025</v>
      </c>
      <c r="B1650">
        <v>10</v>
      </c>
      <c r="C1650">
        <v>4</v>
      </c>
      <c r="D1650" s="1">
        <v>45931</v>
      </c>
      <c r="E1650" s="4" t="s">
        <v>27</v>
      </c>
      <c r="F1650" s="4" t="s">
        <v>26</v>
      </c>
      <c r="G1650" s="4" t="s">
        <v>107</v>
      </c>
      <c r="H1650">
        <v>5</v>
      </c>
      <c r="I1650">
        <v>5</v>
      </c>
      <c r="J1650">
        <v>0</v>
      </c>
      <c r="K1650">
        <v>5</v>
      </c>
      <c r="L1650">
        <v>5127</v>
      </c>
      <c r="M1650">
        <v>0</v>
      </c>
      <c r="N1650">
        <v>5127</v>
      </c>
      <c r="O1650">
        <v>3076.2</v>
      </c>
      <c r="P1650">
        <v>2050.8000000000002</v>
      </c>
      <c r="Q1650">
        <v>0.4</v>
      </c>
      <c r="R1650">
        <v>0</v>
      </c>
      <c r="S1650">
        <v>0</v>
      </c>
      <c r="T1650">
        <v>0</v>
      </c>
      <c r="U1650">
        <v>1025.4000000000001</v>
      </c>
    </row>
    <row r="1651" spans="1:21" x14ac:dyDescent="0.35">
      <c r="A1651">
        <v>2025</v>
      </c>
      <c r="B1651">
        <v>10</v>
      </c>
      <c r="C1651">
        <v>4</v>
      </c>
      <c r="D1651" s="1">
        <v>45931</v>
      </c>
      <c r="E1651" s="4" t="s">
        <v>27</v>
      </c>
      <c r="F1651" s="4" t="s">
        <v>26</v>
      </c>
      <c r="G1651" s="4" t="s">
        <v>109</v>
      </c>
      <c r="H1651">
        <v>43</v>
      </c>
      <c r="I1651">
        <v>64</v>
      </c>
      <c r="J1651">
        <v>0</v>
      </c>
      <c r="K1651">
        <v>64</v>
      </c>
      <c r="L1651">
        <v>41474.74</v>
      </c>
      <c r="M1651">
        <v>0</v>
      </c>
      <c r="N1651">
        <v>41474.74</v>
      </c>
      <c r="O1651">
        <v>25979.4</v>
      </c>
      <c r="P1651">
        <v>15495.34</v>
      </c>
      <c r="Q1651">
        <v>0.37359999999999999</v>
      </c>
      <c r="R1651">
        <v>5</v>
      </c>
      <c r="S1651">
        <v>4238.74</v>
      </c>
      <c r="T1651">
        <v>0</v>
      </c>
      <c r="U1651">
        <v>964.53</v>
      </c>
    </row>
    <row r="1652" spans="1:21" x14ac:dyDescent="0.35">
      <c r="A1652">
        <v>2025</v>
      </c>
      <c r="B1652">
        <v>10</v>
      </c>
      <c r="C1652">
        <v>4</v>
      </c>
      <c r="D1652" s="1">
        <v>45931</v>
      </c>
      <c r="E1652" s="4" t="s">
        <v>34</v>
      </c>
      <c r="F1652" s="4" t="s">
        <v>28</v>
      </c>
      <c r="G1652" s="4" t="s">
        <v>107</v>
      </c>
      <c r="H1652">
        <v>187</v>
      </c>
      <c r="I1652">
        <v>273</v>
      </c>
      <c r="J1652">
        <v>0</v>
      </c>
      <c r="K1652">
        <v>273</v>
      </c>
      <c r="L1652">
        <v>182168.13</v>
      </c>
      <c r="M1652">
        <v>0</v>
      </c>
      <c r="N1652">
        <v>182168.13</v>
      </c>
      <c r="O1652">
        <v>65632.350000000006</v>
      </c>
      <c r="P1652">
        <v>116535.78</v>
      </c>
      <c r="Q1652">
        <v>0.63970000000000005</v>
      </c>
      <c r="R1652">
        <v>24</v>
      </c>
      <c r="S1652">
        <v>28647.13</v>
      </c>
      <c r="T1652">
        <v>0</v>
      </c>
      <c r="U1652">
        <v>974.16</v>
      </c>
    </row>
    <row r="1653" spans="1:21" x14ac:dyDescent="0.35">
      <c r="A1653">
        <v>2025</v>
      </c>
      <c r="B1653">
        <v>10</v>
      </c>
      <c r="C1653">
        <v>4</v>
      </c>
      <c r="D1653" s="1">
        <v>45931</v>
      </c>
      <c r="E1653" s="4" t="s">
        <v>34</v>
      </c>
      <c r="F1653" s="4" t="s">
        <v>28</v>
      </c>
      <c r="G1653" s="4" t="s">
        <v>108</v>
      </c>
      <c r="H1653">
        <v>59</v>
      </c>
      <c r="I1653">
        <v>88</v>
      </c>
      <c r="J1653">
        <v>0</v>
      </c>
      <c r="K1653">
        <v>88</v>
      </c>
      <c r="L1653">
        <v>35869.199999999997</v>
      </c>
      <c r="M1653">
        <v>0</v>
      </c>
      <c r="N1653">
        <v>35869.199999999997</v>
      </c>
      <c r="O1653">
        <v>13120.8</v>
      </c>
      <c r="P1653">
        <v>22748.400000000001</v>
      </c>
      <c r="Q1653">
        <v>0.63419999999999999</v>
      </c>
      <c r="R1653">
        <v>9</v>
      </c>
      <c r="S1653">
        <v>6049.2</v>
      </c>
      <c r="T1653">
        <v>0</v>
      </c>
      <c r="U1653">
        <v>607.95000000000005</v>
      </c>
    </row>
    <row r="1654" spans="1:21" x14ac:dyDescent="0.35">
      <c r="A1654">
        <v>2025</v>
      </c>
      <c r="B1654">
        <v>10</v>
      </c>
      <c r="C1654">
        <v>4</v>
      </c>
      <c r="D1654" s="1">
        <v>45931</v>
      </c>
      <c r="E1654" s="4" t="s">
        <v>34</v>
      </c>
      <c r="F1654" s="4" t="s">
        <v>28</v>
      </c>
      <c r="G1654" s="4" t="s">
        <v>109</v>
      </c>
      <c r="H1654">
        <v>767</v>
      </c>
      <c r="I1654">
        <v>1147</v>
      </c>
      <c r="J1654">
        <v>0</v>
      </c>
      <c r="K1654">
        <v>1147</v>
      </c>
      <c r="L1654">
        <v>567946.25</v>
      </c>
      <c r="M1654">
        <v>0</v>
      </c>
      <c r="N1654">
        <v>567946.25</v>
      </c>
      <c r="O1654">
        <v>206208.8</v>
      </c>
      <c r="P1654">
        <v>361737.45</v>
      </c>
      <c r="Q1654">
        <v>0.63690000000000002</v>
      </c>
      <c r="R1654">
        <v>85</v>
      </c>
      <c r="S1654">
        <v>81689.289999999994</v>
      </c>
      <c r="T1654">
        <v>0</v>
      </c>
      <c r="U1654">
        <v>740.48</v>
      </c>
    </row>
    <row r="1655" spans="1:21" x14ac:dyDescent="0.35">
      <c r="A1655">
        <v>2025</v>
      </c>
      <c r="B1655">
        <v>10</v>
      </c>
      <c r="C1655">
        <v>4</v>
      </c>
      <c r="D1655" s="1">
        <v>45931</v>
      </c>
      <c r="E1655" s="4" t="s">
        <v>34</v>
      </c>
      <c r="F1655" s="4" t="s">
        <v>24</v>
      </c>
      <c r="G1655" s="4" t="s">
        <v>107</v>
      </c>
      <c r="H1655">
        <v>82</v>
      </c>
      <c r="I1655">
        <v>130</v>
      </c>
      <c r="J1655">
        <v>4</v>
      </c>
      <c r="K1655">
        <v>126</v>
      </c>
      <c r="L1655">
        <v>227548.68</v>
      </c>
      <c r="M1655">
        <v>5467.02</v>
      </c>
      <c r="N1655">
        <v>222081.66</v>
      </c>
      <c r="O1655">
        <v>125125</v>
      </c>
      <c r="P1655">
        <v>96956.66</v>
      </c>
      <c r="Q1655">
        <v>0.43659999999999999</v>
      </c>
      <c r="R1655">
        <v>9</v>
      </c>
      <c r="S1655">
        <v>23881.66</v>
      </c>
      <c r="T1655">
        <v>0</v>
      </c>
      <c r="U1655">
        <v>2708.31</v>
      </c>
    </row>
    <row r="1656" spans="1:21" x14ac:dyDescent="0.35">
      <c r="A1656">
        <v>2025</v>
      </c>
      <c r="B1656">
        <v>10</v>
      </c>
      <c r="C1656">
        <v>4</v>
      </c>
      <c r="D1656" s="1">
        <v>45931</v>
      </c>
      <c r="E1656" s="4" t="s">
        <v>34</v>
      </c>
      <c r="F1656" s="4" t="s">
        <v>24</v>
      </c>
      <c r="G1656" s="4" t="s">
        <v>108</v>
      </c>
      <c r="H1656">
        <v>20</v>
      </c>
      <c r="I1656">
        <v>37</v>
      </c>
      <c r="J1656">
        <v>0</v>
      </c>
      <c r="K1656">
        <v>37</v>
      </c>
      <c r="L1656">
        <v>45920.7</v>
      </c>
      <c r="M1656">
        <v>0</v>
      </c>
      <c r="N1656">
        <v>45920.7</v>
      </c>
      <c r="O1656">
        <v>28062.65</v>
      </c>
      <c r="P1656">
        <v>17858.05</v>
      </c>
      <c r="Q1656">
        <v>0.38890000000000002</v>
      </c>
      <c r="R1656">
        <v>6</v>
      </c>
      <c r="S1656">
        <v>19719.7</v>
      </c>
      <c r="T1656">
        <v>0</v>
      </c>
      <c r="U1656">
        <v>2296.04</v>
      </c>
    </row>
    <row r="1657" spans="1:21" x14ac:dyDescent="0.35">
      <c r="A1657">
        <v>2025</v>
      </c>
      <c r="B1657">
        <v>10</v>
      </c>
      <c r="C1657">
        <v>4</v>
      </c>
      <c r="D1657" s="1">
        <v>45931</v>
      </c>
      <c r="E1657" s="4" t="s">
        <v>34</v>
      </c>
      <c r="F1657" s="4" t="s">
        <v>24</v>
      </c>
      <c r="G1657" s="4" t="s">
        <v>109</v>
      </c>
      <c r="H1657">
        <v>209</v>
      </c>
      <c r="I1657">
        <v>337</v>
      </c>
      <c r="J1657">
        <v>13</v>
      </c>
      <c r="K1657">
        <v>324</v>
      </c>
      <c r="L1657">
        <v>552952.32999999996</v>
      </c>
      <c r="M1657">
        <v>22012</v>
      </c>
      <c r="N1657">
        <v>530940.32999999996</v>
      </c>
      <c r="O1657">
        <v>305613.55</v>
      </c>
      <c r="P1657">
        <v>225326.78</v>
      </c>
      <c r="Q1657">
        <v>0.4244</v>
      </c>
      <c r="R1657">
        <v>29</v>
      </c>
      <c r="S1657">
        <v>82984.399999999994</v>
      </c>
      <c r="T1657">
        <v>0</v>
      </c>
      <c r="U1657">
        <v>2540.38</v>
      </c>
    </row>
    <row r="1658" spans="1:21" x14ac:dyDescent="0.35">
      <c r="A1658">
        <v>2025</v>
      </c>
      <c r="B1658">
        <v>10</v>
      </c>
      <c r="C1658">
        <v>4</v>
      </c>
      <c r="D1658" s="1">
        <v>45931</v>
      </c>
      <c r="E1658" s="4" t="s">
        <v>34</v>
      </c>
      <c r="F1658" s="4" t="s">
        <v>26</v>
      </c>
      <c r="G1658" s="4" t="s">
        <v>107</v>
      </c>
      <c r="H1658">
        <v>4</v>
      </c>
      <c r="I1658">
        <v>6</v>
      </c>
      <c r="J1658">
        <v>0</v>
      </c>
      <c r="K1658">
        <v>6</v>
      </c>
      <c r="L1658">
        <v>3432</v>
      </c>
      <c r="M1658">
        <v>0</v>
      </c>
      <c r="N1658">
        <v>3432</v>
      </c>
      <c r="O1658">
        <v>2059.1999999999998</v>
      </c>
      <c r="P1658">
        <v>1372.8</v>
      </c>
      <c r="Q1658">
        <v>0.4</v>
      </c>
      <c r="R1658">
        <v>0</v>
      </c>
      <c r="S1658">
        <v>0</v>
      </c>
      <c r="T1658">
        <v>0</v>
      </c>
      <c r="U1658">
        <v>858</v>
      </c>
    </row>
    <row r="1659" spans="1:21" x14ac:dyDescent="0.35">
      <c r="A1659">
        <v>2025</v>
      </c>
      <c r="B1659">
        <v>10</v>
      </c>
      <c r="C1659">
        <v>4</v>
      </c>
      <c r="D1659" s="1">
        <v>45931</v>
      </c>
      <c r="E1659" s="4" t="s">
        <v>34</v>
      </c>
      <c r="F1659" s="4" t="s">
        <v>26</v>
      </c>
      <c r="G1659" s="4" t="s">
        <v>108</v>
      </c>
      <c r="H1659">
        <v>2</v>
      </c>
      <c r="I1659">
        <v>2</v>
      </c>
      <c r="J1659">
        <v>0</v>
      </c>
      <c r="K1659">
        <v>2</v>
      </c>
      <c r="L1659">
        <v>1275</v>
      </c>
      <c r="M1659">
        <v>0</v>
      </c>
      <c r="N1659">
        <v>1275</v>
      </c>
      <c r="O1659">
        <v>765</v>
      </c>
      <c r="P1659">
        <v>510</v>
      </c>
      <c r="Q1659">
        <v>0.4</v>
      </c>
      <c r="R1659">
        <v>0</v>
      </c>
      <c r="S1659">
        <v>0</v>
      </c>
      <c r="T1659">
        <v>0</v>
      </c>
      <c r="U1659">
        <v>637.5</v>
      </c>
    </row>
    <row r="1660" spans="1:21" x14ac:dyDescent="0.35">
      <c r="A1660">
        <v>2025</v>
      </c>
      <c r="B1660">
        <v>10</v>
      </c>
      <c r="C1660">
        <v>4</v>
      </c>
      <c r="D1660" s="1">
        <v>45931</v>
      </c>
      <c r="E1660" s="4" t="s">
        <v>34</v>
      </c>
      <c r="F1660" s="4" t="s">
        <v>26</v>
      </c>
      <c r="G1660" s="4" t="s">
        <v>109</v>
      </c>
      <c r="H1660">
        <v>54</v>
      </c>
      <c r="I1660">
        <v>76</v>
      </c>
      <c r="J1660">
        <v>7</v>
      </c>
      <c r="K1660">
        <v>69</v>
      </c>
      <c r="L1660">
        <v>50963.81</v>
      </c>
      <c r="M1660">
        <v>6107</v>
      </c>
      <c r="N1660">
        <v>44856.81</v>
      </c>
      <c r="O1660">
        <v>27749.4</v>
      </c>
      <c r="P1660">
        <v>17107.41</v>
      </c>
      <c r="Q1660">
        <v>0.38140000000000002</v>
      </c>
      <c r="R1660">
        <v>4</v>
      </c>
      <c r="S1660">
        <v>4824.8100000000004</v>
      </c>
      <c r="T1660">
        <v>0</v>
      </c>
      <c r="U1660">
        <v>830.68</v>
      </c>
    </row>
    <row r="1661" spans="1:21" x14ac:dyDescent="0.35">
      <c r="A1661">
        <v>2025</v>
      </c>
      <c r="B1661">
        <v>10</v>
      </c>
      <c r="C1661">
        <v>4</v>
      </c>
      <c r="D1661" s="1">
        <v>45931</v>
      </c>
      <c r="E1661" s="4" t="s">
        <v>36</v>
      </c>
      <c r="F1661" s="4" t="s">
        <v>28</v>
      </c>
      <c r="G1661" s="4" t="s">
        <v>107</v>
      </c>
      <c r="H1661">
        <v>77</v>
      </c>
      <c r="I1661">
        <v>104</v>
      </c>
      <c r="J1661">
        <v>0</v>
      </c>
      <c r="K1661">
        <v>104</v>
      </c>
      <c r="L1661">
        <v>67051.94</v>
      </c>
      <c r="M1661">
        <v>0</v>
      </c>
      <c r="N1661">
        <v>67051.94</v>
      </c>
      <c r="O1661">
        <v>23952.25</v>
      </c>
      <c r="P1661">
        <v>43099.69</v>
      </c>
      <c r="Q1661">
        <v>0.64280000000000004</v>
      </c>
      <c r="R1661">
        <v>5</v>
      </c>
      <c r="S1661">
        <v>7807.94</v>
      </c>
      <c r="T1661">
        <v>0</v>
      </c>
      <c r="U1661">
        <v>870.8</v>
      </c>
    </row>
    <row r="1662" spans="1:21" x14ac:dyDescent="0.35">
      <c r="A1662">
        <v>2025</v>
      </c>
      <c r="B1662">
        <v>10</v>
      </c>
      <c r="C1662">
        <v>4</v>
      </c>
      <c r="D1662" s="1">
        <v>45931</v>
      </c>
      <c r="E1662" s="4" t="s">
        <v>36</v>
      </c>
      <c r="F1662" s="4" t="s">
        <v>28</v>
      </c>
      <c r="G1662" s="4" t="s">
        <v>108</v>
      </c>
      <c r="H1662">
        <v>169</v>
      </c>
      <c r="I1662">
        <v>263</v>
      </c>
      <c r="J1662">
        <v>0</v>
      </c>
      <c r="K1662">
        <v>263</v>
      </c>
      <c r="L1662">
        <v>83901.36</v>
      </c>
      <c r="M1662">
        <v>0</v>
      </c>
      <c r="N1662">
        <v>83901.36</v>
      </c>
      <c r="O1662">
        <v>30850.400000000001</v>
      </c>
      <c r="P1662">
        <v>53050.96</v>
      </c>
      <c r="Q1662">
        <v>0.63229999999999997</v>
      </c>
      <c r="R1662">
        <v>31</v>
      </c>
      <c r="S1662">
        <v>17451.36</v>
      </c>
      <c r="T1662">
        <v>0</v>
      </c>
      <c r="U1662">
        <v>496.46</v>
      </c>
    </row>
    <row r="1663" spans="1:21" x14ac:dyDescent="0.35">
      <c r="A1663">
        <v>2025</v>
      </c>
      <c r="B1663">
        <v>10</v>
      </c>
      <c r="C1663">
        <v>4</v>
      </c>
      <c r="D1663" s="1">
        <v>45931</v>
      </c>
      <c r="E1663" s="4" t="s">
        <v>36</v>
      </c>
      <c r="F1663" s="4" t="s">
        <v>28</v>
      </c>
      <c r="G1663" s="4" t="s">
        <v>109</v>
      </c>
      <c r="H1663">
        <v>730</v>
      </c>
      <c r="I1663">
        <v>1109</v>
      </c>
      <c r="J1663">
        <v>0</v>
      </c>
      <c r="K1663">
        <v>1109</v>
      </c>
      <c r="L1663">
        <v>538688.74</v>
      </c>
      <c r="M1663">
        <v>0</v>
      </c>
      <c r="N1663">
        <v>538688.74</v>
      </c>
      <c r="O1663">
        <v>194452.65</v>
      </c>
      <c r="P1663">
        <v>344236.09</v>
      </c>
      <c r="Q1663">
        <v>0.63900000000000001</v>
      </c>
      <c r="R1663">
        <v>76</v>
      </c>
      <c r="S1663">
        <v>68021.039999999994</v>
      </c>
      <c r="T1663">
        <v>0</v>
      </c>
      <c r="U1663">
        <v>737.93</v>
      </c>
    </row>
    <row r="1664" spans="1:21" x14ac:dyDescent="0.35">
      <c r="A1664">
        <v>2025</v>
      </c>
      <c r="B1664">
        <v>10</v>
      </c>
      <c r="C1664">
        <v>4</v>
      </c>
      <c r="D1664" s="1">
        <v>45931</v>
      </c>
      <c r="E1664" s="4" t="s">
        <v>36</v>
      </c>
      <c r="F1664" s="4" t="s">
        <v>24</v>
      </c>
      <c r="G1664" s="4" t="s">
        <v>107</v>
      </c>
      <c r="H1664">
        <v>57</v>
      </c>
      <c r="I1664">
        <v>80</v>
      </c>
      <c r="J1664">
        <v>3</v>
      </c>
      <c r="K1664">
        <v>77</v>
      </c>
      <c r="L1664">
        <v>105037.57</v>
      </c>
      <c r="M1664">
        <v>4938</v>
      </c>
      <c r="N1664">
        <v>100099.57</v>
      </c>
      <c r="O1664">
        <v>56548.800000000003</v>
      </c>
      <c r="P1664">
        <v>43550.77</v>
      </c>
      <c r="Q1664">
        <v>0.43509999999999999</v>
      </c>
      <c r="R1664">
        <v>5</v>
      </c>
      <c r="S1664">
        <v>7904.57</v>
      </c>
      <c r="T1664">
        <v>0</v>
      </c>
      <c r="U1664">
        <v>1756.13</v>
      </c>
    </row>
    <row r="1665" spans="1:21" x14ac:dyDescent="0.35">
      <c r="A1665">
        <v>2025</v>
      </c>
      <c r="B1665">
        <v>10</v>
      </c>
      <c r="C1665">
        <v>4</v>
      </c>
      <c r="D1665" s="1">
        <v>45931</v>
      </c>
      <c r="E1665" s="4" t="s">
        <v>36</v>
      </c>
      <c r="F1665" s="4" t="s">
        <v>24</v>
      </c>
      <c r="G1665" s="4" t="s">
        <v>108</v>
      </c>
      <c r="H1665">
        <v>20</v>
      </c>
      <c r="I1665">
        <v>29</v>
      </c>
      <c r="J1665">
        <v>0</v>
      </c>
      <c r="K1665">
        <v>29</v>
      </c>
      <c r="L1665">
        <v>50452.959999999999</v>
      </c>
      <c r="M1665">
        <v>0</v>
      </c>
      <c r="N1665">
        <v>50452.959999999999</v>
      </c>
      <c r="O1665">
        <v>28652.799999999999</v>
      </c>
      <c r="P1665">
        <v>21800.16</v>
      </c>
      <c r="Q1665">
        <v>0.43209999999999998</v>
      </c>
      <c r="R1665">
        <v>2</v>
      </c>
      <c r="S1665">
        <v>10092.959999999999</v>
      </c>
      <c r="T1665">
        <v>0</v>
      </c>
      <c r="U1665">
        <v>2522.65</v>
      </c>
    </row>
    <row r="1666" spans="1:21" x14ac:dyDescent="0.35">
      <c r="A1666">
        <v>2025</v>
      </c>
      <c r="B1666">
        <v>10</v>
      </c>
      <c r="C1666">
        <v>4</v>
      </c>
      <c r="D1666" s="1">
        <v>45931</v>
      </c>
      <c r="E1666" s="4" t="s">
        <v>36</v>
      </c>
      <c r="F1666" s="4" t="s">
        <v>24</v>
      </c>
      <c r="G1666" s="4" t="s">
        <v>109</v>
      </c>
      <c r="H1666">
        <v>160</v>
      </c>
      <c r="I1666">
        <v>248</v>
      </c>
      <c r="J1666">
        <v>4</v>
      </c>
      <c r="K1666">
        <v>244</v>
      </c>
      <c r="L1666">
        <v>384331.92</v>
      </c>
      <c r="M1666">
        <v>6000.74</v>
      </c>
      <c r="N1666">
        <v>378331.18</v>
      </c>
      <c r="O1666">
        <v>217000.85</v>
      </c>
      <c r="P1666">
        <v>161330.32999999999</v>
      </c>
      <c r="Q1666">
        <v>0.4264</v>
      </c>
      <c r="R1666">
        <v>22</v>
      </c>
      <c r="S1666">
        <v>61306.18</v>
      </c>
      <c r="T1666">
        <v>0</v>
      </c>
      <c r="U1666">
        <v>2364.5700000000002</v>
      </c>
    </row>
    <row r="1667" spans="1:21" x14ac:dyDescent="0.35">
      <c r="A1667">
        <v>2025</v>
      </c>
      <c r="B1667">
        <v>10</v>
      </c>
      <c r="C1667">
        <v>4</v>
      </c>
      <c r="D1667" s="1">
        <v>45931</v>
      </c>
      <c r="E1667" s="4" t="s">
        <v>36</v>
      </c>
      <c r="F1667" s="4" t="s">
        <v>26</v>
      </c>
      <c r="G1667" s="4" t="s">
        <v>107</v>
      </c>
      <c r="H1667">
        <v>2</v>
      </c>
      <c r="I1667">
        <v>3</v>
      </c>
      <c r="J1667">
        <v>0</v>
      </c>
      <c r="K1667">
        <v>3</v>
      </c>
      <c r="L1667">
        <v>1407</v>
      </c>
      <c r="M1667">
        <v>0</v>
      </c>
      <c r="N1667">
        <v>1407</v>
      </c>
      <c r="O1667">
        <v>844.2</v>
      </c>
      <c r="P1667">
        <v>562.79999999999995</v>
      </c>
      <c r="Q1667">
        <v>0.4</v>
      </c>
      <c r="R1667">
        <v>0</v>
      </c>
      <c r="S1667">
        <v>0</v>
      </c>
      <c r="T1667">
        <v>0</v>
      </c>
      <c r="U1667">
        <v>703.5</v>
      </c>
    </row>
    <row r="1668" spans="1:21" x14ac:dyDescent="0.35">
      <c r="A1668">
        <v>2025</v>
      </c>
      <c r="B1668">
        <v>10</v>
      </c>
      <c r="C1668">
        <v>4</v>
      </c>
      <c r="D1668" s="1">
        <v>45931</v>
      </c>
      <c r="E1668" s="4" t="s">
        <v>36</v>
      </c>
      <c r="F1668" s="4" t="s">
        <v>26</v>
      </c>
      <c r="G1668" s="4" t="s">
        <v>109</v>
      </c>
      <c r="H1668">
        <v>61</v>
      </c>
      <c r="I1668">
        <v>103</v>
      </c>
      <c r="J1668">
        <v>0</v>
      </c>
      <c r="K1668">
        <v>103</v>
      </c>
      <c r="L1668">
        <v>81294.58</v>
      </c>
      <c r="M1668">
        <v>0</v>
      </c>
      <c r="N1668">
        <v>81294.58</v>
      </c>
      <c r="O1668">
        <v>52068</v>
      </c>
      <c r="P1668">
        <v>29226.58</v>
      </c>
      <c r="Q1668">
        <v>0.35949999999999999</v>
      </c>
      <c r="R1668">
        <v>12</v>
      </c>
      <c r="S1668">
        <v>19174.580000000002</v>
      </c>
      <c r="T1668">
        <v>0</v>
      </c>
      <c r="U1668">
        <v>1332.7</v>
      </c>
    </row>
    <row r="1669" spans="1:21" x14ac:dyDescent="0.35">
      <c r="A1669">
        <v>2025</v>
      </c>
      <c r="B1669">
        <v>10</v>
      </c>
      <c r="C1669">
        <v>4</v>
      </c>
      <c r="D1669" s="1">
        <v>45931</v>
      </c>
      <c r="E1669" s="4" t="s">
        <v>23</v>
      </c>
      <c r="F1669" s="4" t="s">
        <v>28</v>
      </c>
      <c r="G1669" s="4" t="s">
        <v>107</v>
      </c>
      <c r="H1669">
        <v>119</v>
      </c>
      <c r="I1669">
        <v>162</v>
      </c>
      <c r="J1669">
        <v>0</v>
      </c>
      <c r="K1669">
        <v>162</v>
      </c>
      <c r="L1669">
        <v>53383.72</v>
      </c>
      <c r="M1669">
        <v>0</v>
      </c>
      <c r="N1669">
        <v>53383.72</v>
      </c>
      <c r="O1669">
        <v>19164.599999999999</v>
      </c>
      <c r="P1669">
        <v>34219.120000000003</v>
      </c>
      <c r="Q1669">
        <v>0.64100000000000001</v>
      </c>
      <c r="R1669">
        <v>9</v>
      </c>
      <c r="S1669">
        <v>3697.72</v>
      </c>
      <c r="T1669">
        <v>0</v>
      </c>
      <c r="U1669">
        <v>448.6</v>
      </c>
    </row>
    <row r="1670" spans="1:21" x14ac:dyDescent="0.35">
      <c r="A1670">
        <v>2025</v>
      </c>
      <c r="B1670">
        <v>10</v>
      </c>
      <c r="C1670">
        <v>4</v>
      </c>
      <c r="D1670" s="1">
        <v>45931</v>
      </c>
      <c r="E1670" s="4" t="s">
        <v>23</v>
      </c>
      <c r="F1670" s="4" t="s">
        <v>28</v>
      </c>
      <c r="G1670" s="4" t="s">
        <v>108</v>
      </c>
      <c r="H1670">
        <v>56</v>
      </c>
      <c r="I1670">
        <v>88</v>
      </c>
      <c r="J1670">
        <v>0</v>
      </c>
      <c r="K1670">
        <v>88</v>
      </c>
      <c r="L1670">
        <v>59122.3</v>
      </c>
      <c r="M1670">
        <v>0</v>
      </c>
      <c r="N1670">
        <v>59122.3</v>
      </c>
      <c r="O1670">
        <v>21652.400000000001</v>
      </c>
      <c r="P1670">
        <v>37469.9</v>
      </c>
      <c r="Q1670">
        <v>0.63380000000000003</v>
      </c>
      <c r="R1670">
        <v>11</v>
      </c>
      <c r="S1670">
        <v>16239.3</v>
      </c>
      <c r="T1670">
        <v>0</v>
      </c>
      <c r="U1670">
        <v>1055.76</v>
      </c>
    </row>
    <row r="1671" spans="1:21" x14ac:dyDescent="0.35">
      <c r="A1671">
        <v>2025</v>
      </c>
      <c r="B1671">
        <v>10</v>
      </c>
      <c r="C1671">
        <v>4</v>
      </c>
      <c r="D1671" s="1">
        <v>45931</v>
      </c>
      <c r="E1671" s="4" t="s">
        <v>23</v>
      </c>
      <c r="F1671" s="4" t="s">
        <v>28</v>
      </c>
      <c r="G1671" s="4" t="s">
        <v>109</v>
      </c>
      <c r="H1671">
        <v>639</v>
      </c>
      <c r="I1671">
        <v>947</v>
      </c>
      <c r="J1671">
        <v>0</v>
      </c>
      <c r="K1671">
        <v>947</v>
      </c>
      <c r="L1671">
        <v>430316.58</v>
      </c>
      <c r="M1671">
        <v>0</v>
      </c>
      <c r="N1671">
        <v>430316.58</v>
      </c>
      <c r="O1671">
        <v>156923.54999999999</v>
      </c>
      <c r="P1671">
        <v>273393.03000000003</v>
      </c>
      <c r="Q1671">
        <v>0.63529999999999998</v>
      </c>
      <c r="R1671">
        <v>83</v>
      </c>
      <c r="S1671">
        <v>65533.73</v>
      </c>
      <c r="T1671">
        <v>0</v>
      </c>
      <c r="U1671">
        <v>673.42</v>
      </c>
    </row>
    <row r="1672" spans="1:21" x14ac:dyDescent="0.35">
      <c r="A1672">
        <v>2025</v>
      </c>
      <c r="B1672">
        <v>10</v>
      </c>
      <c r="C1672">
        <v>4</v>
      </c>
      <c r="D1672" s="1">
        <v>45931</v>
      </c>
      <c r="E1672" s="4" t="s">
        <v>23</v>
      </c>
      <c r="F1672" s="4" t="s">
        <v>24</v>
      </c>
      <c r="G1672" s="4" t="s">
        <v>107</v>
      </c>
      <c r="H1672">
        <v>59</v>
      </c>
      <c r="I1672">
        <v>91</v>
      </c>
      <c r="J1672">
        <v>0</v>
      </c>
      <c r="K1672">
        <v>91</v>
      </c>
      <c r="L1672">
        <v>154560.51</v>
      </c>
      <c r="M1672">
        <v>0</v>
      </c>
      <c r="N1672">
        <v>154560.51</v>
      </c>
      <c r="O1672">
        <v>86540.85</v>
      </c>
      <c r="P1672">
        <v>68019.66</v>
      </c>
      <c r="Q1672">
        <v>0.44009999999999999</v>
      </c>
      <c r="R1672">
        <v>7</v>
      </c>
      <c r="S1672">
        <v>18515.400000000001</v>
      </c>
      <c r="T1672">
        <v>0</v>
      </c>
      <c r="U1672">
        <v>2619.67</v>
      </c>
    </row>
    <row r="1673" spans="1:21" x14ac:dyDescent="0.35">
      <c r="A1673">
        <v>2025</v>
      </c>
      <c r="B1673">
        <v>10</v>
      </c>
      <c r="C1673">
        <v>4</v>
      </c>
      <c r="D1673" s="1">
        <v>45931</v>
      </c>
      <c r="E1673" s="4" t="s">
        <v>23</v>
      </c>
      <c r="F1673" s="4" t="s">
        <v>24</v>
      </c>
      <c r="G1673" s="4" t="s">
        <v>109</v>
      </c>
      <c r="H1673">
        <v>180</v>
      </c>
      <c r="I1673">
        <v>276</v>
      </c>
      <c r="J1673">
        <v>5</v>
      </c>
      <c r="K1673">
        <v>271</v>
      </c>
      <c r="L1673">
        <v>289089.98</v>
      </c>
      <c r="M1673">
        <v>5692</v>
      </c>
      <c r="N1673">
        <v>283397.98</v>
      </c>
      <c r="O1673">
        <v>162972.15</v>
      </c>
      <c r="P1673">
        <v>120425.83</v>
      </c>
      <c r="Q1673">
        <v>0.4249</v>
      </c>
      <c r="R1673">
        <v>28</v>
      </c>
      <c r="S1673">
        <v>62889.98</v>
      </c>
      <c r="T1673">
        <v>0</v>
      </c>
      <c r="U1673">
        <v>1574.43</v>
      </c>
    </row>
    <row r="1674" spans="1:21" x14ac:dyDescent="0.35">
      <c r="A1674">
        <v>2025</v>
      </c>
      <c r="B1674">
        <v>10</v>
      </c>
      <c r="C1674">
        <v>4</v>
      </c>
      <c r="D1674" s="1">
        <v>45931</v>
      </c>
      <c r="E1674" s="4" t="s">
        <v>23</v>
      </c>
      <c r="F1674" s="4" t="s">
        <v>26</v>
      </c>
      <c r="G1674" s="4" t="s">
        <v>107</v>
      </c>
      <c r="H1674">
        <v>9</v>
      </c>
      <c r="I1674">
        <v>15</v>
      </c>
      <c r="J1674">
        <v>0</v>
      </c>
      <c r="K1674">
        <v>15</v>
      </c>
      <c r="L1674">
        <v>7966.61</v>
      </c>
      <c r="M1674">
        <v>0</v>
      </c>
      <c r="N1674">
        <v>7966.61</v>
      </c>
      <c r="O1674">
        <v>5151</v>
      </c>
      <c r="P1674">
        <v>2815.61</v>
      </c>
      <c r="Q1674">
        <v>0.35339999999999999</v>
      </c>
      <c r="R1674">
        <v>2</v>
      </c>
      <c r="S1674">
        <v>2222.61</v>
      </c>
      <c r="T1674">
        <v>0</v>
      </c>
      <c r="U1674">
        <v>885.18</v>
      </c>
    </row>
    <row r="1675" spans="1:21" x14ac:dyDescent="0.35">
      <c r="A1675">
        <v>2025</v>
      </c>
      <c r="B1675">
        <v>10</v>
      </c>
      <c r="C1675">
        <v>4</v>
      </c>
      <c r="D1675" s="1">
        <v>45931</v>
      </c>
      <c r="E1675" s="4" t="s">
        <v>23</v>
      </c>
      <c r="F1675" s="4" t="s">
        <v>26</v>
      </c>
      <c r="G1675" s="4" t="s">
        <v>109</v>
      </c>
      <c r="H1675">
        <v>32</v>
      </c>
      <c r="I1675">
        <v>50</v>
      </c>
      <c r="J1675">
        <v>0</v>
      </c>
      <c r="K1675">
        <v>50</v>
      </c>
      <c r="L1675">
        <v>30701.13</v>
      </c>
      <c r="M1675">
        <v>0</v>
      </c>
      <c r="N1675">
        <v>30701.13</v>
      </c>
      <c r="O1675">
        <v>19363.2</v>
      </c>
      <c r="P1675">
        <v>11337.93</v>
      </c>
      <c r="Q1675">
        <v>0.36930000000000002</v>
      </c>
      <c r="R1675">
        <v>5</v>
      </c>
      <c r="S1675">
        <v>6706.13</v>
      </c>
      <c r="T1675">
        <v>0</v>
      </c>
      <c r="U1675">
        <v>959.41</v>
      </c>
    </row>
    <row r="1676" spans="1:21" x14ac:dyDescent="0.35">
      <c r="A1676">
        <v>2025</v>
      </c>
      <c r="B1676">
        <v>10</v>
      </c>
      <c r="C1676">
        <v>4</v>
      </c>
      <c r="D1676" s="1">
        <v>45931</v>
      </c>
      <c r="E1676" s="4" t="s">
        <v>25</v>
      </c>
      <c r="F1676" s="4" t="s">
        <v>28</v>
      </c>
      <c r="G1676" s="4" t="s">
        <v>107</v>
      </c>
      <c r="H1676">
        <v>39</v>
      </c>
      <c r="I1676">
        <v>61</v>
      </c>
      <c r="J1676">
        <v>0</v>
      </c>
      <c r="K1676">
        <v>61</v>
      </c>
      <c r="L1676">
        <v>29665.93</v>
      </c>
      <c r="M1676">
        <v>0</v>
      </c>
      <c r="N1676">
        <v>29665.93</v>
      </c>
      <c r="O1676">
        <v>10610.95</v>
      </c>
      <c r="P1676">
        <v>19054.98</v>
      </c>
      <c r="Q1676">
        <v>0.64229999999999998</v>
      </c>
      <c r="R1676">
        <v>4</v>
      </c>
      <c r="S1676">
        <v>3324.93</v>
      </c>
      <c r="T1676">
        <v>0</v>
      </c>
      <c r="U1676">
        <v>760.66</v>
      </c>
    </row>
    <row r="1677" spans="1:21" x14ac:dyDescent="0.35">
      <c r="A1677">
        <v>2025</v>
      </c>
      <c r="B1677">
        <v>10</v>
      </c>
      <c r="C1677">
        <v>4</v>
      </c>
      <c r="D1677" s="1">
        <v>45931</v>
      </c>
      <c r="E1677" s="4" t="s">
        <v>25</v>
      </c>
      <c r="F1677" s="4" t="s">
        <v>28</v>
      </c>
      <c r="G1677" s="4" t="s">
        <v>109</v>
      </c>
      <c r="H1677">
        <v>699</v>
      </c>
      <c r="I1677">
        <v>1034</v>
      </c>
      <c r="J1677">
        <v>0</v>
      </c>
      <c r="K1677">
        <v>1034</v>
      </c>
      <c r="L1677">
        <v>537540.98</v>
      </c>
      <c r="M1677">
        <v>0</v>
      </c>
      <c r="N1677">
        <v>537540.98</v>
      </c>
      <c r="O1677">
        <v>194847.45</v>
      </c>
      <c r="P1677">
        <v>342693.53</v>
      </c>
      <c r="Q1677">
        <v>0.63749999999999996</v>
      </c>
      <c r="R1677">
        <v>89</v>
      </c>
      <c r="S1677">
        <v>84759.43</v>
      </c>
      <c r="T1677">
        <v>0</v>
      </c>
      <c r="U1677">
        <v>769.01</v>
      </c>
    </row>
    <row r="1678" spans="1:21" x14ac:dyDescent="0.35">
      <c r="A1678">
        <v>2025</v>
      </c>
      <c r="B1678">
        <v>10</v>
      </c>
      <c r="C1678">
        <v>4</v>
      </c>
      <c r="D1678" s="1">
        <v>45931</v>
      </c>
      <c r="E1678" s="4" t="s">
        <v>25</v>
      </c>
      <c r="F1678" s="4" t="s">
        <v>24</v>
      </c>
      <c r="G1678" s="4" t="s">
        <v>107</v>
      </c>
      <c r="H1678">
        <v>27</v>
      </c>
      <c r="I1678">
        <v>42</v>
      </c>
      <c r="J1678">
        <v>2</v>
      </c>
      <c r="K1678">
        <v>40</v>
      </c>
      <c r="L1678">
        <v>73534.83</v>
      </c>
      <c r="M1678">
        <v>4156</v>
      </c>
      <c r="N1678">
        <v>69378.83</v>
      </c>
      <c r="O1678">
        <v>40865</v>
      </c>
      <c r="P1678">
        <v>28513.83</v>
      </c>
      <c r="Q1678">
        <v>0.41099999999999998</v>
      </c>
      <c r="R1678">
        <v>3</v>
      </c>
      <c r="S1678">
        <v>18324.560000000001</v>
      </c>
      <c r="T1678">
        <v>0</v>
      </c>
      <c r="U1678">
        <v>2569.59</v>
      </c>
    </row>
    <row r="1679" spans="1:21" x14ac:dyDescent="0.35">
      <c r="A1679">
        <v>2025</v>
      </c>
      <c r="B1679">
        <v>10</v>
      </c>
      <c r="C1679">
        <v>4</v>
      </c>
      <c r="D1679" s="1">
        <v>45931</v>
      </c>
      <c r="E1679" s="4" t="s">
        <v>25</v>
      </c>
      <c r="F1679" s="4" t="s">
        <v>24</v>
      </c>
      <c r="G1679" s="4" t="s">
        <v>109</v>
      </c>
      <c r="H1679">
        <v>199</v>
      </c>
      <c r="I1679">
        <v>286</v>
      </c>
      <c r="J1679">
        <v>6</v>
      </c>
      <c r="K1679">
        <v>280</v>
      </c>
      <c r="L1679">
        <v>424941.94</v>
      </c>
      <c r="M1679">
        <v>10189</v>
      </c>
      <c r="N1679">
        <v>414752.94</v>
      </c>
      <c r="O1679">
        <v>237279.9</v>
      </c>
      <c r="P1679">
        <v>177473.04</v>
      </c>
      <c r="Q1679">
        <v>0.4279</v>
      </c>
      <c r="R1679">
        <v>28</v>
      </c>
      <c r="S1679">
        <v>75603.199999999997</v>
      </c>
      <c r="T1679">
        <v>0</v>
      </c>
      <c r="U1679">
        <v>2084.19</v>
      </c>
    </row>
    <row r="1680" spans="1:21" x14ac:dyDescent="0.35">
      <c r="A1680">
        <v>2025</v>
      </c>
      <c r="B1680">
        <v>10</v>
      </c>
      <c r="C1680">
        <v>4</v>
      </c>
      <c r="D1680" s="1">
        <v>45931</v>
      </c>
      <c r="E1680" s="4" t="s">
        <v>25</v>
      </c>
      <c r="F1680" s="4" t="s">
        <v>26</v>
      </c>
      <c r="G1680" s="4" t="s">
        <v>107</v>
      </c>
      <c r="H1680">
        <v>19</v>
      </c>
      <c r="I1680">
        <v>28</v>
      </c>
      <c r="J1680">
        <v>0</v>
      </c>
      <c r="K1680">
        <v>28</v>
      </c>
      <c r="L1680">
        <v>25710.06</v>
      </c>
      <c r="M1680">
        <v>0</v>
      </c>
      <c r="N1680">
        <v>25710.06</v>
      </c>
      <c r="O1680">
        <v>16423.2</v>
      </c>
      <c r="P1680">
        <v>9286.86</v>
      </c>
      <c r="Q1680">
        <v>0.36120000000000002</v>
      </c>
      <c r="R1680">
        <v>2</v>
      </c>
      <c r="S1680">
        <v>6339.06</v>
      </c>
      <c r="T1680">
        <v>0</v>
      </c>
      <c r="U1680">
        <v>1353.16</v>
      </c>
    </row>
    <row r="1681" spans="1:21" x14ac:dyDescent="0.35">
      <c r="A1681">
        <v>2025</v>
      </c>
      <c r="B1681">
        <v>10</v>
      </c>
      <c r="C1681">
        <v>4</v>
      </c>
      <c r="D1681" s="1">
        <v>45931</v>
      </c>
      <c r="E1681" s="4" t="s">
        <v>25</v>
      </c>
      <c r="F1681" s="4" t="s">
        <v>26</v>
      </c>
      <c r="G1681" s="4" t="s">
        <v>109</v>
      </c>
      <c r="H1681">
        <v>54</v>
      </c>
      <c r="I1681">
        <v>80</v>
      </c>
      <c r="J1681">
        <v>1</v>
      </c>
      <c r="K1681">
        <v>79</v>
      </c>
      <c r="L1681">
        <v>62798.879999999997</v>
      </c>
      <c r="M1681">
        <v>1157</v>
      </c>
      <c r="N1681">
        <v>61641.88</v>
      </c>
      <c r="O1681">
        <v>37926.6</v>
      </c>
      <c r="P1681">
        <v>23715.279999999999</v>
      </c>
      <c r="Q1681">
        <v>0.38469999999999999</v>
      </c>
      <c r="R1681">
        <v>5</v>
      </c>
      <c r="S1681">
        <v>12245.88</v>
      </c>
      <c r="T1681">
        <v>0</v>
      </c>
      <c r="U1681">
        <v>1141.52</v>
      </c>
    </row>
    <row r="1682" spans="1:21" x14ac:dyDescent="0.35">
      <c r="A1682">
        <v>2025</v>
      </c>
      <c r="B1682">
        <v>10</v>
      </c>
      <c r="C1682">
        <v>4</v>
      </c>
      <c r="D1682" s="1">
        <v>45931</v>
      </c>
      <c r="E1682" s="4" t="s">
        <v>29</v>
      </c>
      <c r="F1682" s="4" t="s">
        <v>28</v>
      </c>
      <c r="G1682" s="4" t="s">
        <v>107</v>
      </c>
      <c r="H1682">
        <v>224</v>
      </c>
      <c r="I1682">
        <v>337</v>
      </c>
      <c r="J1682">
        <v>0</v>
      </c>
      <c r="K1682">
        <v>337</v>
      </c>
      <c r="L1682">
        <v>151367.91</v>
      </c>
      <c r="M1682">
        <v>0</v>
      </c>
      <c r="N1682">
        <v>151367.91</v>
      </c>
      <c r="O1682">
        <v>54713.4</v>
      </c>
      <c r="P1682">
        <v>96654.51</v>
      </c>
      <c r="Q1682">
        <v>0.63849999999999996</v>
      </c>
      <c r="R1682">
        <v>26</v>
      </c>
      <c r="S1682">
        <v>17738.16</v>
      </c>
      <c r="T1682">
        <v>0</v>
      </c>
      <c r="U1682">
        <v>675.75</v>
      </c>
    </row>
    <row r="1683" spans="1:21" x14ac:dyDescent="0.35">
      <c r="A1683">
        <v>2025</v>
      </c>
      <c r="B1683">
        <v>10</v>
      </c>
      <c r="C1683">
        <v>4</v>
      </c>
      <c r="D1683" s="1">
        <v>45931</v>
      </c>
      <c r="E1683" s="4" t="s">
        <v>29</v>
      </c>
      <c r="F1683" s="4" t="s">
        <v>28</v>
      </c>
      <c r="G1683" s="4" t="s">
        <v>108</v>
      </c>
      <c r="H1683">
        <v>60</v>
      </c>
      <c r="I1683">
        <v>93</v>
      </c>
      <c r="J1683">
        <v>0</v>
      </c>
      <c r="K1683">
        <v>93</v>
      </c>
      <c r="L1683">
        <v>53874.879999999997</v>
      </c>
      <c r="M1683">
        <v>0</v>
      </c>
      <c r="N1683">
        <v>53874.879999999997</v>
      </c>
      <c r="O1683">
        <v>19790.400000000001</v>
      </c>
      <c r="P1683">
        <v>34084.480000000003</v>
      </c>
      <c r="Q1683">
        <v>0.63270000000000004</v>
      </c>
      <c r="R1683">
        <v>6</v>
      </c>
      <c r="S1683">
        <v>7058.88</v>
      </c>
      <c r="T1683">
        <v>0</v>
      </c>
      <c r="U1683">
        <v>897.91</v>
      </c>
    </row>
    <row r="1684" spans="1:21" x14ac:dyDescent="0.35">
      <c r="A1684">
        <v>2025</v>
      </c>
      <c r="B1684">
        <v>10</v>
      </c>
      <c r="C1684">
        <v>4</v>
      </c>
      <c r="D1684" s="1">
        <v>45931</v>
      </c>
      <c r="E1684" s="4" t="s">
        <v>29</v>
      </c>
      <c r="F1684" s="4" t="s">
        <v>28</v>
      </c>
      <c r="G1684" s="4" t="s">
        <v>109</v>
      </c>
      <c r="H1684">
        <v>918</v>
      </c>
      <c r="I1684">
        <v>1423</v>
      </c>
      <c r="J1684">
        <v>0</v>
      </c>
      <c r="K1684">
        <v>1423</v>
      </c>
      <c r="L1684">
        <v>676150.03</v>
      </c>
      <c r="M1684">
        <v>0</v>
      </c>
      <c r="N1684">
        <v>676150.03</v>
      </c>
      <c r="O1684">
        <v>245183.4</v>
      </c>
      <c r="P1684">
        <v>430966.63</v>
      </c>
      <c r="Q1684">
        <v>0.63739999999999997</v>
      </c>
      <c r="R1684">
        <v>121</v>
      </c>
      <c r="S1684">
        <v>101765.07</v>
      </c>
      <c r="T1684">
        <v>0</v>
      </c>
      <c r="U1684">
        <v>736.55</v>
      </c>
    </row>
    <row r="1685" spans="1:21" x14ac:dyDescent="0.35">
      <c r="A1685">
        <v>2025</v>
      </c>
      <c r="B1685">
        <v>10</v>
      </c>
      <c r="C1685">
        <v>4</v>
      </c>
      <c r="D1685" s="1">
        <v>45931</v>
      </c>
      <c r="E1685" s="4" t="s">
        <v>29</v>
      </c>
      <c r="F1685" s="4" t="s">
        <v>24</v>
      </c>
      <c r="G1685" s="4" t="s">
        <v>107</v>
      </c>
      <c r="H1685">
        <v>3</v>
      </c>
      <c r="I1685">
        <v>4</v>
      </c>
      <c r="J1685">
        <v>0</v>
      </c>
      <c r="K1685">
        <v>4</v>
      </c>
      <c r="L1685">
        <v>3456</v>
      </c>
      <c r="M1685">
        <v>0</v>
      </c>
      <c r="N1685">
        <v>3456</v>
      </c>
      <c r="O1685">
        <v>1900.8</v>
      </c>
      <c r="P1685">
        <v>1555.2</v>
      </c>
      <c r="Q1685">
        <v>0.45</v>
      </c>
      <c r="R1685">
        <v>0</v>
      </c>
      <c r="S1685">
        <v>0</v>
      </c>
      <c r="T1685">
        <v>0</v>
      </c>
      <c r="U1685">
        <v>1152</v>
      </c>
    </row>
    <row r="1686" spans="1:21" x14ac:dyDescent="0.35">
      <c r="A1686">
        <v>2025</v>
      </c>
      <c r="B1686">
        <v>10</v>
      </c>
      <c r="C1686">
        <v>4</v>
      </c>
      <c r="D1686" s="1">
        <v>45931</v>
      </c>
      <c r="E1686" s="4" t="s">
        <v>29</v>
      </c>
      <c r="F1686" s="4" t="s">
        <v>24</v>
      </c>
      <c r="G1686" s="4" t="s">
        <v>108</v>
      </c>
      <c r="H1686">
        <v>21</v>
      </c>
      <c r="I1686">
        <v>33</v>
      </c>
      <c r="J1686">
        <v>0</v>
      </c>
      <c r="K1686">
        <v>33</v>
      </c>
      <c r="L1686">
        <v>22564.22</v>
      </c>
      <c r="M1686">
        <v>0</v>
      </c>
      <c r="N1686">
        <v>22564.22</v>
      </c>
      <c r="O1686">
        <v>13467.3</v>
      </c>
      <c r="P1686">
        <v>9096.92</v>
      </c>
      <c r="Q1686">
        <v>0.4032</v>
      </c>
      <c r="R1686">
        <v>4</v>
      </c>
      <c r="S1686">
        <v>6240.22</v>
      </c>
      <c r="T1686">
        <v>0</v>
      </c>
      <c r="U1686">
        <v>1074.49</v>
      </c>
    </row>
    <row r="1687" spans="1:21" x14ac:dyDescent="0.35">
      <c r="A1687">
        <v>2025</v>
      </c>
      <c r="B1687">
        <v>10</v>
      </c>
      <c r="C1687">
        <v>4</v>
      </c>
      <c r="D1687" s="1">
        <v>45931</v>
      </c>
      <c r="E1687" s="4" t="s">
        <v>29</v>
      </c>
      <c r="F1687" s="4" t="s">
        <v>24</v>
      </c>
      <c r="G1687" s="4" t="s">
        <v>109</v>
      </c>
      <c r="H1687">
        <v>185</v>
      </c>
      <c r="I1687">
        <v>279</v>
      </c>
      <c r="J1687">
        <v>4</v>
      </c>
      <c r="K1687">
        <v>275</v>
      </c>
      <c r="L1687">
        <v>529954.9</v>
      </c>
      <c r="M1687">
        <v>9196</v>
      </c>
      <c r="N1687">
        <v>520758.9</v>
      </c>
      <c r="O1687">
        <v>296903.2</v>
      </c>
      <c r="P1687">
        <v>223855.7</v>
      </c>
      <c r="Q1687">
        <v>0.4299</v>
      </c>
      <c r="R1687">
        <v>22</v>
      </c>
      <c r="S1687">
        <v>61503.67</v>
      </c>
      <c r="T1687">
        <v>0</v>
      </c>
      <c r="U1687">
        <v>2814.91</v>
      </c>
    </row>
    <row r="1688" spans="1:21" x14ac:dyDescent="0.35">
      <c r="A1688">
        <v>2025</v>
      </c>
      <c r="B1688">
        <v>10</v>
      </c>
      <c r="C1688">
        <v>4</v>
      </c>
      <c r="D1688" s="1">
        <v>45931</v>
      </c>
      <c r="E1688" s="4" t="s">
        <v>29</v>
      </c>
      <c r="F1688" s="4" t="s">
        <v>26</v>
      </c>
      <c r="G1688" s="4" t="s">
        <v>107</v>
      </c>
      <c r="H1688">
        <v>22</v>
      </c>
      <c r="I1688">
        <v>29</v>
      </c>
      <c r="J1688">
        <v>0</v>
      </c>
      <c r="K1688">
        <v>29</v>
      </c>
      <c r="L1688">
        <v>21325.4</v>
      </c>
      <c r="M1688">
        <v>0</v>
      </c>
      <c r="N1688">
        <v>21325.4</v>
      </c>
      <c r="O1688">
        <v>12948</v>
      </c>
      <c r="P1688">
        <v>8377.4</v>
      </c>
      <c r="Q1688">
        <v>0.39279999999999998</v>
      </c>
      <c r="R1688">
        <v>1</v>
      </c>
      <c r="S1688">
        <v>1085.4000000000001</v>
      </c>
      <c r="T1688">
        <v>0</v>
      </c>
      <c r="U1688">
        <v>969.34</v>
      </c>
    </row>
    <row r="1689" spans="1:21" x14ac:dyDescent="0.35">
      <c r="A1689">
        <v>2025</v>
      </c>
      <c r="B1689">
        <v>10</v>
      </c>
      <c r="C1689">
        <v>4</v>
      </c>
      <c r="D1689" s="1">
        <v>45931</v>
      </c>
      <c r="E1689" s="4" t="s">
        <v>29</v>
      </c>
      <c r="F1689" s="4" t="s">
        <v>26</v>
      </c>
      <c r="G1689" s="4" t="s">
        <v>108</v>
      </c>
      <c r="H1689">
        <v>1</v>
      </c>
      <c r="I1689">
        <v>1</v>
      </c>
      <c r="J1689">
        <v>0</v>
      </c>
      <c r="K1689">
        <v>1</v>
      </c>
      <c r="L1689">
        <v>756</v>
      </c>
      <c r="M1689">
        <v>0</v>
      </c>
      <c r="N1689">
        <v>756</v>
      </c>
      <c r="O1689">
        <v>453.6</v>
      </c>
      <c r="P1689">
        <v>302.39999999999998</v>
      </c>
      <c r="Q1689">
        <v>0.4</v>
      </c>
      <c r="R1689">
        <v>0</v>
      </c>
      <c r="S1689">
        <v>0</v>
      </c>
      <c r="T1689">
        <v>0</v>
      </c>
      <c r="U1689">
        <v>756</v>
      </c>
    </row>
    <row r="1690" spans="1:21" x14ac:dyDescent="0.35">
      <c r="A1690">
        <v>2025</v>
      </c>
      <c r="B1690">
        <v>10</v>
      </c>
      <c r="C1690">
        <v>4</v>
      </c>
      <c r="D1690" s="1">
        <v>45931</v>
      </c>
      <c r="E1690" s="4" t="s">
        <v>29</v>
      </c>
      <c r="F1690" s="4" t="s">
        <v>26</v>
      </c>
      <c r="G1690" s="4" t="s">
        <v>109</v>
      </c>
      <c r="H1690">
        <v>31</v>
      </c>
      <c r="I1690">
        <v>54</v>
      </c>
      <c r="J1690">
        <v>2</v>
      </c>
      <c r="K1690">
        <v>52</v>
      </c>
      <c r="L1690">
        <v>43414.54</v>
      </c>
      <c r="M1690">
        <v>2053</v>
      </c>
      <c r="N1690">
        <v>41361.54</v>
      </c>
      <c r="O1690">
        <v>26807.4</v>
      </c>
      <c r="P1690">
        <v>14554.14</v>
      </c>
      <c r="Q1690">
        <v>0.35189999999999999</v>
      </c>
      <c r="R1690">
        <v>6</v>
      </c>
      <c r="S1690">
        <v>13546.54</v>
      </c>
      <c r="T1690">
        <v>0</v>
      </c>
      <c r="U1690">
        <v>1334.24</v>
      </c>
    </row>
    <row r="1691" spans="1:21" x14ac:dyDescent="0.35">
      <c r="A1691">
        <v>2025</v>
      </c>
      <c r="B1691">
        <v>10</v>
      </c>
      <c r="C1691">
        <v>4</v>
      </c>
      <c r="D1691" s="1">
        <v>45931</v>
      </c>
      <c r="E1691" s="4" t="s">
        <v>31</v>
      </c>
      <c r="F1691" s="4" t="s">
        <v>28</v>
      </c>
      <c r="G1691" s="4" t="s">
        <v>107</v>
      </c>
      <c r="H1691">
        <v>98</v>
      </c>
      <c r="I1691">
        <v>155</v>
      </c>
      <c r="J1691">
        <v>0</v>
      </c>
      <c r="K1691">
        <v>155</v>
      </c>
      <c r="L1691">
        <v>59729.01</v>
      </c>
      <c r="M1691">
        <v>0</v>
      </c>
      <c r="N1691">
        <v>59729.01</v>
      </c>
      <c r="O1691">
        <v>21420</v>
      </c>
      <c r="P1691">
        <v>38309.01</v>
      </c>
      <c r="Q1691">
        <v>0.64139999999999997</v>
      </c>
      <c r="R1691">
        <v>9</v>
      </c>
      <c r="S1691">
        <v>5565.01</v>
      </c>
      <c r="T1691">
        <v>0</v>
      </c>
      <c r="U1691">
        <v>609.48</v>
      </c>
    </row>
    <row r="1692" spans="1:21" x14ac:dyDescent="0.35">
      <c r="A1692">
        <v>2025</v>
      </c>
      <c r="B1692">
        <v>10</v>
      </c>
      <c r="C1692">
        <v>4</v>
      </c>
      <c r="D1692" s="1">
        <v>45931</v>
      </c>
      <c r="E1692" s="4" t="s">
        <v>31</v>
      </c>
      <c r="F1692" s="4" t="s">
        <v>28</v>
      </c>
      <c r="G1692" s="4" t="s">
        <v>108</v>
      </c>
      <c r="H1692">
        <v>303</v>
      </c>
      <c r="I1692">
        <v>481</v>
      </c>
      <c r="J1692">
        <v>0</v>
      </c>
      <c r="K1692">
        <v>481</v>
      </c>
      <c r="L1692">
        <v>186360.5</v>
      </c>
      <c r="M1692">
        <v>0</v>
      </c>
      <c r="N1692">
        <v>186360.5</v>
      </c>
      <c r="O1692">
        <v>67295.199999999997</v>
      </c>
      <c r="P1692">
        <v>119065.3</v>
      </c>
      <c r="Q1692">
        <v>0.63890000000000002</v>
      </c>
      <c r="R1692">
        <v>29</v>
      </c>
      <c r="S1692">
        <v>24001.01</v>
      </c>
      <c r="T1692">
        <v>0</v>
      </c>
      <c r="U1692">
        <v>615.04999999999995</v>
      </c>
    </row>
    <row r="1693" spans="1:21" x14ac:dyDescent="0.35">
      <c r="A1693">
        <v>2025</v>
      </c>
      <c r="B1693">
        <v>10</v>
      </c>
      <c r="C1693">
        <v>4</v>
      </c>
      <c r="D1693" s="1">
        <v>45931</v>
      </c>
      <c r="E1693" s="4" t="s">
        <v>31</v>
      </c>
      <c r="F1693" s="4" t="s">
        <v>28</v>
      </c>
      <c r="G1693" s="4" t="s">
        <v>109</v>
      </c>
      <c r="H1693">
        <v>994</v>
      </c>
      <c r="I1693">
        <v>1595</v>
      </c>
      <c r="J1693">
        <v>0</v>
      </c>
      <c r="K1693">
        <v>1595</v>
      </c>
      <c r="L1693">
        <v>773386.07</v>
      </c>
      <c r="M1693">
        <v>0</v>
      </c>
      <c r="N1693">
        <v>773386.07</v>
      </c>
      <c r="O1693">
        <v>280139.3</v>
      </c>
      <c r="P1693">
        <v>493246.77</v>
      </c>
      <c r="Q1693">
        <v>0.63780000000000003</v>
      </c>
      <c r="R1693">
        <v>127</v>
      </c>
      <c r="S1693">
        <v>113003.65</v>
      </c>
      <c r="T1693">
        <v>0</v>
      </c>
      <c r="U1693">
        <v>778.05</v>
      </c>
    </row>
    <row r="1694" spans="1:21" x14ac:dyDescent="0.35">
      <c r="A1694">
        <v>2025</v>
      </c>
      <c r="B1694">
        <v>10</v>
      </c>
      <c r="C1694">
        <v>4</v>
      </c>
      <c r="D1694" s="1">
        <v>45931</v>
      </c>
      <c r="E1694" s="4" t="s">
        <v>31</v>
      </c>
      <c r="F1694" s="4" t="s">
        <v>24</v>
      </c>
      <c r="G1694" s="4" t="s">
        <v>107</v>
      </c>
      <c r="H1694">
        <v>10</v>
      </c>
      <c r="I1694">
        <v>11</v>
      </c>
      <c r="J1694">
        <v>0</v>
      </c>
      <c r="K1694">
        <v>11</v>
      </c>
      <c r="L1694">
        <v>19910</v>
      </c>
      <c r="M1694">
        <v>0</v>
      </c>
      <c r="N1694">
        <v>19910</v>
      </c>
      <c r="O1694">
        <v>10950.5</v>
      </c>
      <c r="P1694">
        <v>8959.5</v>
      </c>
      <c r="Q1694">
        <v>0.45</v>
      </c>
      <c r="R1694">
        <v>0</v>
      </c>
      <c r="S1694">
        <v>0</v>
      </c>
      <c r="T1694">
        <v>0</v>
      </c>
      <c r="U1694">
        <v>1991</v>
      </c>
    </row>
    <row r="1695" spans="1:21" x14ac:dyDescent="0.35">
      <c r="A1695">
        <v>2025</v>
      </c>
      <c r="B1695">
        <v>10</v>
      </c>
      <c r="C1695">
        <v>4</v>
      </c>
      <c r="D1695" s="1">
        <v>45931</v>
      </c>
      <c r="E1695" s="4" t="s">
        <v>31</v>
      </c>
      <c r="F1695" s="4" t="s">
        <v>24</v>
      </c>
      <c r="G1695" s="4" t="s">
        <v>109</v>
      </c>
      <c r="H1695">
        <v>311</v>
      </c>
      <c r="I1695">
        <v>472</v>
      </c>
      <c r="J1695">
        <v>10</v>
      </c>
      <c r="K1695">
        <v>462</v>
      </c>
      <c r="L1695">
        <v>665847.23</v>
      </c>
      <c r="M1695">
        <v>14561</v>
      </c>
      <c r="N1695">
        <v>651286.23</v>
      </c>
      <c r="O1695">
        <v>370146.7</v>
      </c>
      <c r="P1695">
        <v>281139.53000000003</v>
      </c>
      <c r="Q1695">
        <v>0.43169999999999997</v>
      </c>
      <c r="R1695">
        <v>33</v>
      </c>
      <c r="S1695">
        <v>87254.23</v>
      </c>
      <c r="T1695">
        <v>0</v>
      </c>
      <c r="U1695">
        <v>2094.17</v>
      </c>
    </row>
    <row r="1696" spans="1:21" x14ac:dyDescent="0.35">
      <c r="A1696">
        <v>2025</v>
      </c>
      <c r="B1696">
        <v>10</v>
      </c>
      <c r="C1696">
        <v>4</v>
      </c>
      <c r="D1696" s="1">
        <v>45931</v>
      </c>
      <c r="E1696" s="4" t="s">
        <v>31</v>
      </c>
      <c r="F1696" s="4" t="s">
        <v>26</v>
      </c>
      <c r="G1696" s="4" t="s">
        <v>107</v>
      </c>
      <c r="H1696">
        <v>4</v>
      </c>
      <c r="I1696">
        <v>4</v>
      </c>
      <c r="J1696">
        <v>0</v>
      </c>
      <c r="K1696">
        <v>4</v>
      </c>
      <c r="L1696">
        <v>1912</v>
      </c>
      <c r="M1696">
        <v>0</v>
      </c>
      <c r="N1696">
        <v>1912</v>
      </c>
      <c r="O1696">
        <v>1147.2</v>
      </c>
      <c r="P1696">
        <v>764.8</v>
      </c>
      <c r="Q1696">
        <v>0.4</v>
      </c>
      <c r="R1696">
        <v>0</v>
      </c>
      <c r="S1696">
        <v>0</v>
      </c>
      <c r="T1696">
        <v>0</v>
      </c>
      <c r="U1696">
        <v>478</v>
      </c>
    </row>
    <row r="1697" spans="1:21" x14ac:dyDescent="0.35">
      <c r="A1697">
        <v>2025</v>
      </c>
      <c r="B1697">
        <v>10</v>
      </c>
      <c r="C1697">
        <v>4</v>
      </c>
      <c r="D1697" s="1">
        <v>45931</v>
      </c>
      <c r="E1697" s="4" t="s">
        <v>31</v>
      </c>
      <c r="F1697" s="4" t="s">
        <v>26</v>
      </c>
      <c r="G1697" s="4" t="s">
        <v>108</v>
      </c>
      <c r="H1697">
        <v>1</v>
      </c>
      <c r="I1697">
        <v>1</v>
      </c>
      <c r="J1697">
        <v>0</v>
      </c>
      <c r="K1697">
        <v>1</v>
      </c>
      <c r="L1697">
        <v>726</v>
      </c>
      <c r="M1697">
        <v>0</v>
      </c>
      <c r="N1697">
        <v>726</v>
      </c>
      <c r="O1697">
        <v>435.6</v>
      </c>
      <c r="P1697">
        <v>290.39999999999998</v>
      </c>
      <c r="Q1697">
        <v>0.4</v>
      </c>
      <c r="R1697">
        <v>0</v>
      </c>
      <c r="S1697">
        <v>0</v>
      </c>
      <c r="T1697">
        <v>0</v>
      </c>
      <c r="U1697">
        <v>726</v>
      </c>
    </row>
    <row r="1698" spans="1:21" x14ac:dyDescent="0.35">
      <c r="A1698">
        <v>2025</v>
      </c>
      <c r="B1698">
        <v>10</v>
      </c>
      <c r="C1698">
        <v>4</v>
      </c>
      <c r="D1698" s="1">
        <v>45931</v>
      </c>
      <c r="E1698" s="4" t="s">
        <v>31</v>
      </c>
      <c r="F1698" s="4" t="s">
        <v>26</v>
      </c>
      <c r="G1698" s="4" t="s">
        <v>109</v>
      </c>
      <c r="H1698">
        <v>47</v>
      </c>
      <c r="I1698">
        <v>66</v>
      </c>
      <c r="J1698">
        <v>1</v>
      </c>
      <c r="K1698">
        <v>65</v>
      </c>
      <c r="L1698">
        <v>52989.9</v>
      </c>
      <c r="M1698">
        <v>824</v>
      </c>
      <c r="N1698">
        <v>52165.9</v>
      </c>
      <c r="O1698">
        <v>32191.200000000001</v>
      </c>
      <c r="P1698">
        <v>19974.7</v>
      </c>
      <c r="Q1698">
        <v>0.38290000000000002</v>
      </c>
      <c r="R1698">
        <v>5</v>
      </c>
      <c r="S1698">
        <v>6024.9</v>
      </c>
      <c r="T1698">
        <v>0</v>
      </c>
      <c r="U1698">
        <v>1109.9100000000001</v>
      </c>
    </row>
    <row r="1699" spans="1:21" x14ac:dyDescent="0.35">
      <c r="A1699">
        <v>2025</v>
      </c>
      <c r="B1699">
        <v>10</v>
      </c>
      <c r="C1699">
        <v>4</v>
      </c>
      <c r="D1699" s="1">
        <v>45931</v>
      </c>
      <c r="E1699" s="4" t="s">
        <v>30</v>
      </c>
      <c r="F1699" s="4" t="s">
        <v>28</v>
      </c>
      <c r="G1699" s="4" t="s">
        <v>107</v>
      </c>
      <c r="H1699">
        <v>130</v>
      </c>
      <c r="I1699">
        <v>186</v>
      </c>
      <c r="J1699">
        <v>0</v>
      </c>
      <c r="K1699">
        <v>186</v>
      </c>
      <c r="L1699">
        <v>80832.94</v>
      </c>
      <c r="M1699">
        <v>0</v>
      </c>
      <c r="N1699">
        <v>80832.94</v>
      </c>
      <c r="O1699">
        <v>29360.1</v>
      </c>
      <c r="P1699">
        <v>51472.84</v>
      </c>
      <c r="Q1699">
        <v>0.63680000000000003</v>
      </c>
      <c r="R1699">
        <v>18</v>
      </c>
      <c r="S1699">
        <v>13133.12</v>
      </c>
      <c r="T1699">
        <v>0</v>
      </c>
      <c r="U1699">
        <v>621.79</v>
      </c>
    </row>
    <row r="1700" spans="1:21" x14ac:dyDescent="0.35">
      <c r="A1700">
        <v>2025</v>
      </c>
      <c r="B1700">
        <v>10</v>
      </c>
      <c r="C1700">
        <v>4</v>
      </c>
      <c r="D1700" s="1">
        <v>45931</v>
      </c>
      <c r="E1700" s="4" t="s">
        <v>30</v>
      </c>
      <c r="F1700" s="4" t="s">
        <v>28</v>
      </c>
      <c r="G1700" s="4" t="s">
        <v>108</v>
      </c>
      <c r="H1700">
        <v>55</v>
      </c>
      <c r="I1700">
        <v>88</v>
      </c>
      <c r="J1700">
        <v>0</v>
      </c>
      <c r="K1700">
        <v>88</v>
      </c>
      <c r="L1700">
        <v>52816.2</v>
      </c>
      <c r="M1700">
        <v>0</v>
      </c>
      <c r="N1700">
        <v>52816.2</v>
      </c>
      <c r="O1700">
        <v>18942</v>
      </c>
      <c r="P1700">
        <v>33874.199999999997</v>
      </c>
      <c r="Q1700">
        <v>0.64139999999999997</v>
      </c>
      <c r="R1700">
        <v>7</v>
      </c>
      <c r="S1700">
        <v>6076.2</v>
      </c>
      <c r="T1700">
        <v>0</v>
      </c>
      <c r="U1700">
        <v>960.29</v>
      </c>
    </row>
    <row r="1701" spans="1:21" x14ac:dyDescent="0.35">
      <c r="A1701">
        <v>2025</v>
      </c>
      <c r="B1701">
        <v>10</v>
      </c>
      <c r="C1701">
        <v>4</v>
      </c>
      <c r="D1701" s="1">
        <v>45931</v>
      </c>
      <c r="E1701" s="4" t="s">
        <v>30</v>
      </c>
      <c r="F1701" s="4" t="s">
        <v>28</v>
      </c>
      <c r="G1701" s="4" t="s">
        <v>109</v>
      </c>
      <c r="H1701">
        <v>776</v>
      </c>
      <c r="I1701">
        <v>1206</v>
      </c>
      <c r="J1701">
        <v>0</v>
      </c>
      <c r="K1701">
        <v>1206</v>
      </c>
      <c r="L1701">
        <v>487137.59</v>
      </c>
      <c r="M1701">
        <v>0</v>
      </c>
      <c r="N1701">
        <v>487137.59</v>
      </c>
      <c r="O1701">
        <v>176529.5</v>
      </c>
      <c r="P1701">
        <v>310608.09000000003</v>
      </c>
      <c r="Q1701">
        <v>0.63759999999999994</v>
      </c>
      <c r="R1701">
        <v>99</v>
      </c>
      <c r="S1701">
        <v>73134.45</v>
      </c>
      <c r="T1701">
        <v>0</v>
      </c>
      <c r="U1701">
        <v>627.75</v>
      </c>
    </row>
    <row r="1702" spans="1:21" x14ac:dyDescent="0.35">
      <c r="A1702">
        <v>2025</v>
      </c>
      <c r="B1702">
        <v>10</v>
      </c>
      <c r="C1702">
        <v>4</v>
      </c>
      <c r="D1702" s="1">
        <v>45931</v>
      </c>
      <c r="E1702" s="4" t="s">
        <v>30</v>
      </c>
      <c r="F1702" s="4" t="s">
        <v>24</v>
      </c>
      <c r="G1702" s="4" t="s">
        <v>107</v>
      </c>
      <c r="H1702">
        <v>74</v>
      </c>
      <c r="I1702">
        <v>108</v>
      </c>
      <c r="J1702">
        <v>1</v>
      </c>
      <c r="K1702">
        <v>107</v>
      </c>
      <c r="L1702">
        <v>197472.55</v>
      </c>
      <c r="M1702">
        <v>2289</v>
      </c>
      <c r="N1702">
        <v>195183.55</v>
      </c>
      <c r="O1702">
        <v>112443.65</v>
      </c>
      <c r="P1702">
        <v>82739.899999999994</v>
      </c>
      <c r="Q1702">
        <v>0.4239</v>
      </c>
      <c r="R1702">
        <v>11</v>
      </c>
      <c r="S1702">
        <v>40719.550000000003</v>
      </c>
      <c r="T1702">
        <v>0</v>
      </c>
      <c r="U1702">
        <v>2637.62</v>
      </c>
    </row>
    <row r="1703" spans="1:21" x14ac:dyDescent="0.35">
      <c r="A1703">
        <v>2025</v>
      </c>
      <c r="B1703">
        <v>10</v>
      </c>
      <c r="C1703">
        <v>4</v>
      </c>
      <c r="D1703" s="1">
        <v>45931</v>
      </c>
      <c r="E1703" s="4" t="s">
        <v>30</v>
      </c>
      <c r="F1703" s="4" t="s">
        <v>24</v>
      </c>
      <c r="G1703" s="4" t="s">
        <v>108</v>
      </c>
      <c r="H1703">
        <v>5</v>
      </c>
      <c r="I1703">
        <v>7</v>
      </c>
      <c r="J1703">
        <v>0</v>
      </c>
      <c r="K1703">
        <v>7</v>
      </c>
      <c r="L1703">
        <v>15610.32</v>
      </c>
      <c r="M1703">
        <v>0</v>
      </c>
      <c r="N1703">
        <v>15610.32</v>
      </c>
      <c r="O1703">
        <v>9274.65</v>
      </c>
      <c r="P1703">
        <v>6335.67</v>
      </c>
      <c r="Q1703">
        <v>0.40589999999999998</v>
      </c>
      <c r="R1703">
        <v>1</v>
      </c>
      <c r="S1703">
        <v>3565.32</v>
      </c>
      <c r="T1703">
        <v>0</v>
      </c>
      <c r="U1703">
        <v>3122.06</v>
      </c>
    </row>
    <row r="1704" spans="1:21" x14ac:dyDescent="0.35">
      <c r="A1704">
        <v>2025</v>
      </c>
      <c r="B1704">
        <v>10</v>
      </c>
      <c r="C1704">
        <v>4</v>
      </c>
      <c r="D1704" s="1">
        <v>45931</v>
      </c>
      <c r="E1704" s="4" t="s">
        <v>30</v>
      </c>
      <c r="F1704" s="4" t="s">
        <v>24</v>
      </c>
      <c r="G1704" s="4" t="s">
        <v>109</v>
      </c>
      <c r="H1704">
        <v>259</v>
      </c>
      <c r="I1704">
        <v>403</v>
      </c>
      <c r="J1704">
        <v>8</v>
      </c>
      <c r="K1704">
        <v>395</v>
      </c>
      <c r="L1704">
        <v>716764.51</v>
      </c>
      <c r="M1704">
        <v>14071.36</v>
      </c>
      <c r="N1704">
        <v>702693.15</v>
      </c>
      <c r="O1704">
        <v>403937.6</v>
      </c>
      <c r="P1704">
        <v>298755.55</v>
      </c>
      <c r="Q1704">
        <v>0.42520000000000002</v>
      </c>
      <c r="R1704">
        <v>37</v>
      </c>
      <c r="S1704">
        <v>121853.15</v>
      </c>
      <c r="T1704">
        <v>0</v>
      </c>
      <c r="U1704">
        <v>2713.1</v>
      </c>
    </row>
    <row r="1705" spans="1:21" x14ac:dyDescent="0.35">
      <c r="A1705">
        <v>2025</v>
      </c>
      <c r="B1705">
        <v>10</v>
      </c>
      <c r="C1705">
        <v>4</v>
      </c>
      <c r="D1705" s="1">
        <v>45931</v>
      </c>
      <c r="E1705" s="4" t="s">
        <v>30</v>
      </c>
      <c r="F1705" s="4" t="s">
        <v>26</v>
      </c>
      <c r="G1705" s="4" t="s">
        <v>107</v>
      </c>
      <c r="H1705">
        <v>5</v>
      </c>
      <c r="I1705">
        <v>10</v>
      </c>
      <c r="J1705">
        <v>3</v>
      </c>
      <c r="K1705">
        <v>7</v>
      </c>
      <c r="L1705">
        <v>8901.34</v>
      </c>
      <c r="M1705">
        <v>2724</v>
      </c>
      <c r="N1705">
        <v>6177.34</v>
      </c>
      <c r="O1705">
        <v>3853.2</v>
      </c>
      <c r="P1705">
        <v>2324.14</v>
      </c>
      <c r="Q1705">
        <v>0.37619999999999998</v>
      </c>
      <c r="R1705">
        <v>1</v>
      </c>
      <c r="S1705">
        <v>1637.34</v>
      </c>
      <c r="T1705">
        <v>0</v>
      </c>
      <c r="U1705">
        <v>1235.47</v>
      </c>
    </row>
    <row r="1706" spans="1:21" x14ac:dyDescent="0.35">
      <c r="A1706">
        <v>2025</v>
      </c>
      <c r="B1706">
        <v>10</v>
      </c>
      <c r="C1706">
        <v>4</v>
      </c>
      <c r="D1706" s="1">
        <v>45931</v>
      </c>
      <c r="E1706" s="4" t="s">
        <v>30</v>
      </c>
      <c r="F1706" s="4" t="s">
        <v>26</v>
      </c>
      <c r="G1706" s="4" t="s">
        <v>109</v>
      </c>
      <c r="H1706">
        <v>60</v>
      </c>
      <c r="I1706">
        <v>75</v>
      </c>
      <c r="J1706">
        <v>0</v>
      </c>
      <c r="K1706">
        <v>75</v>
      </c>
      <c r="L1706">
        <v>59353.05</v>
      </c>
      <c r="M1706">
        <v>0</v>
      </c>
      <c r="N1706">
        <v>59353.05</v>
      </c>
      <c r="O1706">
        <v>36367.800000000003</v>
      </c>
      <c r="P1706">
        <v>22985.25</v>
      </c>
      <c r="Q1706">
        <v>0.38729999999999998</v>
      </c>
      <c r="R1706">
        <v>5</v>
      </c>
      <c r="S1706">
        <v>6718.05</v>
      </c>
      <c r="T1706">
        <v>0</v>
      </c>
      <c r="U1706">
        <v>989.22</v>
      </c>
    </row>
    <row r="1707" spans="1:21" x14ac:dyDescent="0.35">
      <c r="A1707">
        <v>2025</v>
      </c>
      <c r="B1707">
        <v>10</v>
      </c>
      <c r="C1707">
        <v>4</v>
      </c>
      <c r="D1707" s="1">
        <v>45931</v>
      </c>
      <c r="E1707" s="4" t="s">
        <v>78</v>
      </c>
      <c r="F1707" s="4" t="s">
        <v>78</v>
      </c>
      <c r="G1707" s="4" t="s">
        <v>110</v>
      </c>
      <c r="H1707">
        <v>272</v>
      </c>
      <c r="I1707">
        <v>391</v>
      </c>
      <c r="J1707">
        <v>0</v>
      </c>
      <c r="K1707">
        <v>391</v>
      </c>
      <c r="L1707">
        <v>953211</v>
      </c>
      <c r="M1707">
        <v>0</v>
      </c>
      <c r="N1707">
        <v>953211</v>
      </c>
      <c r="O1707">
        <v>142981.65</v>
      </c>
      <c r="P1707">
        <v>810229.35</v>
      </c>
      <c r="Q1707">
        <v>0.85</v>
      </c>
      <c r="R1707">
        <v>2</v>
      </c>
      <c r="S1707">
        <v>12369</v>
      </c>
      <c r="T1707">
        <v>0</v>
      </c>
      <c r="U1707">
        <v>3504.45</v>
      </c>
    </row>
    <row r="1708" spans="1:21" x14ac:dyDescent="0.35">
      <c r="A1708">
        <v>2025</v>
      </c>
      <c r="B1708">
        <v>11</v>
      </c>
      <c r="C1708">
        <v>4</v>
      </c>
      <c r="D1708" s="1">
        <v>45962</v>
      </c>
      <c r="E1708" s="4" t="s">
        <v>33</v>
      </c>
      <c r="F1708" s="4" t="s">
        <v>28</v>
      </c>
      <c r="G1708" s="4" t="s">
        <v>107</v>
      </c>
      <c r="H1708">
        <v>129</v>
      </c>
      <c r="I1708">
        <v>203</v>
      </c>
      <c r="J1708">
        <v>0</v>
      </c>
      <c r="K1708">
        <v>203</v>
      </c>
      <c r="L1708">
        <v>63213.66</v>
      </c>
      <c r="M1708">
        <v>0</v>
      </c>
      <c r="N1708">
        <v>63213.66</v>
      </c>
      <c r="O1708">
        <v>23251.200000000001</v>
      </c>
      <c r="P1708">
        <v>39962.46</v>
      </c>
      <c r="Q1708">
        <v>0.63219999999999998</v>
      </c>
      <c r="R1708">
        <v>20</v>
      </c>
      <c r="S1708">
        <v>11544.66</v>
      </c>
      <c r="T1708">
        <v>0</v>
      </c>
      <c r="U1708">
        <v>490.03</v>
      </c>
    </row>
    <row r="1709" spans="1:21" x14ac:dyDescent="0.35">
      <c r="A1709">
        <v>2025</v>
      </c>
      <c r="B1709">
        <v>11</v>
      </c>
      <c r="C1709">
        <v>4</v>
      </c>
      <c r="D1709" s="1">
        <v>45962</v>
      </c>
      <c r="E1709" s="4" t="s">
        <v>33</v>
      </c>
      <c r="F1709" s="4" t="s">
        <v>28</v>
      </c>
      <c r="G1709" s="4" t="s">
        <v>108</v>
      </c>
      <c r="H1709">
        <v>50</v>
      </c>
      <c r="I1709">
        <v>70</v>
      </c>
      <c r="J1709">
        <v>0</v>
      </c>
      <c r="K1709">
        <v>70</v>
      </c>
      <c r="L1709">
        <v>48743.519999999997</v>
      </c>
      <c r="M1709">
        <v>0</v>
      </c>
      <c r="N1709">
        <v>48743.519999999997</v>
      </c>
      <c r="O1709">
        <v>17444</v>
      </c>
      <c r="P1709">
        <v>31299.52</v>
      </c>
      <c r="Q1709">
        <v>0.6421</v>
      </c>
      <c r="R1709">
        <v>5</v>
      </c>
      <c r="S1709">
        <v>4599.5200000000004</v>
      </c>
      <c r="T1709">
        <v>0</v>
      </c>
      <c r="U1709">
        <v>974.87</v>
      </c>
    </row>
    <row r="1710" spans="1:21" x14ac:dyDescent="0.35">
      <c r="A1710">
        <v>2025</v>
      </c>
      <c r="B1710">
        <v>11</v>
      </c>
      <c r="C1710">
        <v>4</v>
      </c>
      <c r="D1710" s="1">
        <v>45962</v>
      </c>
      <c r="E1710" s="4" t="s">
        <v>33</v>
      </c>
      <c r="F1710" s="4" t="s">
        <v>28</v>
      </c>
      <c r="G1710" s="4" t="s">
        <v>109</v>
      </c>
      <c r="H1710">
        <v>767</v>
      </c>
      <c r="I1710">
        <v>1150</v>
      </c>
      <c r="J1710">
        <v>0</v>
      </c>
      <c r="K1710">
        <v>1150</v>
      </c>
      <c r="L1710">
        <v>599971.07999999996</v>
      </c>
      <c r="M1710">
        <v>0</v>
      </c>
      <c r="N1710">
        <v>599971.07999999996</v>
      </c>
      <c r="O1710">
        <v>215878.25</v>
      </c>
      <c r="P1710">
        <v>384092.83</v>
      </c>
      <c r="Q1710">
        <v>0.64019999999999999</v>
      </c>
      <c r="R1710">
        <v>85</v>
      </c>
      <c r="S1710">
        <v>71330.080000000002</v>
      </c>
      <c r="T1710">
        <v>0</v>
      </c>
      <c r="U1710">
        <v>782.23</v>
      </c>
    </row>
    <row r="1711" spans="1:21" x14ac:dyDescent="0.35">
      <c r="A1711">
        <v>2025</v>
      </c>
      <c r="B1711">
        <v>11</v>
      </c>
      <c r="C1711">
        <v>4</v>
      </c>
      <c r="D1711" s="1">
        <v>45962</v>
      </c>
      <c r="E1711" s="4" t="s">
        <v>33</v>
      </c>
      <c r="F1711" s="4" t="s">
        <v>35</v>
      </c>
      <c r="G1711" s="4" t="s">
        <v>108</v>
      </c>
      <c r="H1711">
        <v>1</v>
      </c>
      <c r="I1711">
        <v>1</v>
      </c>
      <c r="J1711">
        <v>0</v>
      </c>
      <c r="K1711">
        <v>1</v>
      </c>
      <c r="L1711">
        <v>155</v>
      </c>
      <c r="M1711">
        <v>0</v>
      </c>
      <c r="N1711">
        <v>155</v>
      </c>
      <c r="O1711">
        <v>31</v>
      </c>
      <c r="P1711">
        <v>124</v>
      </c>
      <c r="Q1711">
        <v>0.8</v>
      </c>
      <c r="R1711">
        <v>0</v>
      </c>
      <c r="S1711">
        <v>0</v>
      </c>
      <c r="T1711">
        <v>0</v>
      </c>
      <c r="U1711">
        <v>155</v>
      </c>
    </row>
    <row r="1712" spans="1:21" x14ac:dyDescent="0.35">
      <c r="A1712">
        <v>2025</v>
      </c>
      <c r="B1712">
        <v>11</v>
      </c>
      <c r="C1712">
        <v>4</v>
      </c>
      <c r="D1712" s="1">
        <v>45962</v>
      </c>
      <c r="E1712" s="4" t="s">
        <v>33</v>
      </c>
      <c r="F1712" s="4" t="s">
        <v>24</v>
      </c>
      <c r="G1712" s="4" t="s">
        <v>107</v>
      </c>
      <c r="H1712">
        <v>13</v>
      </c>
      <c r="I1712">
        <v>24</v>
      </c>
      <c r="J1712">
        <v>4</v>
      </c>
      <c r="K1712">
        <v>20</v>
      </c>
      <c r="L1712">
        <v>34237.85</v>
      </c>
      <c r="M1712">
        <v>3627</v>
      </c>
      <c r="N1712">
        <v>30610.85</v>
      </c>
      <c r="O1712">
        <v>18206.650000000001</v>
      </c>
      <c r="P1712">
        <v>12404.2</v>
      </c>
      <c r="Q1712">
        <v>0.4052</v>
      </c>
      <c r="R1712">
        <v>3</v>
      </c>
      <c r="S1712">
        <v>11032.85</v>
      </c>
      <c r="T1712">
        <v>0</v>
      </c>
      <c r="U1712">
        <v>2354.6799999999998</v>
      </c>
    </row>
    <row r="1713" spans="1:21" x14ac:dyDescent="0.35">
      <c r="A1713">
        <v>2025</v>
      </c>
      <c r="B1713">
        <v>11</v>
      </c>
      <c r="C1713">
        <v>4</v>
      </c>
      <c r="D1713" s="1">
        <v>45962</v>
      </c>
      <c r="E1713" s="4" t="s">
        <v>33</v>
      </c>
      <c r="F1713" s="4" t="s">
        <v>24</v>
      </c>
      <c r="G1713" s="4" t="s">
        <v>109</v>
      </c>
      <c r="H1713">
        <v>176</v>
      </c>
      <c r="I1713">
        <v>261</v>
      </c>
      <c r="J1713">
        <v>4</v>
      </c>
      <c r="K1713">
        <v>257</v>
      </c>
      <c r="L1713">
        <v>404743.17</v>
      </c>
      <c r="M1713">
        <v>5082</v>
      </c>
      <c r="N1713">
        <v>399661.17</v>
      </c>
      <c r="O1713">
        <v>227634.55</v>
      </c>
      <c r="P1713">
        <v>172026.62</v>
      </c>
      <c r="Q1713">
        <v>0.4304</v>
      </c>
      <c r="R1713">
        <v>18</v>
      </c>
      <c r="S1713">
        <v>44757.17</v>
      </c>
      <c r="T1713">
        <v>0</v>
      </c>
      <c r="U1713">
        <v>2270.8000000000002</v>
      </c>
    </row>
    <row r="1714" spans="1:21" x14ac:dyDescent="0.35">
      <c r="A1714">
        <v>2025</v>
      </c>
      <c r="B1714">
        <v>11</v>
      </c>
      <c r="C1714">
        <v>4</v>
      </c>
      <c r="D1714" s="1">
        <v>45962</v>
      </c>
      <c r="E1714" s="4" t="s">
        <v>33</v>
      </c>
      <c r="F1714" s="4" t="s">
        <v>26</v>
      </c>
      <c r="G1714" s="4" t="s">
        <v>107</v>
      </c>
      <c r="H1714">
        <v>6</v>
      </c>
      <c r="I1714">
        <v>8</v>
      </c>
      <c r="J1714">
        <v>0</v>
      </c>
      <c r="K1714">
        <v>8</v>
      </c>
      <c r="L1714">
        <v>5091</v>
      </c>
      <c r="M1714">
        <v>0</v>
      </c>
      <c r="N1714">
        <v>5091</v>
      </c>
      <c r="O1714">
        <v>3054.6</v>
      </c>
      <c r="P1714">
        <v>2036.4</v>
      </c>
      <c r="Q1714">
        <v>0.4</v>
      </c>
      <c r="R1714">
        <v>0</v>
      </c>
      <c r="S1714">
        <v>0</v>
      </c>
      <c r="T1714">
        <v>0</v>
      </c>
      <c r="U1714">
        <v>848.5</v>
      </c>
    </row>
    <row r="1715" spans="1:21" x14ac:dyDescent="0.35">
      <c r="A1715">
        <v>2025</v>
      </c>
      <c r="B1715">
        <v>11</v>
      </c>
      <c r="C1715">
        <v>4</v>
      </c>
      <c r="D1715" s="1">
        <v>45962</v>
      </c>
      <c r="E1715" s="4" t="s">
        <v>33</v>
      </c>
      <c r="F1715" s="4" t="s">
        <v>26</v>
      </c>
      <c r="G1715" s="4" t="s">
        <v>108</v>
      </c>
      <c r="H1715">
        <v>9</v>
      </c>
      <c r="I1715">
        <v>15</v>
      </c>
      <c r="J1715">
        <v>0</v>
      </c>
      <c r="K1715">
        <v>15</v>
      </c>
      <c r="L1715">
        <v>12323</v>
      </c>
      <c r="M1715">
        <v>0</v>
      </c>
      <c r="N1715">
        <v>12323</v>
      </c>
      <c r="O1715">
        <v>7561.8</v>
      </c>
      <c r="P1715">
        <v>4761.2</v>
      </c>
      <c r="Q1715">
        <v>0.38640000000000002</v>
      </c>
      <c r="R1715">
        <v>1</v>
      </c>
      <c r="S1715">
        <v>3220</v>
      </c>
      <c r="T1715">
        <v>0</v>
      </c>
      <c r="U1715">
        <v>1369.22</v>
      </c>
    </row>
    <row r="1716" spans="1:21" x14ac:dyDescent="0.35">
      <c r="A1716">
        <v>2025</v>
      </c>
      <c r="B1716">
        <v>11</v>
      </c>
      <c r="C1716">
        <v>4</v>
      </c>
      <c r="D1716" s="1">
        <v>45962</v>
      </c>
      <c r="E1716" s="4" t="s">
        <v>33</v>
      </c>
      <c r="F1716" s="4" t="s">
        <v>26</v>
      </c>
      <c r="G1716" s="4" t="s">
        <v>109</v>
      </c>
      <c r="H1716">
        <v>45</v>
      </c>
      <c r="I1716">
        <v>70</v>
      </c>
      <c r="J1716">
        <v>0</v>
      </c>
      <c r="K1716">
        <v>70</v>
      </c>
      <c r="L1716">
        <v>51845.68</v>
      </c>
      <c r="M1716">
        <v>0</v>
      </c>
      <c r="N1716">
        <v>51845.68</v>
      </c>
      <c r="O1716">
        <v>32212.2</v>
      </c>
      <c r="P1716">
        <v>19633.48</v>
      </c>
      <c r="Q1716">
        <v>0.37869999999999998</v>
      </c>
      <c r="R1716">
        <v>7</v>
      </c>
      <c r="S1716">
        <v>11179.68</v>
      </c>
      <c r="T1716">
        <v>0</v>
      </c>
      <c r="U1716">
        <v>1152.1300000000001</v>
      </c>
    </row>
    <row r="1717" spans="1:21" x14ac:dyDescent="0.35">
      <c r="A1717">
        <v>2025</v>
      </c>
      <c r="B1717">
        <v>11</v>
      </c>
      <c r="C1717">
        <v>4</v>
      </c>
      <c r="D1717" s="1">
        <v>45962</v>
      </c>
      <c r="E1717" s="4" t="s">
        <v>32</v>
      </c>
      <c r="F1717" s="4" t="s">
        <v>28</v>
      </c>
      <c r="G1717" s="4" t="s">
        <v>107</v>
      </c>
      <c r="H1717">
        <v>19</v>
      </c>
      <c r="I1717">
        <v>27</v>
      </c>
      <c r="J1717">
        <v>0</v>
      </c>
      <c r="K1717">
        <v>27</v>
      </c>
      <c r="L1717">
        <v>12158.12</v>
      </c>
      <c r="M1717">
        <v>0</v>
      </c>
      <c r="N1717">
        <v>12158.12</v>
      </c>
      <c r="O1717">
        <v>4290.3</v>
      </c>
      <c r="P1717">
        <v>7867.82</v>
      </c>
      <c r="Q1717">
        <v>0.64710000000000001</v>
      </c>
      <c r="R1717">
        <v>1</v>
      </c>
      <c r="S1717">
        <v>808.12</v>
      </c>
      <c r="T1717">
        <v>0</v>
      </c>
      <c r="U1717">
        <v>639.9</v>
      </c>
    </row>
    <row r="1718" spans="1:21" x14ac:dyDescent="0.35">
      <c r="A1718">
        <v>2025</v>
      </c>
      <c r="B1718">
        <v>11</v>
      </c>
      <c r="C1718">
        <v>4</v>
      </c>
      <c r="D1718" s="1">
        <v>45962</v>
      </c>
      <c r="E1718" s="4" t="s">
        <v>32</v>
      </c>
      <c r="F1718" s="4" t="s">
        <v>28</v>
      </c>
      <c r="G1718" s="4" t="s">
        <v>109</v>
      </c>
      <c r="H1718">
        <v>526</v>
      </c>
      <c r="I1718">
        <v>820</v>
      </c>
      <c r="J1718">
        <v>0</v>
      </c>
      <c r="K1718">
        <v>820</v>
      </c>
      <c r="L1718">
        <v>291656.75</v>
      </c>
      <c r="M1718">
        <v>0</v>
      </c>
      <c r="N1718">
        <v>291656.75</v>
      </c>
      <c r="O1718">
        <v>106422.05</v>
      </c>
      <c r="P1718">
        <v>185234.7</v>
      </c>
      <c r="Q1718">
        <v>0.6351</v>
      </c>
      <c r="R1718">
        <v>80</v>
      </c>
      <c r="S1718">
        <v>54570.43</v>
      </c>
      <c r="T1718">
        <v>0</v>
      </c>
      <c r="U1718">
        <v>554.48</v>
      </c>
    </row>
    <row r="1719" spans="1:21" x14ac:dyDescent="0.35">
      <c r="A1719">
        <v>2025</v>
      </c>
      <c r="B1719">
        <v>11</v>
      </c>
      <c r="C1719">
        <v>4</v>
      </c>
      <c r="D1719" s="1">
        <v>45962</v>
      </c>
      <c r="E1719" s="4" t="s">
        <v>32</v>
      </c>
      <c r="F1719" s="4" t="s">
        <v>24</v>
      </c>
      <c r="G1719" s="4" t="s">
        <v>107</v>
      </c>
      <c r="H1719">
        <v>58</v>
      </c>
      <c r="I1719">
        <v>82</v>
      </c>
      <c r="J1719">
        <v>1</v>
      </c>
      <c r="K1719">
        <v>81</v>
      </c>
      <c r="L1719">
        <v>113216.73</v>
      </c>
      <c r="M1719">
        <v>1584</v>
      </c>
      <c r="N1719">
        <v>111632.73</v>
      </c>
      <c r="O1719">
        <v>63958.95</v>
      </c>
      <c r="P1719">
        <v>47673.78</v>
      </c>
      <c r="Q1719">
        <v>0.42709999999999998</v>
      </c>
      <c r="R1719">
        <v>6</v>
      </c>
      <c r="S1719">
        <v>19736.73</v>
      </c>
      <c r="T1719">
        <v>0</v>
      </c>
      <c r="U1719">
        <v>1924.7</v>
      </c>
    </row>
    <row r="1720" spans="1:21" x14ac:dyDescent="0.35">
      <c r="A1720">
        <v>2025</v>
      </c>
      <c r="B1720">
        <v>11</v>
      </c>
      <c r="C1720">
        <v>4</v>
      </c>
      <c r="D1720" s="1">
        <v>45962</v>
      </c>
      <c r="E1720" s="4" t="s">
        <v>32</v>
      </c>
      <c r="F1720" s="4" t="s">
        <v>24</v>
      </c>
      <c r="G1720" s="4" t="s">
        <v>109</v>
      </c>
      <c r="H1720">
        <v>188</v>
      </c>
      <c r="I1720">
        <v>298</v>
      </c>
      <c r="J1720">
        <v>3</v>
      </c>
      <c r="K1720">
        <v>295</v>
      </c>
      <c r="L1720">
        <v>360236.17</v>
      </c>
      <c r="M1720">
        <v>4868</v>
      </c>
      <c r="N1720">
        <v>355368.17</v>
      </c>
      <c r="O1720">
        <v>203016</v>
      </c>
      <c r="P1720">
        <v>152352.17000000001</v>
      </c>
      <c r="Q1720">
        <v>0.42870000000000003</v>
      </c>
      <c r="R1720">
        <v>23</v>
      </c>
      <c r="S1720">
        <v>53180.17</v>
      </c>
      <c r="T1720">
        <v>0</v>
      </c>
      <c r="U1720">
        <v>1890.26</v>
      </c>
    </row>
    <row r="1721" spans="1:21" x14ac:dyDescent="0.35">
      <c r="A1721">
        <v>2025</v>
      </c>
      <c r="B1721">
        <v>11</v>
      </c>
      <c r="C1721">
        <v>4</v>
      </c>
      <c r="D1721" s="1">
        <v>45962</v>
      </c>
      <c r="E1721" s="4" t="s">
        <v>32</v>
      </c>
      <c r="F1721" s="4" t="s">
        <v>26</v>
      </c>
      <c r="G1721" s="4" t="s">
        <v>108</v>
      </c>
      <c r="H1721">
        <v>5</v>
      </c>
      <c r="I1721">
        <v>7</v>
      </c>
      <c r="J1721">
        <v>0</v>
      </c>
      <c r="K1721">
        <v>7</v>
      </c>
      <c r="L1721">
        <v>2041.2</v>
      </c>
      <c r="M1721">
        <v>0</v>
      </c>
      <c r="N1721">
        <v>2041.2</v>
      </c>
      <c r="O1721">
        <v>1323</v>
      </c>
      <c r="P1721">
        <v>718.2</v>
      </c>
      <c r="Q1721">
        <v>0.35189999999999999</v>
      </c>
      <c r="R1721">
        <v>1</v>
      </c>
      <c r="S1721">
        <v>466.2</v>
      </c>
      <c r="T1721">
        <v>0</v>
      </c>
      <c r="U1721">
        <v>408.24</v>
      </c>
    </row>
    <row r="1722" spans="1:21" x14ac:dyDescent="0.35">
      <c r="A1722">
        <v>2025</v>
      </c>
      <c r="B1722">
        <v>11</v>
      </c>
      <c r="C1722">
        <v>4</v>
      </c>
      <c r="D1722" s="1">
        <v>45962</v>
      </c>
      <c r="E1722" s="4" t="s">
        <v>32</v>
      </c>
      <c r="F1722" s="4" t="s">
        <v>26</v>
      </c>
      <c r="G1722" s="4" t="s">
        <v>109</v>
      </c>
      <c r="H1722">
        <v>53</v>
      </c>
      <c r="I1722">
        <v>76</v>
      </c>
      <c r="J1722">
        <v>2</v>
      </c>
      <c r="K1722">
        <v>74</v>
      </c>
      <c r="L1722">
        <v>51991.519999999997</v>
      </c>
      <c r="M1722">
        <v>1860</v>
      </c>
      <c r="N1722">
        <v>50131.519999999997</v>
      </c>
      <c r="O1722">
        <v>30877.8</v>
      </c>
      <c r="P1722">
        <v>19253.72</v>
      </c>
      <c r="Q1722">
        <v>0.3841</v>
      </c>
      <c r="R1722">
        <v>5</v>
      </c>
      <c r="S1722">
        <v>6658.52</v>
      </c>
      <c r="T1722">
        <v>0</v>
      </c>
      <c r="U1722">
        <v>945.88</v>
      </c>
    </row>
    <row r="1723" spans="1:21" x14ac:dyDescent="0.35">
      <c r="A1723">
        <v>2025</v>
      </c>
      <c r="B1723">
        <v>11</v>
      </c>
      <c r="C1723">
        <v>4</v>
      </c>
      <c r="D1723" s="1">
        <v>45962</v>
      </c>
      <c r="E1723" s="4" t="s">
        <v>27</v>
      </c>
      <c r="F1723" s="4" t="s">
        <v>28</v>
      </c>
      <c r="G1723" s="4" t="s">
        <v>107</v>
      </c>
      <c r="H1723">
        <v>309</v>
      </c>
      <c r="I1723">
        <v>474</v>
      </c>
      <c r="J1723">
        <v>0</v>
      </c>
      <c r="K1723">
        <v>474</v>
      </c>
      <c r="L1723">
        <v>207889.04</v>
      </c>
      <c r="M1723">
        <v>0</v>
      </c>
      <c r="N1723">
        <v>207889.04</v>
      </c>
      <c r="O1723">
        <v>76167.350000000006</v>
      </c>
      <c r="P1723">
        <v>131721.69</v>
      </c>
      <c r="Q1723">
        <v>0.63360000000000005</v>
      </c>
      <c r="R1723">
        <v>43</v>
      </c>
      <c r="S1723">
        <v>38300.06</v>
      </c>
      <c r="T1723">
        <v>0</v>
      </c>
      <c r="U1723">
        <v>672.78</v>
      </c>
    </row>
    <row r="1724" spans="1:21" x14ac:dyDescent="0.35">
      <c r="A1724">
        <v>2025</v>
      </c>
      <c r="B1724">
        <v>11</v>
      </c>
      <c r="C1724">
        <v>4</v>
      </c>
      <c r="D1724" s="1">
        <v>45962</v>
      </c>
      <c r="E1724" s="4" t="s">
        <v>27</v>
      </c>
      <c r="F1724" s="4" t="s">
        <v>28</v>
      </c>
      <c r="G1724" s="4" t="s">
        <v>109</v>
      </c>
      <c r="H1724">
        <v>767</v>
      </c>
      <c r="I1724">
        <v>1187</v>
      </c>
      <c r="J1724">
        <v>0</v>
      </c>
      <c r="K1724">
        <v>1187</v>
      </c>
      <c r="L1724">
        <v>627796.56000000006</v>
      </c>
      <c r="M1724">
        <v>0</v>
      </c>
      <c r="N1724">
        <v>627796.56000000006</v>
      </c>
      <c r="O1724">
        <v>228236.75</v>
      </c>
      <c r="P1724">
        <v>399559.81</v>
      </c>
      <c r="Q1724">
        <v>0.63639999999999997</v>
      </c>
      <c r="R1724">
        <v>99</v>
      </c>
      <c r="S1724">
        <v>99449.09</v>
      </c>
      <c r="T1724">
        <v>0</v>
      </c>
      <c r="U1724">
        <v>818.51</v>
      </c>
    </row>
    <row r="1725" spans="1:21" x14ac:dyDescent="0.35">
      <c r="A1725">
        <v>2025</v>
      </c>
      <c r="B1725">
        <v>11</v>
      </c>
      <c r="C1725">
        <v>4</v>
      </c>
      <c r="D1725" s="1">
        <v>45962</v>
      </c>
      <c r="E1725" s="4" t="s">
        <v>27</v>
      </c>
      <c r="F1725" s="4" t="s">
        <v>24</v>
      </c>
      <c r="G1725" s="4" t="s">
        <v>107</v>
      </c>
      <c r="H1725">
        <v>58</v>
      </c>
      <c r="I1725">
        <v>98</v>
      </c>
      <c r="J1725">
        <v>1</v>
      </c>
      <c r="K1725">
        <v>97</v>
      </c>
      <c r="L1725">
        <v>171279.06</v>
      </c>
      <c r="M1725">
        <v>1614</v>
      </c>
      <c r="N1725">
        <v>169665.06</v>
      </c>
      <c r="O1725">
        <v>101362.8</v>
      </c>
      <c r="P1725">
        <v>68302.259999999995</v>
      </c>
      <c r="Q1725">
        <v>0.40260000000000001</v>
      </c>
      <c r="R1725">
        <v>13</v>
      </c>
      <c r="S1725">
        <v>50890.06</v>
      </c>
      <c r="T1725">
        <v>0</v>
      </c>
      <c r="U1725">
        <v>2925.26</v>
      </c>
    </row>
    <row r="1726" spans="1:21" x14ac:dyDescent="0.35">
      <c r="A1726">
        <v>2025</v>
      </c>
      <c r="B1726">
        <v>11</v>
      </c>
      <c r="C1726">
        <v>4</v>
      </c>
      <c r="D1726" s="1">
        <v>45962</v>
      </c>
      <c r="E1726" s="4" t="s">
        <v>27</v>
      </c>
      <c r="F1726" s="4" t="s">
        <v>24</v>
      </c>
      <c r="G1726" s="4" t="s">
        <v>109</v>
      </c>
      <c r="H1726">
        <v>246</v>
      </c>
      <c r="I1726">
        <v>377</v>
      </c>
      <c r="J1726">
        <v>10</v>
      </c>
      <c r="K1726">
        <v>367</v>
      </c>
      <c r="L1726">
        <v>597386.67000000004</v>
      </c>
      <c r="M1726">
        <v>17819</v>
      </c>
      <c r="N1726">
        <v>579567.67000000004</v>
      </c>
      <c r="O1726">
        <v>334716.79999999999</v>
      </c>
      <c r="P1726">
        <v>244850.87</v>
      </c>
      <c r="Q1726">
        <v>0.42249999999999999</v>
      </c>
      <c r="R1726">
        <v>37</v>
      </c>
      <c r="S1726">
        <v>101342.58</v>
      </c>
      <c r="T1726">
        <v>0</v>
      </c>
      <c r="U1726">
        <v>2355.9699999999998</v>
      </c>
    </row>
    <row r="1727" spans="1:21" x14ac:dyDescent="0.35">
      <c r="A1727">
        <v>2025</v>
      </c>
      <c r="B1727">
        <v>11</v>
      </c>
      <c r="C1727">
        <v>4</v>
      </c>
      <c r="D1727" s="1">
        <v>45962</v>
      </c>
      <c r="E1727" s="4" t="s">
        <v>27</v>
      </c>
      <c r="F1727" s="4" t="s">
        <v>26</v>
      </c>
      <c r="G1727" s="4" t="s">
        <v>107</v>
      </c>
      <c r="H1727">
        <v>10</v>
      </c>
      <c r="I1727">
        <v>18</v>
      </c>
      <c r="J1727">
        <v>0</v>
      </c>
      <c r="K1727">
        <v>18</v>
      </c>
      <c r="L1727">
        <v>19941.099999999999</v>
      </c>
      <c r="M1727">
        <v>0</v>
      </c>
      <c r="N1727">
        <v>19941.099999999999</v>
      </c>
      <c r="O1727">
        <v>12633</v>
      </c>
      <c r="P1727">
        <v>7308.1</v>
      </c>
      <c r="Q1727">
        <v>0.36649999999999999</v>
      </c>
      <c r="R1727">
        <v>2</v>
      </c>
      <c r="S1727">
        <v>3626.1</v>
      </c>
      <c r="T1727">
        <v>0</v>
      </c>
      <c r="U1727">
        <v>1994.11</v>
      </c>
    </row>
    <row r="1728" spans="1:21" x14ac:dyDescent="0.35">
      <c r="A1728">
        <v>2025</v>
      </c>
      <c r="B1728">
        <v>11</v>
      </c>
      <c r="C1728">
        <v>4</v>
      </c>
      <c r="D1728" s="1">
        <v>45962</v>
      </c>
      <c r="E1728" s="4" t="s">
        <v>27</v>
      </c>
      <c r="F1728" s="4" t="s">
        <v>26</v>
      </c>
      <c r="G1728" s="4" t="s">
        <v>109</v>
      </c>
      <c r="H1728">
        <v>41</v>
      </c>
      <c r="I1728">
        <v>62</v>
      </c>
      <c r="J1728">
        <v>0</v>
      </c>
      <c r="K1728">
        <v>62</v>
      </c>
      <c r="L1728">
        <v>36657.14</v>
      </c>
      <c r="M1728">
        <v>0</v>
      </c>
      <c r="N1728">
        <v>36657.14</v>
      </c>
      <c r="O1728">
        <v>22624.2</v>
      </c>
      <c r="P1728">
        <v>14032.94</v>
      </c>
      <c r="Q1728">
        <v>0.38279999999999997</v>
      </c>
      <c r="R1728">
        <v>5</v>
      </c>
      <c r="S1728">
        <v>5644.14</v>
      </c>
      <c r="T1728">
        <v>0</v>
      </c>
      <c r="U1728">
        <v>894.08</v>
      </c>
    </row>
    <row r="1729" spans="1:21" x14ac:dyDescent="0.35">
      <c r="A1729">
        <v>2025</v>
      </c>
      <c r="B1729">
        <v>11</v>
      </c>
      <c r="C1729">
        <v>4</v>
      </c>
      <c r="D1729" s="1">
        <v>45962</v>
      </c>
      <c r="E1729" s="4" t="s">
        <v>34</v>
      </c>
      <c r="F1729" s="4" t="s">
        <v>28</v>
      </c>
      <c r="G1729" s="4" t="s">
        <v>107</v>
      </c>
      <c r="H1729">
        <v>194</v>
      </c>
      <c r="I1729">
        <v>291</v>
      </c>
      <c r="J1729">
        <v>0</v>
      </c>
      <c r="K1729">
        <v>291</v>
      </c>
      <c r="L1729">
        <v>190855.08</v>
      </c>
      <c r="M1729">
        <v>0</v>
      </c>
      <c r="N1729">
        <v>190855.08</v>
      </c>
      <c r="O1729">
        <v>69405.350000000006</v>
      </c>
      <c r="P1729">
        <v>121449.73</v>
      </c>
      <c r="Q1729">
        <v>0.63629999999999998</v>
      </c>
      <c r="R1729">
        <v>22</v>
      </c>
      <c r="S1729">
        <v>25906.080000000002</v>
      </c>
      <c r="T1729">
        <v>0</v>
      </c>
      <c r="U1729">
        <v>983.79</v>
      </c>
    </row>
    <row r="1730" spans="1:21" x14ac:dyDescent="0.35">
      <c r="A1730">
        <v>2025</v>
      </c>
      <c r="B1730">
        <v>11</v>
      </c>
      <c r="C1730">
        <v>4</v>
      </c>
      <c r="D1730" s="1">
        <v>45962</v>
      </c>
      <c r="E1730" s="4" t="s">
        <v>34</v>
      </c>
      <c r="F1730" s="4" t="s">
        <v>28</v>
      </c>
      <c r="G1730" s="4" t="s">
        <v>108</v>
      </c>
      <c r="H1730">
        <v>50</v>
      </c>
      <c r="I1730">
        <v>70</v>
      </c>
      <c r="J1730">
        <v>0</v>
      </c>
      <c r="K1730">
        <v>70</v>
      </c>
      <c r="L1730">
        <v>29193.78</v>
      </c>
      <c r="M1730">
        <v>0</v>
      </c>
      <c r="N1730">
        <v>29193.78</v>
      </c>
      <c r="O1730">
        <v>10437</v>
      </c>
      <c r="P1730">
        <v>18756.78</v>
      </c>
      <c r="Q1730">
        <v>0.64249999999999996</v>
      </c>
      <c r="R1730">
        <v>5</v>
      </c>
      <c r="S1730">
        <v>3207.78</v>
      </c>
      <c r="T1730">
        <v>0</v>
      </c>
      <c r="U1730">
        <v>583.88</v>
      </c>
    </row>
    <row r="1731" spans="1:21" x14ac:dyDescent="0.35">
      <c r="A1731">
        <v>2025</v>
      </c>
      <c r="B1731">
        <v>11</v>
      </c>
      <c r="C1731">
        <v>4</v>
      </c>
      <c r="D1731" s="1">
        <v>45962</v>
      </c>
      <c r="E1731" s="4" t="s">
        <v>34</v>
      </c>
      <c r="F1731" s="4" t="s">
        <v>28</v>
      </c>
      <c r="G1731" s="4" t="s">
        <v>109</v>
      </c>
      <c r="H1731">
        <v>715</v>
      </c>
      <c r="I1731">
        <v>1103</v>
      </c>
      <c r="J1731">
        <v>0</v>
      </c>
      <c r="K1731">
        <v>1103</v>
      </c>
      <c r="L1731">
        <v>532806.82999999996</v>
      </c>
      <c r="M1731">
        <v>0</v>
      </c>
      <c r="N1731">
        <v>532806.82999999996</v>
      </c>
      <c r="O1731">
        <v>193164.65</v>
      </c>
      <c r="P1731">
        <v>339642.18</v>
      </c>
      <c r="Q1731">
        <v>0.63749999999999996</v>
      </c>
      <c r="R1731">
        <v>79</v>
      </c>
      <c r="S1731">
        <v>71492.83</v>
      </c>
      <c r="T1731">
        <v>0</v>
      </c>
      <c r="U1731">
        <v>745.18</v>
      </c>
    </row>
    <row r="1732" spans="1:21" x14ac:dyDescent="0.35">
      <c r="A1732">
        <v>2025</v>
      </c>
      <c r="B1732">
        <v>11</v>
      </c>
      <c r="C1732">
        <v>4</v>
      </c>
      <c r="D1732" s="1">
        <v>45962</v>
      </c>
      <c r="E1732" s="4" t="s">
        <v>34</v>
      </c>
      <c r="F1732" s="4" t="s">
        <v>24</v>
      </c>
      <c r="G1732" s="4" t="s">
        <v>107</v>
      </c>
      <c r="H1732">
        <v>92</v>
      </c>
      <c r="I1732">
        <v>141</v>
      </c>
      <c r="J1732">
        <v>3</v>
      </c>
      <c r="K1732">
        <v>138</v>
      </c>
      <c r="L1732">
        <v>247881.55</v>
      </c>
      <c r="M1732">
        <v>6565</v>
      </c>
      <c r="N1732">
        <v>241316.55</v>
      </c>
      <c r="O1732">
        <v>138515.85</v>
      </c>
      <c r="P1732">
        <v>102800.7</v>
      </c>
      <c r="Q1732">
        <v>0.42599999999999999</v>
      </c>
      <c r="R1732">
        <v>15</v>
      </c>
      <c r="S1732">
        <v>43191.55</v>
      </c>
      <c r="T1732">
        <v>0</v>
      </c>
      <c r="U1732">
        <v>2623.01</v>
      </c>
    </row>
    <row r="1733" spans="1:21" x14ac:dyDescent="0.35">
      <c r="A1733">
        <v>2025</v>
      </c>
      <c r="B1733">
        <v>11</v>
      </c>
      <c r="C1733">
        <v>4</v>
      </c>
      <c r="D1733" s="1">
        <v>45962</v>
      </c>
      <c r="E1733" s="4" t="s">
        <v>34</v>
      </c>
      <c r="F1733" s="4" t="s">
        <v>24</v>
      </c>
      <c r="G1733" s="4" t="s">
        <v>108</v>
      </c>
      <c r="H1733">
        <v>17</v>
      </c>
      <c r="I1733">
        <v>28</v>
      </c>
      <c r="J1733">
        <v>2</v>
      </c>
      <c r="K1733">
        <v>26</v>
      </c>
      <c r="L1733">
        <v>36571.08</v>
      </c>
      <c r="M1733">
        <v>2758</v>
      </c>
      <c r="N1733">
        <v>33813.08</v>
      </c>
      <c r="O1733">
        <v>19719.7</v>
      </c>
      <c r="P1733">
        <v>14093.38</v>
      </c>
      <c r="Q1733">
        <v>0.4168</v>
      </c>
      <c r="R1733">
        <v>3</v>
      </c>
      <c r="S1733">
        <v>4854.08</v>
      </c>
      <c r="T1733">
        <v>0</v>
      </c>
      <c r="U1733">
        <v>1989</v>
      </c>
    </row>
    <row r="1734" spans="1:21" x14ac:dyDescent="0.35">
      <c r="A1734">
        <v>2025</v>
      </c>
      <c r="B1734">
        <v>11</v>
      </c>
      <c r="C1734">
        <v>4</v>
      </c>
      <c r="D1734" s="1">
        <v>45962</v>
      </c>
      <c r="E1734" s="4" t="s">
        <v>34</v>
      </c>
      <c r="F1734" s="4" t="s">
        <v>24</v>
      </c>
      <c r="G1734" s="4" t="s">
        <v>109</v>
      </c>
      <c r="H1734">
        <v>202</v>
      </c>
      <c r="I1734">
        <v>295</v>
      </c>
      <c r="J1734">
        <v>8</v>
      </c>
      <c r="K1734">
        <v>287</v>
      </c>
      <c r="L1734">
        <v>488987.78</v>
      </c>
      <c r="M1734">
        <v>12105.84</v>
      </c>
      <c r="N1734">
        <v>476881.94</v>
      </c>
      <c r="O1734">
        <v>273195.45</v>
      </c>
      <c r="P1734">
        <v>203686.49</v>
      </c>
      <c r="Q1734">
        <v>0.42709999999999998</v>
      </c>
      <c r="R1734">
        <v>28</v>
      </c>
      <c r="S1734">
        <v>70930.94</v>
      </c>
      <c r="T1734">
        <v>0</v>
      </c>
      <c r="U1734">
        <v>2360.8000000000002</v>
      </c>
    </row>
    <row r="1735" spans="1:21" x14ac:dyDescent="0.35">
      <c r="A1735">
        <v>2025</v>
      </c>
      <c r="B1735">
        <v>11</v>
      </c>
      <c r="C1735">
        <v>4</v>
      </c>
      <c r="D1735" s="1">
        <v>45962</v>
      </c>
      <c r="E1735" s="4" t="s">
        <v>34</v>
      </c>
      <c r="F1735" s="4" t="s">
        <v>26</v>
      </c>
      <c r="G1735" s="4" t="s">
        <v>107</v>
      </c>
      <c r="H1735">
        <v>3</v>
      </c>
      <c r="I1735">
        <v>3</v>
      </c>
      <c r="J1735">
        <v>0</v>
      </c>
      <c r="K1735">
        <v>3</v>
      </c>
      <c r="L1735">
        <v>1732</v>
      </c>
      <c r="M1735">
        <v>0</v>
      </c>
      <c r="N1735">
        <v>1732</v>
      </c>
      <c r="O1735">
        <v>1039.2</v>
      </c>
      <c r="P1735">
        <v>692.8</v>
      </c>
      <c r="Q1735">
        <v>0.4</v>
      </c>
      <c r="R1735">
        <v>0</v>
      </c>
      <c r="S1735">
        <v>0</v>
      </c>
      <c r="T1735">
        <v>0</v>
      </c>
      <c r="U1735">
        <v>577.33000000000004</v>
      </c>
    </row>
    <row r="1736" spans="1:21" x14ac:dyDescent="0.35">
      <c r="A1736">
        <v>2025</v>
      </c>
      <c r="B1736">
        <v>11</v>
      </c>
      <c r="C1736">
        <v>4</v>
      </c>
      <c r="D1736" s="1">
        <v>45962</v>
      </c>
      <c r="E1736" s="4" t="s">
        <v>34</v>
      </c>
      <c r="F1736" s="4" t="s">
        <v>26</v>
      </c>
      <c r="G1736" s="4" t="s">
        <v>108</v>
      </c>
      <c r="H1736">
        <v>4</v>
      </c>
      <c r="I1736">
        <v>4</v>
      </c>
      <c r="J1736">
        <v>0</v>
      </c>
      <c r="K1736">
        <v>4</v>
      </c>
      <c r="L1736">
        <v>1464</v>
      </c>
      <c r="M1736">
        <v>0</v>
      </c>
      <c r="N1736">
        <v>1464</v>
      </c>
      <c r="O1736">
        <v>878.4</v>
      </c>
      <c r="P1736">
        <v>585.6</v>
      </c>
      <c r="Q1736">
        <v>0.4</v>
      </c>
      <c r="R1736">
        <v>0</v>
      </c>
      <c r="S1736">
        <v>0</v>
      </c>
      <c r="T1736">
        <v>0</v>
      </c>
      <c r="U1736">
        <v>366</v>
      </c>
    </row>
    <row r="1737" spans="1:21" x14ac:dyDescent="0.35">
      <c r="A1737">
        <v>2025</v>
      </c>
      <c r="B1737">
        <v>11</v>
      </c>
      <c r="C1737">
        <v>4</v>
      </c>
      <c r="D1737" s="1">
        <v>45962</v>
      </c>
      <c r="E1737" s="4" t="s">
        <v>34</v>
      </c>
      <c r="F1737" s="4" t="s">
        <v>26</v>
      </c>
      <c r="G1737" s="4" t="s">
        <v>109</v>
      </c>
      <c r="H1737">
        <v>46</v>
      </c>
      <c r="I1737">
        <v>73</v>
      </c>
      <c r="J1737">
        <v>3</v>
      </c>
      <c r="K1737">
        <v>70</v>
      </c>
      <c r="L1737">
        <v>48852.47</v>
      </c>
      <c r="M1737">
        <v>2022</v>
      </c>
      <c r="N1737">
        <v>46830.47</v>
      </c>
      <c r="O1737">
        <v>28685.4</v>
      </c>
      <c r="P1737">
        <v>18145.07</v>
      </c>
      <c r="Q1737">
        <v>0.38750000000000001</v>
      </c>
      <c r="R1737">
        <v>4</v>
      </c>
      <c r="S1737">
        <v>4072.47</v>
      </c>
      <c r="T1737">
        <v>0</v>
      </c>
      <c r="U1737">
        <v>1018.05</v>
      </c>
    </row>
    <row r="1738" spans="1:21" x14ac:dyDescent="0.35">
      <c r="A1738">
        <v>2025</v>
      </c>
      <c r="B1738">
        <v>11</v>
      </c>
      <c r="C1738">
        <v>4</v>
      </c>
      <c r="D1738" s="1">
        <v>45962</v>
      </c>
      <c r="E1738" s="4" t="s">
        <v>36</v>
      </c>
      <c r="F1738" s="4" t="s">
        <v>28</v>
      </c>
      <c r="G1738" s="4" t="s">
        <v>107</v>
      </c>
      <c r="H1738">
        <v>83</v>
      </c>
      <c r="I1738">
        <v>128</v>
      </c>
      <c r="J1738">
        <v>0</v>
      </c>
      <c r="K1738">
        <v>128</v>
      </c>
      <c r="L1738">
        <v>80789.789999999994</v>
      </c>
      <c r="M1738">
        <v>0</v>
      </c>
      <c r="N1738">
        <v>80789.789999999994</v>
      </c>
      <c r="O1738">
        <v>29355.55</v>
      </c>
      <c r="P1738">
        <v>51434.239999999998</v>
      </c>
      <c r="Q1738">
        <v>0.63660000000000005</v>
      </c>
      <c r="R1738">
        <v>8</v>
      </c>
      <c r="S1738">
        <v>10564.79</v>
      </c>
      <c r="T1738">
        <v>0</v>
      </c>
      <c r="U1738">
        <v>973.37</v>
      </c>
    </row>
    <row r="1739" spans="1:21" x14ac:dyDescent="0.35">
      <c r="A1739">
        <v>2025</v>
      </c>
      <c r="B1739">
        <v>11</v>
      </c>
      <c r="C1739">
        <v>4</v>
      </c>
      <c r="D1739" s="1">
        <v>45962</v>
      </c>
      <c r="E1739" s="4" t="s">
        <v>36</v>
      </c>
      <c r="F1739" s="4" t="s">
        <v>28</v>
      </c>
      <c r="G1739" s="4" t="s">
        <v>108</v>
      </c>
      <c r="H1739">
        <v>178</v>
      </c>
      <c r="I1739">
        <v>265</v>
      </c>
      <c r="J1739">
        <v>0</v>
      </c>
      <c r="K1739">
        <v>265</v>
      </c>
      <c r="L1739">
        <v>86681.17</v>
      </c>
      <c r="M1739">
        <v>0</v>
      </c>
      <c r="N1739">
        <v>86681.17</v>
      </c>
      <c r="O1739">
        <v>31318.35</v>
      </c>
      <c r="P1739">
        <v>55362.82</v>
      </c>
      <c r="Q1739">
        <v>0.63870000000000005</v>
      </c>
      <c r="R1739">
        <v>23</v>
      </c>
      <c r="S1739">
        <v>13239.87</v>
      </c>
      <c r="T1739">
        <v>0</v>
      </c>
      <c r="U1739">
        <v>486.97</v>
      </c>
    </row>
    <row r="1740" spans="1:21" x14ac:dyDescent="0.35">
      <c r="A1740">
        <v>2025</v>
      </c>
      <c r="B1740">
        <v>11</v>
      </c>
      <c r="C1740">
        <v>4</v>
      </c>
      <c r="D1740" s="1">
        <v>45962</v>
      </c>
      <c r="E1740" s="4" t="s">
        <v>36</v>
      </c>
      <c r="F1740" s="4" t="s">
        <v>28</v>
      </c>
      <c r="G1740" s="4" t="s">
        <v>109</v>
      </c>
      <c r="H1740">
        <v>691</v>
      </c>
      <c r="I1740">
        <v>1055</v>
      </c>
      <c r="J1740">
        <v>0</v>
      </c>
      <c r="K1740">
        <v>1055</v>
      </c>
      <c r="L1740">
        <v>500135.72</v>
      </c>
      <c r="M1740">
        <v>0</v>
      </c>
      <c r="N1740">
        <v>500135.72</v>
      </c>
      <c r="O1740">
        <v>182183.4</v>
      </c>
      <c r="P1740">
        <v>317952.32</v>
      </c>
      <c r="Q1740">
        <v>0.63570000000000004</v>
      </c>
      <c r="R1740">
        <v>91</v>
      </c>
      <c r="S1740">
        <v>79446.47</v>
      </c>
      <c r="T1740">
        <v>0</v>
      </c>
      <c r="U1740">
        <v>723.79</v>
      </c>
    </row>
    <row r="1741" spans="1:21" x14ac:dyDescent="0.35">
      <c r="A1741">
        <v>2025</v>
      </c>
      <c r="B1741">
        <v>11</v>
      </c>
      <c r="C1741">
        <v>4</v>
      </c>
      <c r="D1741" s="1">
        <v>45962</v>
      </c>
      <c r="E1741" s="4" t="s">
        <v>36</v>
      </c>
      <c r="F1741" s="4" t="s">
        <v>24</v>
      </c>
      <c r="G1741" s="4" t="s">
        <v>107</v>
      </c>
      <c r="H1741">
        <v>57</v>
      </c>
      <c r="I1741">
        <v>78</v>
      </c>
      <c r="J1741">
        <v>0</v>
      </c>
      <c r="K1741">
        <v>78</v>
      </c>
      <c r="L1741">
        <v>105454.02</v>
      </c>
      <c r="M1741">
        <v>0</v>
      </c>
      <c r="N1741">
        <v>105454.02</v>
      </c>
      <c r="O1741">
        <v>59728.9</v>
      </c>
      <c r="P1741">
        <v>45725.120000000003</v>
      </c>
      <c r="Q1741">
        <v>0.43359999999999999</v>
      </c>
      <c r="R1741">
        <v>5</v>
      </c>
      <c r="S1741">
        <v>11085.02</v>
      </c>
      <c r="T1741">
        <v>0</v>
      </c>
      <c r="U1741">
        <v>1850.07</v>
      </c>
    </row>
    <row r="1742" spans="1:21" x14ac:dyDescent="0.35">
      <c r="A1742">
        <v>2025</v>
      </c>
      <c r="B1742">
        <v>11</v>
      </c>
      <c r="C1742">
        <v>4</v>
      </c>
      <c r="D1742" s="1">
        <v>45962</v>
      </c>
      <c r="E1742" s="4" t="s">
        <v>36</v>
      </c>
      <c r="F1742" s="4" t="s">
        <v>24</v>
      </c>
      <c r="G1742" s="4" t="s">
        <v>108</v>
      </c>
      <c r="H1742">
        <v>19</v>
      </c>
      <c r="I1742">
        <v>26</v>
      </c>
      <c r="J1742">
        <v>0</v>
      </c>
      <c r="K1742">
        <v>26</v>
      </c>
      <c r="L1742">
        <v>45758.559999999998</v>
      </c>
      <c r="M1742">
        <v>0</v>
      </c>
      <c r="N1742">
        <v>45758.559999999998</v>
      </c>
      <c r="O1742">
        <v>25425.4</v>
      </c>
      <c r="P1742">
        <v>20333.16</v>
      </c>
      <c r="Q1742">
        <v>0.44440000000000002</v>
      </c>
      <c r="R1742">
        <v>1</v>
      </c>
      <c r="S1742">
        <v>5398.56</v>
      </c>
      <c r="T1742">
        <v>0</v>
      </c>
      <c r="U1742">
        <v>2408.35</v>
      </c>
    </row>
    <row r="1743" spans="1:21" x14ac:dyDescent="0.35">
      <c r="A1743">
        <v>2025</v>
      </c>
      <c r="B1743">
        <v>11</v>
      </c>
      <c r="C1743">
        <v>4</v>
      </c>
      <c r="D1743" s="1">
        <v>45962</v>
      </c>
      <c r="E1743" s="4" t="s">
        <v>36</v>
      </c>
      <c r="F1743" s="4" t="s">
        <v>24</v>
      </c>
      <c r="G1743" s="4" t="s">
        <v>109</v>
      </c>
      <c r="H1743">
        <v>156</v>
      </c>
      <c r="I1743">
        <v>242</v>
      </c>
      <c r="J1743">
        <v>16</v>
      </c>
      <c r="K1743">
        <v>226</v>
      </c>
      <c r="L1743">
        <v>385774.53</v>
      </c>
      <c r="M1743">
        <v>27587</v>
      </c>
      <c r="N1743">
        <v>358187.53</v>
      </c>
      <c r="O1743">
        <v>206263.2</v>
      </c>
      <c r="P1743">
        <v>151924.32999999999</v>
      </c>
      <c r="Q1743">
        <v>0.42409999999999998</v>
      </c>
      <c r="R1743">
        <v>21</v>
      </c>
      <c r="S1743">
        <v>56155.53</v>
      </c>
      <c r="T1743">
        <v>0</v>
      </c>
      <c r="U1743">
        <v>2296.0700000000002</v>
      </c>
    </row>
    <row r="1744" spans="1:21" x14ac:dyDescent="0.35">
      <c r="A1744">
        <v>2025</v>
      </c>
      <c r="B1744">
        <v>11</v>
      </c>
      <c r="C1744">
        <v>4</v>
      </c>
      <c r="D1744" s="1">
        <v>45962</v>
      </c>
      <c r="E1744" s="4" t="s">
        <v>36</v>
      </c>
      <c r="F1744" s="4" t="s">
        <v>26</v>
      </c>
      <c r="G1744" s="4" t="s">
        <v>107</v>
      </c>
      <c r="H1744">
        <v>1</v>
      </c>
      <c r="I1744">
        <v>1</v>
      </c>
      <c r="J1744">
        <v>0</v>
      </c>
      <c r="K1744">
        <v>1</v>
      </c>
      <c r="L1744">
        <v>935</v>
      </c>
      <c r="M1744">
        <v>0</v>
      </c>
      <c r="N1744">
        <v>935</v>
      </c>
      <c r="O1744">
        <v>561</v>
      </c>
      <c r="P1744">
        <v>374</v>
      </c>
      <c r="Q1744">
        <v>0.4</v>
      </c>
      <c r="R1744">
        <v>0</v>
      </c>
      <c r="S1744">
        <v>0</v>
      </c>
      <c r="T1744">
        <v>0</v>
      </c>
      <c r="U1744">
        <v>935</v>
      </c>
    </row>
    <row r="1745" spans="1:21" x14ac:dyDescent="0.35">
      <c r="A1745">
        <v>2025</v>
      </c>
      <c r="B1745">
        <v>11</v>
      </c>
      <c r="C1745">
        <v>4</v>
      </c>
      <c r="D1745" s="1">
        <v>45962</v>
      </c>
      <c r="E1745" s="4" t="s">
        <v>36</v>
      </c>
      <c r="F1745" s="4" t="s">
        <v>26</v>
      </c>
      <c r="G1745" s="4" t="s">
        <v>109</v>
      </c>
      <c r="H1745">
        <v>62</v>
      </c>
      <c r="I1745">
        <v>87</v>
      </c>
      <c r="J1745">
        <v>1</v>
      </c>
      <c r="K1745">
        <v>86</v>
      </c>
      <c r="L1745">
        <v>71837.66</v>
      </c>
      <c r="M1745">
        <v>1169</v>
      </c>
      <c r="N1745">
        <v>70668.66</v>
      </c>
      <c r="O1745">
        <v>43545.599999999999</v>
      </c>
      <c r="P1745">
        <v>27123.06</v>
      </c>
      <c r="Q1745">
        <v>0.38379999999999997</v>
      </c>
      <c r="R1745">
        <v>7</v>
      </c>
      <c r="S1745">
        <v>11635.66</v>
      </c>
      <c r="T1745">
        <v>0</v>
      </c>
      <c r="U1745">
        <v>1139.82</v>
      </c>
    </row>
    <row r="1746" spans="1:21" x14ac:dyDescent="0.35">
      <c r="A1746">
        <v>2025</v>
      </c>
      <c r="B1746">
        <v>11</v>
      </c>
      <c r="C1746">
        <v>4</v>
      </c>
      <c r="D1746" s="1">
        <v>45962</v>
      </c>
      <c r="E1746" s="4" t="s">
        <v>23</v>
      </c>
      <c r="F1746" s="4" t="s">
        <v>28</v>
      </c>
      <c r="G1746" s="4" t="s">
        <v>107</v>
      </c>
      <c r="H1746">
        <v>122</v>
      </c>
      <c r="I1746">
        <v>179</v>
      </c>
      <c r="J1746">
        <v>0</v>
      </c>
      <c r="K1746">
        <v>179</v>
      </c>
      <c r="L1746">
        <v>58353.99</v>
      </c>
      <c r="M1746">
        <v>0</v>
      </c>
      <c r="N1746">
        <v>58353.99</v>
      </c>
      <c r="O1746">
        <v>21175.7</v>
      </c>
      <c r="P1746">
        <v>37178.29</v>
      </c>
      <c r="Q1746">
        <v>0.6371</v>
      </c>
      <c r="R1746">
        <v>15</v>
      </c>
      <c r="S1746">
        <v>8950.24</v>
      </c>
      <c r="T1746">
        <v>0</v>
      </c>
      <c r="U1746">
        <v>478.31</v>
      </c>
    </row>
    <row r="1747" spans="1:21" x14ac:dyDescent="0.35">
      <c r="A1747">
        <v>2025</v>
      </c>
      <c r="B1747">
        <v>11</v>
      </c>
      <c r="C1747">
        <v>4</v>
      </c>
      <c r="D1747" s="1">
        <v>45962</v>
      </c>
      <c r="E1747" s="4" t="s">
        <v>23</v>
      </c>
      <c r="F1747" s="4" t="s">
        <v>28</v>
      </c>
      <c r="G1747" s="4" t="s">
        <v>108</v>
      </c>
      <c r="H1747">
        <v>38</v>
      </c>
      <c r="I1747">
        <v>63</v>
      </c>
      <c r="J1747">
        <v>0</v>
      </c>
      <c r="K1747">
        <v>63</v>
      </c>
      <c r="L1747">
        <v>43016.57</v>
      </c>
      <c r="M1747">
        <v>0</v>
      </c>
      <c r="N1747">
        <v>43016.57</v>
      </c>
      <c r="O1747">
        <v>15501.15</v>
      </c>
      <c r="P1747">
        <v>27515.42</v>
      </c>
      <c r="Q1747">
        <v>0.63959999999999995</v>
      </c>
      <c r="R1747">
        <v>6</v>
      </c>
      <c r="S1747">
        <v>8569.57</v>
      </c>
      <c r="T1747">
        <v>0</v>
      </c>
      <c r="U1747">
        <v>1132.02</v>
      </c>
    </row>
    <row r="1748" spans="1:21" x14ac:dyDescent="0.35">
      <c r="A1748">
        <v>2025</v>
      </c>
      <c r="B1748">
        <v>11</v>
      </c>
      <c r="C1748">
        <v>4</v>
      </c>
      <c r="D1748" s="1">
        <v>45962</v>
      </c>
      <c r="E1748" s="4" t="s">
        <v>23</v>
      </c>
      <c r="F1748" s="4" t="s">
        <v>28</v>
      </c>
      <c r="G1748" s="4" t="s">
        <v>109</v>
      </c>
      <c r="H1748">
        <v>635</v>
      </c>
      <c r="I1748">
        <v>991</v>
      </c>
      <c r="J1748">
        <v>0</v>
      </c>
      <c r="K1748">
        <v>991</v>
      </c>
      <c r="L1748">
        <v>457239.99</v>
      </c>
      <c r="M1748">
        <v>0</v>
      </c>
      <c r="N1748">
        <v>457239.99</v>
      </c>
      <c r="O1748">
        <v>166163.54999999999</v>
      </c>
      <c r="P1748">
        <v>291076.44</v>
      </c>
      <c r="Q1748">
        <v>0.63660000000000005</v>
      </c>
      <c r="R1748">
        <v>82</v>
      </c>
      <c r="S1748">
        <v>81222.880000000005</v>
      </c>
      <c r="T1748">
        <v>0</v>
      </c>
      <c r="U1748">
        <v>720.06</v>
      </c>
    </row>
    <row r="1749" spans="1:21" x14ac:dyDescent="0.35">
      <c r="A1749">
        <v>2025</v>
      </c>
      <c r="B1749">
        <v>11</v>
      </c>
      <c r="C1749">
        <v>4</v>
      </c>
      <c r="D1749" s="1">
        <v>45962</v>
      </c>
      <c r="E1749" s="4" t="s">
        <v>23</v>
      </c>
      <c r="F1749" s="4" t="s">
        <v>24</v>
      </c>
      <c r="G1749" s="4" t="s">
        <v>107</v>
      </c>
      <c r="H1749">
        <v>74</v>
      </c>
      <c r="I1749">
        <v>113</v>
      </c>
      <c r="J1749">
        <v>2</v>
      </c>
      <c r="K1749">
        <v>111</v>
      </c>
      <c r="L1749">
        <v>190414.13</v>
      </c>
      <c r="M1749">
        <v>2351.35</v>
      </c>
      <c r="N1749">
        <v>188062.78</v>
      </c>
      <c r="O1749">
        <v>106405.2</v>
      </c>
      <c r="P1749">
        <v>81657.58</v>
      </c>
      <c r="Q1749">
        <v>0.43419999999999997</v>
      </c>
      <c r="R1749">
        <v>10</v>
      </c>
      <c r="S1749">
        <v>23740.78</v>
      </c>
      <c r="T1749">
        <v>0</v>
      </c>
      <c r="U1749">
        <v>2541.39</v>
      </c>
    </row>
    <row r="1750" spans="1:21" x14ac:dyDescent="0.35">
      <c r="A1750">
        <v>2025</v>
      </c>
      <c r="B1750">
        <v>11</v>
      </c>
      <c r="C1750">
        <v>4</v>
      </c>
      <c r="D1750" s="1">
        <v>45962</v>
      </c>
      <c r="E1750" s="4" t="s">
        <v>23</v>
      </c>
      <c r="F1750" s="4" t="s">
        <v>24</v>
      </c>
      <c r="G1750" s="4" t="s">
        <v>109</v>
      </c>
      <c r="H1750">
        <v>163</v>
      </c>
      <c r="I1750">
        <v>249</v>
      </c>
      <c r="J1750">
        <v>6</v>
      </c>
      <c r="K1750">
        <v>243</v>
      </c>
      <c r="L1750">
        <v>276262.53999999998</v>
      </c>
      <c r="M1750">
        <v>6319.52</v>
      </c>
      <c r="N1750">
        <v>269943.02</v>
      </c>
      <c r="O1750">
        <v>153727.75</v>
      </c>
      <c r="P1750">
        <v>116215.27</v>
      </c>
      <c r="Q1750">
        <v>0.43049999999999999</v>
      </c>
      <c r="R1750">
        <v>21</v>
      </c>
      <c r="S1750">
        <v>45661.02</v>
      </c>
      <c r="T1750">
        <v>0</v>
      </c>
      <c r="U1750">
        <v>1656.09</v>
      </c>
    </row>
    <row r="1751" spans="1:21" x14ac:dyDescent="0.35">
      <c r="A1751">
        <v>2025</v>
      </c>
      <c r="B1751">
        <v>11</v>
      </c>
      <c r="C1751">
        <v>4</v>
      </c>
      <c r="D1751" s="1">
        <v>45962</v>
      </c>
      <c r="E1751" s="4" t="s">
        <v>23</v>
      </c>
      <c r="F1751" s="4" t="s">
        <v>26</v>
      </c>
      <c r="G1751" s="4" t="s">
        <v>107</v>
      </c>
      <c r="H1751">
        <v>11</v>
      </c>
      <c r="I1751">
        <v>19</v>
      </c>
      <c r="J1751">
        <v>4</v>
      </c>
      <c r="K1751">
        <v>15</v>
      </c>
      <c r="L1751">
        <v>10401.68</v>
      </c>
      <c r="M1751">
        <v>2372</v>
      </c>
      <c r="N1751">
        <v>8029.68</v>
      </c>
      <c r="O1751">
        <v>5047.2</v>
      </c>
      <c r="P1751">
        <v>2982.48</v>
      </c>
      <c r="Q1751">
        <v>0.37140000000000001</v>
      </c>
      <c r="R1751">
        <v>1</v>
      </c>
      <c r="S1751">
        <v>1210.68</v>
      </c>
      <c r="T1751">
        <v>0</v>
      </c>
      <c r="U1751">
        <v>729.97</v>
      </c>
    </row>
    <row r="1752" spans="1:21" x14ac:dyDescent="0.35">
      <c r="A1752">
        <v>2025</v>
      </c>
      <c r="B1752">
        <v>11</v>
      </c>
      <c r="C1752">
        <v>4</v>
      </c>
      <c r="D1752" s="1">
        <v>45962</v>
      </c>
      <c r="E1752" s="4" t="s">
        <v>23</v>
      </c>
      <c r="F1752" s="4" t="s">
        <v>26</v>
      </c>
      <c r="G1752" s="4" t="s">
        <v>109</v>
      </c>
      <c r="H1752">
        <v>37</v>
      </c>
      <c r="I1752">
        <v>62</v>
      </c>
      <c r="J1752">
        <v>0</v>
      </c>
      <c r="K1752">
        <v>62</v>
      </c>
      <c r="L1752">
        <v>38543.47</v>
      </c>
      <c r="M1752">
        <v>0</v>
      </c>
      <c r="N1752">
        <v>38543.47</v>
      </c>
      <c r="O1752">
        <v>24108</v>
      </c>
      <c r="P1752">
        <v>14435.47</v>
      </c>
      <c r="Q1752">
        <v>0.3745</v>
      </c>
      <c r="R1752">
        <v>6</v>
      </c>
      <c r="S1752">
        <v>9002.4699999999993</v>
      </c>
      <c r="T1752">
        <v>0</v>
      </c>
      <c r="U1752">
        <v>1041.72</v>
      </c>
    </row>
    <row r="1753" spans="1:21" x14ac:dyDescent="0.35">
      <c r="A1753">
        <v>2025</v>
      </c>
      <c r="B1753">
        <v>11</v>
      </c>
      <c r="C1753">
        <v>4</v>
      </c>
      <c r="D1753" s="1">
        <v>45962</v>
      </c>
      <c r="E1753" s="4" t="s">
        <v>25</v>
      </c>
      <c r="F1753" s="4" t="s">
        <v>28</v>
      </c>
      <c r="G1753" s="4" t="s">
        <v>107</v>
      </c>
      <c r="H1753">
        <v>27</v>
      </c>
      <c r="I1753">
        <v>43</v>
      </c>
      <c r="J1753">
        <v>0</v>
      </c>
      <c r="K1753">
        <v>43</v>
      </c>
      <c r="L1753">
        <v>20603.46</v>
      </c>
      <c r="M1753">
        <v>0</v>
      </c>
      <c r="N1753">
        <v>20603.46</v>
      </c>
      <c r="O1753">
        <v>7479.85</v>
      </c>
      <c r="P1753">
        <v>13123.61</v>
      </c>
      <c r="Q1753">
        <v>0.63700000000000001</v>
      </c>
      <c r="R1753">
        <v>2</v>
      </c>
      <c r="S1753">
        <v>2214.46</v>
      </c>
      <c r="T1753">
        <v>0</v>
      </c>
      <c r="U1753">
        <v>763.09</v>
      </c>
    </row>
    <row r="1754" spans="1:21" x14ac:dyDescent="0.35">
      <c r="A1754">
        <v>2025</v>
      </c>
      <c r="B1754">
        <v>11</v>
      </c>
      <c r="C1754">
        <v>4</v>
      </c>
      <c r="D1754" s="1">
        <v>45962</v>
      </c>
      <c r="E1754" s="4" t="s">
        <v>25</v>
      </c>
      <c r="F1754" s="4" t="s">
        <v>28</v>
      </c>
      <c r="G1754" s="4" t="s">
        <v>109</v>
      </c>
      <c r="H1754">
        <v>635</v>
      </c>
      <c r="I1754">
        <v>978</v>
      </c>
      <c r="J1754">
        <v>0</v>
      </c>
      <c r="K1754">
        <v>978</v>
      </c>
      <c r="L1754">
        <v>528952.66</v>
      </c>
      <c r="M1754">
        <v>0</v>
      </c>
      <c r="N1754">
        <v>528952.66</v>
      </c>
      <c r="O1754">
        <v>191639</v>
      </c>
      <c r="P1754">
        <v>337313.66</v>
      </c>
      <c r="Q1754">
        <v>0.63770000000000004</v>
      </c>
      <c r="R1754">
        <v>78</v>
      </c>
      <c r="S1754">
        <v>81823.34</v>
      </c>
      <c r="T1754">
        <v>0</v>
      </c>
      <c r="U1754">
        <v>833</v>
      </c>
    </row>
    <row r="1755" spans="1:21" x14ac:dyDescent="0.35">
      <c r="A1755">
        <v>2025</v>
      </c>
      <c r="B1755">
        <v>11</v>
      </c>
      <c r="C1755">
        <v>4</v>
      </c>
      <c r="D1755" s="1">
        <v>45962</v>
      </c>
      <c r="E1755" s="4" t="s">
        <v>25</v>
      </c>
      <c r="F1755" s="4" t="s">
        <v>24</v>
      </c>
      <c r="G1755" s="4" t="s">
        <v>107</v>
      </c>
      <c r="H1755">
        <v>19</v>
      </c>
      <c r="I1755">
        <v>32</v>
      </c>
      <c r="J1755">
        <v>0</v>
      </c>
      <c r="K1755">
        <v>32</v>
      </c>
      <c r="L1755">
        <v>55848.65</v>
      </c>
      <c r="M1755">
        <v>0</v>
      </c>
      <c r="N1755">
        <v>55848.65</v>
      </c>
      <c r="O1755">
        <v>32265.200000000001</v>
      </c>
      <c r="P1755">
        <v>23583.45</v>
      </c>
      <c r="Q1755">
        <v>0.42230000000000001</v>
      </c>
      <c r="R1755">
        <v>2</v>
      </c>
      <c r="S1755">
        <v>10609.65</v>
      </c>
      <c r="T1755">
        <v>0</v>
      </c>
      <c r="U1755">
        <v>2939.4</v>
      </c>
    </row>
    <row r="1756" spans="1:21" x14ac:dyDescent="0.35">
      <c r="A1756">
        <v>2025</v>
      </c>
      <c r="B1756">
        <v>11</v>
      </c>
      <c r="C1756">
        <v>4</v>
      </c>
      <c r="D1756" s="1">
        <v>45962</v>
      </c>
      <c r="E1756" s="4" t="s">
        <v>25</v>
      </c>
      <c r="F1756" s="4" t="s">
        <v>24</v>
      </c>
      <c r="G1756" s="4" t="s">
        <v>109</v>
      </c>
      <c r="H1756">
        <v>233</v>
      </c>
      <c r="I1756">
        <v>361</v>
      </c>
      <c r="J1756">
        <v>6</v>
      </c>
      <c r="K1756">
        <v>355</v>
      </c>
      <c r="L1756">
        <v>533641.96</v>
      </c>
      <c r="M1756">
        <v>8905.44</v>
      </c>
      <c r="N1756">
        <v>524736.52</v>
      </c>
      <c r="O1756">
        <v>300842.84999999998</v>
      </c>
      <c r="P1756">
        <v>223893.67</v>
      </c>
      <c r="Q1756">
        <v>0.42670000000000002</v>
      </c>
      <c r="R1756">
        <v>33</v>
      </c>
      <c r="S1756">
        <v>91235.520000000004</v>
      </c>
      <c r="T1756">
        <v>0</v>
      </c>
      <c r="U1756">
        <v>2252.09</v>
      </c>
    </row>
    <row r="1757" spans="1:21" x14ac:dyDescent="0.35">
      <c r="A1757">
        <v>2025</v>
      </c>
      <c r="B1757">
        <v>11</v>
      </c>
      <c r="C1757">
        <v>4</v>
      </c>
      <c r="D1757" s="1">
        <v>45962</v>
      </c>
      <c r="E1757" s="4" t="s">
        <v>25</v>
      </c>
      <c r="F1757" s="4" t="s">
        <v>26</v>
      </c>
      <c r="G1757" s="4" t="s">
        <v>107</v>
      </c>
      <c r="H1757">
        <v>16</v>
      </c>
      <c r="I1757">
        <v>25</v>
      </c>
      <c r="J1757">
        <v>0</v>
      </c>
      <c r="K1757">
        <v>25</v>
      </c>
      <c r="L1757">
        <v>28413</v>
      </c>
      <c r="M1757">
        <v>0</v>
      </c>
      <c r="N1757">
        <v>28413</v>
      </c>
      <c r="O1757">
        <v>17047.8</v>
      </c>
      <c r="P1757">
        <v>11365.2</v>
      </c>
      <c r="Q1757">
        <v>0.4</v>
      </c>
      <c r="R1757">
        <v>0</v>
      </c>
      <c r="S1757">
        <v>0</v>
      </c>
      <c r="T1757">
        <v>0</v>
      </c>
      <c r="U1757">
        <v>1775.81</v>
      </c>
    </row>
    <row r="1758" spans="1:21" x14ac:dyDescent="0.35">
      <c r="A1758">
        <v>2025</v>
      </c>
      <c r="B1758">
        <v>11</v>
      </c>
      <c r="C1758">
        <v>4</v>
      </c>
      <c r="D1758" s="1">
        <v>45962</v>
      </c>
      <c r="E1758" s="4" t="s">
        <v>25</v>
      </c>
      <c r="F1758" s="4" t="s">
        <v>26</v>
      </c>
      <c r="G1758" s="4" t="s">
        <v>109</v>
      </c>
      <c r="H1758">
        <v>60</v>
      </c>
      <c r="I1758">
        <v>93</v>
      </c>
      <c r="J1758">
        <v>7</v>
      </c>
      <c r="K1758">
        <v>86</v>
      </c>
      <c r="L1758">
        <v>65880.95</v>
      </c>
      <c r="M1758">
        <v>5329.16</v>
      </c>
      <c r="N1758">
        <v>60551.79</v>
      </c>
      <c r="O1758">
        <v>37623</v>
      </c>
      <c r="P1758">
        <v>22928.79</v>
      </c>
      <c r="Q1758">
        <v>0.37869999999999998</v>
      </c>
      <c r="R1758">
        <v>8</v>
      </c>
      <c r="S1758">
        <v>7517.79</v>
      </c>
      <c r="T1758">
        <v>0</v>
      </c>
      <c r="U1758">
        <v>1009.2</v>
      </c>
    </row>
    <row r="1759" spans="1:21" x14ac:dyDescent="0.35">
      <c r="A1759">
        <v>2025</v>
      </c>
      <c r="B1759">
        <v>11</v>
      </c>
      <c r="C1759">
        <v>4</v>
      </c>
      <c r="D1759" s="1">
        <v>45962</v>
      </c>
      <c r="E1759" s="4" t="s">
        <v>29</v>
      </c>
      <c r="F1759" s="4" t="s">
        <v>28</v>
      </c>
      <c r="G1759" s="4" t="s">
        <v>107</v>
      </c>
      <c r="H1759">
        <v>204</v>
      </c>
      <c r="I1759">
        <v>311</v>
      </c>
      <c r="J1759">
        <v>0</v>
      </c>
      <c r="K1759">
        <v>311</v>
      </c>
      <c r="L1759">
        <v>148556.63</v>
      </c>
      <c r="M1759">
        <v>0</v>
      </c>
      <c r="N1759">
        <v>148556.63</v>
      </c>
      <c r="O1759">
        <v>54957</v>
      </c>
      <c r="P1759">
        <v>93599.63</v>
      </c>
      <c r="Q1759">
        <v>0.63009999999999999</v>
      </c>
      <c r="R1759">
        <v>27</v>
      </c>
      <c r="S1759">
        <v>27553.32</v>
      </c>
      <c r="T1759">
        <v>0</v>
      </c>
      <c r="U1759">
        <v>728.22</v>
      </c>
    </row>
    <row r="1760" spans="1:21" x14ac:dyDescent="0.35">
      <c r="A1760">
        <v>2025</v>
      </c>
      <c r="B1760">
        <v>11</v>
      </c>
      <c r="C1760">
        <v>4</v>
      </c>
      <c r="D1760" s="1">
        <v>45962</v>
      </c>
      <c r="E1760" s="4" t="s">
        <v>29</v>
      </c>
      <c r="F1760" s="4" t="s">
        <v>28</v>
      </c>
      <c r="G1760" s="4" t="s">
        <v>108</v>
      </c>
      <c r="H1760">
        <v>48</v>
      </c>
      <c r="I1760">
        <v>75</v>
      </c>
      <c r="J1760">
        <v>0</v>
      </c>
      <c r="K1760">
        <v>75</v>
      </c>
      <c r="L1760">
        <v>43058.559999999998</v>
      </c>
      <c r="M1760">
        <v>0</v>
      </c>
      <c r="N1760">
        <v>43058.559999999998</v>
      </c>
      <c r="O1760">
        <v>15960</v>
      </c>
      <c r="P1760">
        <v>27098.560000000001</v>
      </c>
      <c r="Q1760">
        <v>0.62929999999999997</v>
      </c>
      <c r="R1760">
        <v>11</v>
      </c>
      <c r="S1760">
        <v>11442.56</v>
      </c>
      <c r="T1760">
        <v>0</v>
      </c>
      <c r="U1760">
        <v>897.05</v>
      </c>
    </row>
    <row r="1761" spans="1:21" x14ac:dyDescent="0.35">
      <c r="A1761">
        <v>2025</v>
      </c>
      <c r="B1761">
        <v>11</v>
      </c>
      <c r="C1761">
        <v>4</v>
      </c>
      <c r="D1761" s="1">
        <v>45962</v>
      </c>
      <c r="E1761" s="4" t="s">
        <v>29</v>
      </c>
      <c r="F1761" s="4" t="s">
        <v>28</v>
      </c>
      <c r="G1761" s="4" t="s">
        <v>109</v>
      </c>
      <c r="H1761">
        <v>874</v>
      </c>
      <c r="I1761">
        <v>1371</v>
      </c>
      <c r="J1761">
        <v>0</v>
      </c>
      <c r="K1761">
        <v>1371</v>
      </c>
      <c r="L1761">
        <v>653766.04</v>
      </c>
      <c r="M1761">
        <v>0</v>
      </c>
      <c r="N1761">
        <v>653766.04</v>
      </c>
      <c r="O1761">
        <v>236754.35</v>
      </c>
      <c r="P1761">
        <v>417011.69</v>
      </c>
      <c r="Q1761">
        <v>0.63790000000000002</v>
      </c>
      <c r="R1761">
        <v>104</v>
      </c>
      <c r="S1761">
        <v>94279.49</v>
      </c>
      <c r="T1761">
        <v>0</v>
      </c>
      <c r="U1761">
        <v>748.02</v>
      </c>
    </row>
    <row r="1762" spans="1:21" x14ac:dyDescent="0.35">
      <c r="A1762">
        <v>2025</v>
      </c>
      <c r="B1762">
        <v>11</v>
      </c>
      <c r="C1762">
        <v>4</v>
      </c>
      <c r="D1762" s="1">
        <v>45962</v>
      </c>
      <c r="E1762" s="4" t="s">
        <v>29</v>
      </c>
      <c r="F1762" s="4" t="s">
        <v>24</v>
      </c>
      <c r="G1762" s="4" t="s">
        <v>107</v>
      </c>
      <c r="H1762">
        <v>6</v>
      </c>
      <c r="I1762">
        <v>9</v>
      </c>
      <c r="J1762">
        <v>1</v>
      </c>
      <c r="K1762">
        <v>8</v>
      </c>
      <c r="L1762">
        <v>7655.04</v>
      </c>
      <c r="M1762">
        <v>864</v>
      </c>
      <c r="N1762">
        <v>6791.04</v>
      </c>
      <c r="O1762">
        <v>3801.6</v>
      </c>
      <c r="P1762">
        <v>2989.44</v>
      </c>
      <c r="Q1762">
        <v>0.44019999999999998</v>
      </c>
      <c r="R1762">
        <v>1</v>
      </c>
      <c r="S1762">
        <v>1607.04</v>
      </c>
      <c r="T1762">
        <v>0</v>
      </c>
      <c r="U1762">
        <v>1131.8399999999999</v>
      </c>
    </row>
    <row r="1763" spans="1:21" x14ac:dyDescent="0.35">
      <c r="A1763">
        <v>2025</v>
      </c>
      <c r="B1763">
        <v>11</v>
      </c>
      <c r="C1763">
        <v>4</v>
      </c>
      <c r="D1763" s="1">
        <v>45962</v>
      </c>
      <c r="E1763" s="4" t="s">
        <v>29</v>
      </c>
      <c r="F1763" s="4" t="s">
        <v>24</v>
      </c>
      <c r="G1763" s="4" t="s">
        <v>108</v>
      </c>
      <c r="H1763">
        <v>11</v>
      </c>
      <c r="I1763">
        <v>16</v>
      </c>
      <c r="J1763">
        <v>0</v>
      </c>
      <c r="K1763">
        <v>16</v>
      </c>
      <c r="L1763">
        <v>11441.64</v>
      </c>
      <c r="M1763">
        <v>0</v>
      </c>
      <c r="N1763">
        <v>11441.64</v>
      </c>
      <c r="O1763">
        <v>6529.6</v>
      </c>
      <c r="P1763">
        <v>4912.04</v>
      </c>
      <c r="Q1763">
        <v>0.42930000000000001</v>
      </c>
      <c r="R1763">
        <v>1</v>
      </c>
      <c r="S1763">
        <v>1053.6400000000001</v>
      </c>
      <c r="T1763">
        <v>0</v>
      </c>
      <c r="U1763">
        <v>1040.1500000000001</v>
      </c>
    </row>
    <row r="1764" spans="1:21" x14ac:dyDescent="0.35">
      <c r="A1764">
        <v>2025</v>
      </c>
      <c r="B1764">
        <v>11</v>
      </c>
      <c r="C1764">
        <v>4</v>
      </c>
      <c r="D1764" s="1">
        <v>45962</v>
      </c>
      <c r="E1764" s="4" t="s">
        <v>29</v>
      </c>
      <c r="F1764" s="4" t="s">
        <v>24</v>
      </c>
      <c r="G1764" s="4" t="s">
        <v>109</v>
      </c>
      <c r="H1764">
        <v>184</v>
      </c>
      <c r="I1764">
        <v>281</v>
      </c>
      <c r="J1764">
        <v>10</v>
      </c>
      <c r="K1764">
        <v>271</v>
      </c>
      <c r="L1764">
        <v>534009.02</v>
      </c>
      <c r="M1764">
        <v>18751.96</v>
      </c>
      <c r="N1764">
        <v>515257.06</v>
      </c>
      <c r="O1764">
        <v>294235.7</v>
      </c>
      <c r="P1764">
        <v>221021.36</v>
      </c>
      <c r="Q1764">
        <v>0.42899999999999999</v>
      </c>
      <c r="R1764">
        <v>22</v>
      </c>
      <c r="S1764">
        <v>70464.06</v>
      </c>
      <c r="T1764">
        <v>0</v>
      </c>
      <c r="U1764">
        <v>2800.31</v>
      </c>
    </row>
    <row r="1765" spans="1:21" x14ac:dyDescent="0.35">
      <c r="A1765">
        <v>2025</v>
      </c>
      <c r="B1765">
        <v>11</v>
      </c>
      <c r="C1765">
        <v>4</v>
      </c>
      <c r="D1765" s="1">
        <v>45962</v>
      </c>
      <c r="E1765" s="4" t="s">
        <v>29</v>
      </c>
      <c r="F1765" s="4" t="s">
        <v>26</v>
      </c>
      <c r="G1765" s="4" t="s">
        <v>107</v>
      </c>
      <c r="H1765">
        <v>16</v>
      </c>
      <c r="I1765">
        <v>24</v>
      </c>
      <c r="J1765">
        <v>0</v>
      </c>
      <c r="K1765">
        <v>24</v>
      </c>
      <c r="L1765">
        <v>17931.38</v>
      </c>
      <c r="M1765">
        <v>0</v>
      </c>
      <c r="N1765">
        <v>17931.38</v>
      </c>
      <c r="O1765">
        <v>11155.2</v>
      </c>
      <c r="P1765">
        <v>6776.18</v>
      </c>
      <c r="Q1765">
        <v>0.37790000000000001</v>
      </c>
      <c r="R1765">
        <v>1</v>
      </c>
      <c r="S1765">
        <v>1617.38</v>
      </c>
      <c r="T1765">
        <v>0</v>
      </c>
      <c r="U1765">
        <v>1120.71</v>
      </c>
    </row>
    <row r="1766" spans="1:21" x14ac:dyDescent="0.35">
      <c r="A1766">
        <v>2025</v>
      </c>
      <c r="B1766">
        <v>11</v>
      </c>
      <c r="C1766">
        <v>4</v>
      </c>
      <c r="D1766" s="1">
        <v>45962</v>
      </c>
      <c r="E1766" s="4" t="s">
        <v>29</v>
      </c>
      <c r="F1766" s="4" t="s">
        <v>26</v>
      </c>
      <c r="G1766" s="4" t="s">
        <v>109</v>
      </c>
      <c r="H1766">
        <v>27</v>
      </c>
      <c r="I1766">
        <v>46</v>
      </c>
      <c r="J1766">
        <v>3</v>
      </c>
      <c r="K1766">
        <v>43</v>
      </c>
      <c r="L1766">
        <v>35063.25</v>
      </c>
      <c r="M1766">
        <v>1464</v>
      </c>
      <c r="N1766">
        <v>33599.25</v>
      </c>
      <c r="O1766">
        <v>21081.599999999999</v>
      </c>
      <c r="P1766">
        <v>12517.65</v>
      </c>
      <c r="Q1766">
        <v>0.37259999999999999</v>
      </c>
      <c r="R1766">
        <v>4</v>
      </c>
      <c r="S1766">
        <v>7722.25</v>
      </c>
      <c r="T1766">
        <v>0</v>
      </c>
      <c r="U1766">
        <v>1244.42</v>
      </c>
    </row>
    <row r="1767" spans="1:21" x14ac:dyDescent="0.35">
      <c r="A1767">
        <v>2025</v>
      </c>
      <c r="B1767">
        <v>11</v>
      </c>
      <c r="C1767">
        <v>4</v>
      </c>
      <c r="D1767" s="1">
        <v>45962</v>
      </c>
      <c r="E1767" s="4" t="s">
        <v>31</v>
      </c>
      <c r="F1767" s="4" t="s">
        <v>28</v>
      </c>
      <c r="G1767" s="4" t="s">
        <v>107</v>
      </c>
      <c r="H1767">
        <v>73</v>
      </c>
      <c r="I1767">
        <v>124</v>
      </c>
      <c r="J1767">
        <v>0</v>
      </c>
      <c r="K1767">
        <v>124</v>
      </c>
      <c r="L1767">
        <v>48026.62</v>
      </c>
      <c r="M1767">
        <v>0</v>
      </c>
      <c r="N1767">
        <v>48026.62</v>
      </c>
      <c r="O1767">
        <v>17514.349999999999</v>
      </c>
      <c r="P1767">
        <v>30512.27</v>
      </c>
      <c r="Q1767">
        <v>0.63529999999999998</v>
      </c>
      <c r="R1767">
        <v>10</v>
      </c>
      <c r="S1767">
        <v>8164.62</v>
      </c>
      <c r="T1767">
        <v>0</v>
      </c>
      <c r="U1767">
        <v>657.9</v>
      </c>
    </row>
    <row r="1768" spans="1:21" x14ac:dyDescent="0.35">
      <c r="A1768">
        <v>2025</v>
      </c>
      <c r="B1768">
        <v>11</v>
      </c>
      <c r="C1768">
        <v>4</v>
      </c>
      <c r="D1768" s="1">
        <v>45962</v>
      </c>
      <c r="E1768" s="4" t="s">
        <v>31</v>
      </c>
      <c r="F1768" s="4" t="s">
        <v>28</v>
      </c>
      <c r="G1768" s="4" t="s">
        <v>108</v>
      </c>
      <c r="H1768">
        <v>293</v>
      </c>
      <c r="I1768">
        <v>456</v>
      </c>
      <c r="J1768">
        <v>0</v>
      </c>
      <c r="K1768">
        <v>456</v>
      </c>
      <c r="L1768">
        <v>171493.23</v>
      </c>
      <c r="M1768">
        <v>0</v>
      </c>
      <c r="N1768">
        <v>171493.23</v>
      </c>
      <c r="O1768">
        <v>62908.65</v>
      </c>
      <c r="P1768">
        <v>108584.58</v>
      </c>
      <c r="Q1768">
        <v>0.63319999999999999</v>
      </c>
      <c r="R1768">
        <v>44</v>
      </c>
      <c r="S1768">
        <v>29523.23</v>
      </c>
      <c r="T1768">
        <v>0</v>
      </c>
      <c r="U1768">
        <v>585.29999999999995</v>
      </c>
    </row>
    <row r="1769" spans="1:21" x14ac:dyDescent="0.35">
      <c r="A1769">
        <v>2025</v>
      </c>
      <c r="B1769">
        <v>11</v>
      </c>
      <c r="C1769">
        <v>4</v>
      </c>
      <c r="D1769" s="1">
        <v>45962</v>
      </c>
      <c r="E1769" s="4" t="s">
        <v>31</v>
      </c>
      <c r="F1769" s="4" t="s">
        <v>28</v>
      </c>
      <c r="G1769" s="4" t="s">
        <v>109</v>
      </c>
      <c r="H1769">
        <v>1018</v>
      </c>
      <c r="I1769">
        <v>1572</v>
      </c>
      <c r="J1769">
        <v>0</v>
      </c>
      <c r="K1769">
        <v>1572</v>
      </c>
      <c r="L1769">
        <v>760080.57</v>
      </c>
      <c r="M1769">
        <v>0</v>
      </c>
      <c r="N1769">
        <v>760080.57</v>
      </c>
      <c r="O1769">
        <v>275323.65000000002</v>
      </c>
      <c r="P1769">
        <v>484756.92</v>
      </c>
      <c r="Q1769">
        <v>0.63780000000000003</v>
      </c>
      <c r="R1769">
        <v>134</v>
      </c>
      <c r="S1769">
        <v>118084.34</v>
      </c>
      <c r="T1769">
        <v>0</v>
      </c>
      <c r="U1769">
        <v>746.64</v>
      </c>
    </row>
    <row r="1770" spans="1:21" x14ac:dyDescent="0.35">
      <c r="A1770">
        <v>2025</v>
      </c>
      <c r="B1770">
        <v>11</v>
      </c>
      <c r="C1770">
        <v>4</v>
      </c>
      <c r="D1770" s="1">
        <v>45962</v>
      </c>
      <c r="E1770" s="4" t="s">
        <v>31</v>
      </c>
      <c r="F1770" s="4" t="s">
        <v>24</v>
      </c>
      <c r="G1770" s="4" t="s">
        <v>107</v>
      </c>
      <c r="H1770">
        <v>15</v>
      </c>
      <c r="I1770">
        <v>16</v>
      </c>
      <c r="J1770">
        <v>0</v>
      </c>
      <c r="K1770">
        <v>16</v>
      </c>
      <c r="L1770">
        <v>28706.6</v>
      </c>
      <c r="M1770">
        <v>0</v>
      </c>
      <c r="N1770">
        <v>28706.6</v>
      </c>
      <c r="O1770">
        <v>15928</v>
      </c>
      <c r="P1770">
        <v>12778.6</v>
      </c>
      <c r="Q1770">
        <v>0.4451</v>
      </c>
      <c r="R1770">
        <v>1</v>
      </c>
      <c r="S1770">
        <v>1556.6</v>
      </c>
      <c r="T1770">
        <v>0</v>
      </c>
      <c r="U1770">
        <v>1913.77</v>
      </c>
    </row>
    <row r="1771" spans="1:21" x14ac:dyDescent="0.35">
      <c r="A1771">
        <v>2025</v>
      </c>
      <c r="B1771">
        <v>11</v>
      </c>
      <c r="C1771">
        <v>4</v>
      </c>
      <c r="D1771" s="1">
        <v>45962</v>
      </c>
      <c r="E1771" s="4" t="s">
        <v>31</v>
      </c>
      <c r="F1771" s="4" t="s">
        <v>24</v>
      </c>
      <c r="G1771" s="4" t="s">
        <v>109</v>
      </c>
      <c r="H1771">
        <v>276</v>
      </c>
      <c r="I1771">
        <v>424</v>
      </c>
      <c r="J1771">
        <v>11</v>
      </c>
      <c r="K1771">
        <v>413</v>
      </c>
      <c r="L1771">
        <v>628068.82999999996</v>
      </c>
      <c r="M1771">
        <v>14345.48</v>
      </c>
      <c r="N1771">
        <v>613723.35</v>
      </c>
      <c r="O1771">
        <v>349075.65</v>
      </c>
      <c r="P1771">
        <v>264647.7</v>
      </c>
      <c r="Q1771">
        <v>0.43120000000000003</v>
      </c>
      <c r="R1771">
        <v>34</v>
      </c>
      <c r="S1771">
        <v>82245.350000000006</v>
      </c>
      <c r="T1771">
        <v>0</v>
      </c>
      <c r="U1771">
        <v>2223.64</v>
      </c>
    </row>
    <row r="1772" spans="1:21" x14ac:dyDescent="0.35">
      <c r="A1772">
        <v>2025</v>
      </c>
      <c r="B1772">
        <v>11</v>
      </c>
      <c r="C1772">
        <v>4</v>
      </c>
      <c r="D1772" s="1">
        <v>45962</v>
      </c>
      <c r="E1772" s="4" t="s">
        <v>31</v>
      </c>
      <c r="F1772" s="4" t="s">
        <v>26</v>
      </c>
      <c r="G1772" s="4" t="s">
        <v>107</v>
      </c>
      <c r="H1772">
        <v>4</v>
      </c>
      <c r="I1772">
        <v>4</v>
      </c>
      <c r="J1772">
        <v>0</v>
      </c>
      <c r="K1772">
        <v>4</v>
      </c>
      <c r="L1772">
        <v>1886.3</v>
      </c>
      <c r="M1772">
        <v>0</v>
      </c>
      <c r="N1772">
        <v>1886.3</v>
      </c>
      <c r="O1772">
        <v>1147.2</v>
      </c>
      <c r="P1772">
        <v>739.1</v>
      </c>
      <c r="Q1772">
        <v>0.39179999999999998</v>
      </c>
      <c r="R1772">
        <v>1</v>
      </c>
      <c r="S1772">
        <v>488.3</v>
      </c>
      <c r="T1772">
        <v>0</v>
      </c>
      <c r="U1772">
        <v>471.58</v>
      </c>
    </row>
    <row r="1773" spans="1:21" x14ac:dyDescent="0.35">
      <c r="A1773">
        <v>2025</v>
      </c>
      <c r="B1773">
        <v>11</v>
      </c>
      <c r="C1773">
        <v>4</v>
      </c>
      <c r="D1773" s="1">
        <v>45962</v>
      </c>
      <c r="E1773" s="4" t="s">
        <v>31</v>
      </c>
      <c r="F1773" s="4" t="s">
        <v>26</v>
      </c>
      <c r="G1773" s="4" t="s">
        <v>108</v>
      </c>
      <c r="H1773">
        <v>3</v>
      </c>
      <c r="I1773">
        <v>3</v>
      </c>
      <c r="J1773">
        <v>0</v>
      </c>
      <c r="K1773">
        <v>3</v>
      </c>
      <c r="L1773">
        <v>2178</v>
      </c>
      <c r="M1773">
        <v>0</v>
      </c>
      <c r="N1773">
        <v>2178</v>
      </c>
      <c r="O1773">
        <v>1306.8</v>
      </c>
      <c r="P1773">
        <v>871.2</v>
      </c>
      <c r="Q1773">
        <v>0.4</v>
      </c>
      <c r="R1773">
        <v>0</v>
      </c>
      <c r="S1773">
        <v>0</v>
      </c>
      <c r="T1773">
        <v>0</v>
      </c>
      <c r="U1773">
        <v>726</v>
      </c>
    </row>
    <row r="1774" spans="1:21" x14ac:dyDescent="0.35">
      <c r="A1774">
        <v>2025</v>
      </c>
      <c r="B1774">
        <v>11</v>
      </c>
      <c r="C1774">
        <v>4</v>
      </c>
      <c r="D1774" s="1">
        <v>45962</v>
      </c>
      <c r="E1774" s="4" t="s">
        <v>31</v>
      </c>
      <c r="F1774" s="4" t="s">
        <v>26</v>
      </c>
      <c r="G1774" s="4" t="s">
        <v>109</v>
      </c>
      <c r="H1774">
        <v>37</v>
      </c>
      <c r="I1774">
        <v>52</v>
      </c>
      <c r="J1774">
        <v>3</v>
      </c>
      <c r="K1774">
        <v>49</v>
      </c>
      <c r="L1774">
        <v>39315</v>
      </c>
      <c r="M1774">
        <v>1407</v>
      </c>
      <c r="N1774">
        <v>37908</v>
      </c>
      <c r="O1774">
        <v>23448</v>
      </c>
      <c r="P1774">
        <v>14460</v>
      </c>
      <c r="Q1774">
        <v>0.38140000000000002</v>
      </c>
      <c r="R1774">
        <v>6</v>
      </c>
      <c r="S1774">
        <v>5702</v>
      </c>
      <c r="T1774">
        <v>0</v>
      </c>
      <c r="U1774">
        <v>1024.54</v>
      </c>
    </row>
    <row r="1775" spans="1:21" x14ac:dyDescent="0.35">
      <c r="A1775">
        <v>2025</v>
      </c>
      <c r="B1775">
        <v>11</v>
      </c>
      <c r="C1775">
        <v>4</v>
      </c>
      <c r="D1775" s="1">
        <v>45962</v>
      </c>
      <c r="E1775" s="4" t="s">
        <v>30</v>
      </c>
      <c r="F1775" s="4" t="s">
        <v>28</v>
      </c>
      <c r="G1775" s="4" t="s">
        <v>107</v>
      </c>
      <c r="H1775">
        <v>106</v>
      </c>
      <c r="I1775">
        <v>158</v>
      </c>
      <c r="J1775">
        <v>0</v>
      </c>
      <c r="K1775">
        <v>158</v>
      </c>
      <c r="L1775">
        <v>69264.58</v>
      </c>
      <c r="M1775">
        <v>0</v>
      </c>
      <c r="N1775">
        <v>69264.58</v>
      </c>
      <c r="O1775">
        <v>24940.3</v>
      </c>
      <c r="P1775">
        <v>44324.28</v>
      </c>
      <c r="Q1775">
        <v>0.63990000000000002</v>
      </c>
      <c r="R1775">
        <v>11</v>
      </c>
      <c r="S1775">
        <v>7928.58</v>
      </c>
      <c r="T1775">
        <v>0</v>
      </c>
      <c r="U1775">
        <v>653.44000000000005</v>
      </c>
    </row>
    <row r="1776" spans="1:21" x14ac:dyDescent="0.35">
      <c r="A1776">
        <v>2025</v>
      </c>
      <c r="B1776">
        <v>11</v>
      </c>
      <c r="C1776">
        <v>4</v>
      </c>
      <c r="D1776" s="1">
        <v>45962</v>
      </c>
      <c r="E1776" s="4" t="s">
        <v>30</v>
      </c>
      <c r="F1776" s="4" t="s">
        <v>28</v>
      </c>
      <c r="G1776" s="4" t="s">
        <v>108</v>
      </c>
      <c r="H1776">
        <v>42</v>
      </c>
      <c r="I1776">
        <v>72</v>
      </c>
      <c r="J1776">
        <v>0</v>
      </c>
      <c r="K1776">
        <v>72</v>
      </c>
      <c r="L1776">
        <v>42582.6</v>
      </c>
      <c r="M1776">
        <v>0</v>
      </c>
      <c r="N1776">
        <v>42582.6</v>
      </c>
      <c r="O1776">
        <v>15498</v>
      </c>
      <c r="P1776">
        <v>27084.6</v>
      </c>
      <c r="Q1776">
        <v>0.63600000000000001</v>
      </c>
      <c r="R1776">
        <v>7</v>
      </c>
      <c r="S1776">
        <v>7527.6</v>
      </c>
      <c r="T1776">
        <v>0</v>
      </c>
      <c r="U1776">
        <v>1013.87</v>
      </c>
    </row>
    <row r="1777" spans="1:21" x14ac:dyDescent="0.35">
      <c r="A1777">
        <v>2025</v>
      </c>
      <c r="B1777">
        <v>11</v>
      </c>
      <c r="C1777">
        <v>4</v>
      </c>
      <c r="D1777" s="1">
        <v>45962</v>
      </c>
      <c r="E1777" s="4" t="s">
        <v>30</v>
      </c>
      <c r="F1777" s="4" t="s">
        <v>28</v>
      </c>
      <c r="G1777" s="4" t="s">
        <v>109</v>
      </c>
      <c r="H1777">
        <v>713</v>
      </c>
      <c r="I1777">
        <v>1066</v>
      </c>
      <c r="J1777">
        <v>0</v>
      </c>
      <c r="K1777">
        <v>1066</v>
      </c>
      <c r="L1777">
        <v>427373.04</v>
      </c>
      <c r="M1777">
        <v>0</v>
      </c>
      <c r="N1777">
        <v>427373.04</v>
      </c>
      <c r="O1777">
        <v>154552.65</v>
      </c>
      <c r="P1777">
        <v>272820.39</v>
      </c>
      <c r="Q1777">
        <v>0.63839999999999997</v>
      </c>
      <c r="R1777">
        <v>76</v>
      </c>
      <c r="S1777">
        <v>49420.04</v>
      </c>
      <c r="T1777">
        <v>0</v>
      </c>
      <c r="U1777">
        <v>599.4</v>
      </c>
    </row>
    <row r="1778" spans="1:21" x14ac:dyDescent="0.35">
      <c r="A1778">
        <v>2025</v>
      </c>
      <c r="B1778">
        <v>11</v>
      </c>
      <c r="C1778">
        <v>4</v>
      </c>
      <c r="D1778" s="1">
        <v>45962</v>
      </c>
      <c r="E1778" s="4" t="s">
        <v>30</v>
      </c>
      <c r="F1778" s="4" t="s">
        <v>24</v>
      </c>
      <c r="G1778" s="4" t="s">
        <v>107</v>
      </c>
      <c r="H1778">
        <v>84</v>
      </c>
      <c r="I1778">
        <v>120</v>
      </c>
      <c r="J1778">
        <v>2</v>
      </c>
      <c r="K1778">
        <v>118</v>
      </c>
      <c r="L1778">
        <v>225619.93</v>
      </c>
      <c r="M1778">
        <v>4578</v>
      </c>
      <c r="N1778">
        <v>221041.93</v>
      </c>
      <c r="O1778">
        <v>126681.5</v>
      </c>
      <c r="P1778">
        <v>94360.43</v>
      </c>
      <c r="Q1778">
        <v>0.4269</v>
      </c>
      <c r="R1778">
        <v>8</v>
      </c>
      <c r="S1778">
        <v>33131.93</v>
      </c>
      <c r="T1778">
        <v>0</v>
      </c>
      <c r="U1778">
        <v>2631.45</v>
      </c>
    </row>
    <row r="1779" spans="1:21" x14ac:dyDescent="0.35">
      <c r="A1779">
        <v>2025</v>
      </c>
      <c r="B1779">
        <v>11</v>
      </c>
      <c r="C1779">
        <v>4</v>
      </c>
      <c r="D1779" s="1">
        <v>45962</v>
      </c>
      <c r="E1779" s="4" t="s">
        <v>30</v>
      </c>
      <c r="F1779" s="4" t="s">
        <v>24</v>
      </c>
      <c r="G1779" s="4" t="s">
        <v>108</v>
      </c>
      <c r="H1779">
        <v>8</v>
      </c>
      <c r="I1779">
        <v>12</v>
      </c>
      <c r="J1779">
        <v>0</v>
      </c>
      <c r="K1779">
        <v>12</v>
      </c>
      <c r="L1779">
        <v>27510.78</v>
      </c>
      <c r="M1779">
        <v>0</v>
      </c>
      <c r="N1779">
        <v>27510.78</v>
      </c>
      <c r="O1779">
        <v>15899.4</v>
      </c>
      <c r="P1779">
        <v>11611.38</v>
      </c>
      <c r="Q1779">
        <v>0.42209999999999998</v>
      </c>
      <c r="R1779">
        <v>1</v>
      </c>
      <c r="S1779">
        <v>3420.78</v>
      </c>
      <c r="T1779">
        <v>0</v>
      </c>
      <c r="U1779">
        <v>3438.85</v>
      </c>
    </row>
    <row r="1780" spans="1:21" x14ac:dyDescent="0.35">
      <c r="A1780">
        <v>2025</v>
      </c>
      <c r="B1780">
        <v>11</v>
      </c>
      <c r="C1780">
        <v>4</v>
      </c>
      <c r="D1780" s="1">
        <v>45962</v>
      </c>
      <c r="E1780" s="4" t="s">
        <v>30</v>
      </c>
      <c r="F1780" s="4" t="s">
        <v>24</v>
      </c>
      <c r="G1780" s="4" t="s">
        <v>109</v>
      </c>
      <c r="H1780">
        <v>239</v>
      </c>
      <c r="I1780">
        <v>352</v>
      </c>
      <c r="J1780">
        <v>18</v>
      </c>
      <c r="K1780">
        <v>334</v>
      </c>
      <c r="L1780">
        <v>643284.39</v>
      </c>
      <c r="M1780">
        <v>32193</v>
      </c>
      <c r="N1780">
        <v>611091.39</v>
      </c>
      <c r="O1780">
        <v>347211.7</v>
      </c>
      <c r="P1780">
        <v>263879.69</v>
      </c>
      <c r="Q1780">
        <v>0.43180000000000002</v>
      </c>
      <c r="R1780">
        <v>26</v>
      </c>
      <c r="S1780">
        <v>78447.39</v>
      </c>
      <c r="T1780">
        <v>0</v>
      </c>
      <c r="U1780">
        <v>2556.87</v>
      </c>
    </row>
    <row r="1781" spans="1:21" x14ac:dyDescent="0.35">
      <c r="A1781">
        <v>2025</v>
      </c>
      <c r="B1781">
        <v>11</v>
      </c>
      <c r="C1781">
        <v>4</v>
      </c>
      <c r="D1781" s="1">
        <v>45962</v>
      </c>
      <c r="E1781" s="4" t="s">
        <v>30</v>
      </c>
      <c r="F1781" s="4" t="s">
        <v>26</v>
      </c>
      <c r="G1781" s="4" t="s">
        <v>107</v>
      </c>
      <c r="H1781">
        <v>2</v>
      </c>
      <c r="I1781">
        <v>2</v>
      </c>
      <c r="J1781">
        <v>0</v>
      </c>
      <c r="K1781">
        <v>2</v>
      </c>
      <c r="L1781">
        <v>1816</v>
      </c>
      <c r="M1781">
        <v>0</v>
      </c>
      <c r="N1781">
        <v>1816</v>
      </c>
      <c r="O1781">
        <v>1089.5999999999999</v>
      </c>
      <c r="P1781">
        <v>726.4</v>
      </c>
      <c r="Q1781">
        <v>0.4</v>
      </c>
      <c r="R1781">
        <v>0</v>
      </c>
      <c r="S1781">
        <v>0</v>
      </c>
      <c r="T1781">
        <v>0</v>
      </c>
      <c r="U1781">
        <v>908</v>
      </c>
    </row>
    <row r="1782" spans="1:21" x14ac:dyDescent="0.35">
      <c r="A1782">
        <v>2025</v>
      </c>
      <c r="B1782">
        <v>11</v>
      </c>
      <c r="C1782">
        <v>4</v>
      </c>
      <c r="D1782" s="1">
        <v>45962</v>
      </c>
      <c r="E1782" s="4" t="s">
        <v>30</v>
      </c>
      <c r="F1782" s="4" t="s">
        <v>26</v>
      </c>
      <c r="G1782" s="4" t="s">
        <v>109</v>
      </c>
      <c r="H1782">
        <v>68</v>
      </c>
      <c r="I1782">
        <v>101</v>
      </c>
      <c r="J1782">
        <v>2</v>
      </c>
      <c r="K1782">
        <v>99</v>
      </c>
      <c r="L1782">
        <v>82030.84</v>
      </c>
      <c r="M1782">
        <v>1179</v>
      </c>
      <c r="N1782">
        <v>80851.839999999997</v>
      </c>
      <c r="O1782">
        <v>49011.6</v>
      </c>
      <c r="P1782">
        <v>31840.240000000002</v>
      </c>
      <c r="Q1782">
        <v>0.39379999999999998</v>
      </c>
      <c r="R1782">
        <v>3</v>
      </c>
      <c r="S1782">
        <v>5703.84</v>
      </c>
      <c r="T1782">
        <v>0</v>
      </c>
      <c r="U1782">
        <v>1189</v>
      </c>
    </row>
    <row r="1783" spans="1:21" x14ac:dyDescent="0.35">
      <c r="A1783">
        <v>2025</v>
      </c>
      <c r="B1783">
        <v>11</v>
      </c>
      <c r="C1783">
        <v>4</v>
      </c>
      <c r="D1783" s="1">
        <v>45962</v>
      </c>
      <c r="E1783" s="4" t="s">
        <v>78</v>
      </c>
      <c r="F1783" s="4" t="s">
        <v>78</v>
      </c>
      <c r="G1783" s="4" t="s">
        <v>110</v>
      </c>
      <c r="H1783">
        <v>291</v>
      </c>
      <c r="I1783">
        <v>419</v>
      </c>
      <c r="J1783">
        <v>0</v>
      </c>
      <c r="K1783">
        <v>419</v>
      </c>
      <c r="L1783">
        <v>993111</v>
      </c>
      <c r="M1783">
        <v>0</v>
      </c>
      <c r="N1783">
        <v>993111</v>
      </c>
      <c r="O1783">
        <v>148966.65</v>
      </c>
      <c r="P1783">
        <v>844144.35</v>
      </c>
      <c r="Q1783">
        <v>0.85</v>
      </c>
      <c r="R1783">
        <v>1</v>
      </c>
      <c r="S1783">
        <v>399</v>
      </c>
      <c r="T1783">
        <v>0</v>
      </c>
      <c r="U1783">
        <v>3412.75</v>
      </c>
    </row>
    <row r="1784" spans="1:21" x14ac:dyDescent="0.35">
      <c r="A1784">
        <v>2025</v>
      </c>
      <c r="B1784">
        <v>12</v>
      </c>
      <c r="C1784">
        <v>4</v>
      </c>
      <c r="D1784" s="1">
        <v>45992</v>
      </c>
      <c r="E1784" s="4" t="s">
        <v>33</v>
      </c>
      <c r="F1784" s="4" t="s">
        <v>28</v>
      </c>
      <c r="G1784" s="4" t="s">
        <v>107</v>
      </c>
      <c r="H1784">
        <v>249</v>
      </c>
      <c r="I1784">
        <v>382</v>
      </c>
      <c r="J1784">
        <v>0</v>
      </c>
      <c r="K1784">
        <v>382</v>
      </c>
      <c r="L1784">
        <v>121274.37</v>
      </c>
      <c r="M1784">
        <v>0</v>
      </c>
      <c r="N1784">
        <v>121274.37</v>
      </c>
      <c r="O1784">
        <v>44002.35</v>
      </c>
      <c r="P1784">
        <v>77272.02</v>
      </c>
      <c r="Q1784">
        <v>0.63719999999999999</v>
      </c>
      <c r="R1784">
        <v>25</v>
      </c>
      <c r="S1784">
        <v>14492.37</v>
      </c>
      <c r="T1784">
        <v>0</v>
      </c>
      <c r="U1784">
        <v>487.05</v>
      </c>
    </row>
    <row r="1785" spans="1:21" x14ac:dyDescent="0.35">
      <c r="A1785">
        <v>2025</v>
      </c>
      <c r="B1785">
        <v>12</v>
      </c>
      <c r="C1785">
        <v>4</v>
      </c>
      <c r="D1785" s="1">
        <v>45992</v>
      </c>
      <c r="E1785" s="4" t="s">
        <v>33</v>
      </c>
      <c r="F1785" s="4" t="s">
        <v>28</v>
      </c>
      <c r="G1785" s="4" t="s">
        <v>108</v>
      </c>
      <c r="H1785">
        <v>106</v>
      </c>
      <c r="I1785">
        <v>148</v>
      </c>
      <c r="J1785">
        <v>0</v>
      </c>
      <c r="K1785">
        <v>148</v>
      </c>
      <c r="L1785">
        <v>103332.56</v>
      </c>
      <c r="M1785">
        <v>0</v>
      </c>
      <c r="N1785">
        <v>103332.56</v>
      </c>
      <c r="O1785">
        <v>36881.599999999999</v>
      </c>
      <c r="P1785">
        <v>66450.960000000006</v>
      </c>
      <c r="Q1785">
        <v>0.6431</v>
      </c>
      <c r="R1785">
        <v>8</v>
      </c>
      <c r="S1785">
        <v>7924.56</v>
      </c>
      <c r="T1785">
        <v>0</v>
      </c>
      <c r="U1785">
        <v>974.84</v>
      </c>
    </row>
    <row r="1786" spans="1:21" x14ac:dyDescent="0.35">
      <c r="A1786">
        <v>2025</v>
      </c>
      <c r="B1786">
        <v>12</v>
      </c>
      <c r="C1786">
        <v>4</v>
      </c>
      <c r="D1786" s="1">
        <v>45992</v>
      </c>
      <c r="E1786" s="4" t="s">
        <v>33</v>
      </c>
      <c r="F1786" s="4" t="s">
        <v>28</v>
      </c>
      <c r="G1786" s="4" t="s">
        <v>109</v>
      </c>
      <c r="H1786">
        <v>1469</v>
      </c>
      <c r="I1786">
        <v>2264</v>
      </c>
      <c r="J1786">
        <v>0</v>
      </c>
      <c r="K1786">
        <v>2264</v>
      </c>
      <c r="L1786">
        <v>1165291.25</v>
      </c>
      <c r="M1786">
        <v>0</v>
      </c>
      <c r="N1786">
        <v>1165291.25</v>
      </c>
      <c r="O1786">
        <v>422687.65</v>
      </c>
      <c r="P1786">
        <v>742603.6</v>
      </c>
      <c r="Q1786">
        <v>0.63729999999999998</v>
      </c>
      <c r="R1786">
        <v>179</v>
      </c>
      <c r="S1786">
        <v>166753.25</v>
      </c>
      <c r="T1786">
        <v>0</v>
      </c>
      <c r="U1786">
        <v>793.25</v>
      </c>
    </row>
    <row r="1787" spans="1:21" x14ac:dyDescent="0.35">
      <c r="A1787">
        <v>2025</v>
      </c>
      <c r="B1787">
        <v>12</v>
      </c>
      <c r="C1787">
        <v>4</v>
      </c>
      <c r="D1787" s="1">
        <v>45992</v>
      </c>
      <c r="E1787" s="4" t="s">
        <v>33</v>
      </c>
      <c r="F1787" s="4" t="s">
        <v>24</v>
      </c>
      <c r="G1787" s="4" t="s">
        <v>107</v>
      </c>
      <c r="H1787">
        <v>35</v>
      </c>
      <c r="I1787">
        <v>53</v>
      </c>
      <c r="J1787">
        <v>1</v>
      </c>
      <c r="K1787">
        <v>52</v>
      </c>
      <c r="L1787">
        <v>80823.16</v>
      </c>
      <c r="M1787">
        <v>1868</v>
      </c>
      <c r="N1787">
        <v>78955.16</v>
      </c>
      <c r="O1787">
        <v>45100</v>
      </c>
      <c r="P1787">
        <v>33855.160000000003</v>
      </c>
      <c r="Q1787">
        <v>0.42880000000000001</v>
      </c>
      <c r="R1787">
        <v>4</v>
      </c>
      <c r="S1787">
        <v>13767.16</v>
      </c>
      <c r="T1787">
        <v>0</v>
      </c>
      <c r="U1787">
        <v>2255.86</v>
      </c>
    </row>
    <row r="1788" spans="1:21" x14ac:dyDescent="0.35">
      <c r="A1788">
        <v>2025</v>
      </c>
      <c r="B1788">
        <v>12</v>
      </c>
      <c r="C1788">
        <v>4</v>
      </c>
      <c r="D1788" s="1">
        <v>45992</v>
      </c>
      <c r="E1788" s="4" t="s">
        <v>33</v>
      </c>
      <c r="F1788" s="4" t="s">
        <v>24</v>
      </c>
      <c r="G1788" s="4" t="s">
        <v>109</v>
      </c>
      <c r="H1788">
        <v>301</v>
      </c>
      <c r="I1788">
        <v>461</v>
      </c>
      <c r="J1788">
        <v>19</v>
      </c>
      <c r="K1788">
        <v>442</v>
      </c>
      <c r="L1788">
        <v>701887.82</v>
      </c>
      <c r="M1788">
        <v>26790.05</v>
      </c>
      <c r="N1788">
        <v>675097.77</v>
      </c>
      <c r="O1788">
        <v>385506</v>
      </c>
      <c r="P1788">
        <v>289591.77</v>
      </c>
      <c r="Q1788">
        <v>0.42899999999999999</v>
      </c>
      <c r="R1788">
        <v>30</v>
      </c>
      <c r="S1788">
        <v>99048.77</v>
      </c>
      <c r="T1788">
        <v>0</v>
      </c>
      <c r="U1788">
        <v>2242.85</v>
      </c>
    </row>
    <row r="1789" spans="1:21" x14ac:dyDescent="0.35">
      <c r="A1789">
        <v>2025</v>
      </c>
      <c r="B1789">
        <v>12</v>
      </c>
      <c r="C1789">
        <v>4</v>
      </c>
      <c r="D1789" s="1">
        <v>45992</v>
      </c>
      <c r="E1789" s="4" t="s">
        <v>33</v>
      </c>
      <c r="F1789" s="4" t="s">
        <v>26</v>
      </c>
      <c r="G1789" s="4" t="s">
        <v>107</v>
      </c>
      <c r="H1789">
        <v>6</v>
      </c>
      <c r="I1789">
        <v>9</v>
      </c>
      <c r="J1789">
        <v>0</v>
      </c>
      <c r="K1789">
        <v>9</v>
      </c>
      <c r="L1789">
        <v>5264</v>
      </c>
      <c r="M1789">
        <v>0</v>
      </c>
      <c r="N1789">
        <v>5264</v>
      </c>
      <c r="O1789">
        <v>3158.4</v>
      </c>
      <c r="P1789">
        <v>2105.6</v>
      </c>
      <c r="Q1789">
        <v>0.4</v>
      </c>
      <c r="R1789">
        <v>0</v>
      </c>
      <c r="S1789">
        <v>0</v>
      </c>
      <c r="T1789">
        <v>0</v>
      </c>
      <c r="U1789">
        <v>877.33</v>
      </c>
    </row>
    <row r="1790" spans="1:21" x14ac:dyDescent="0.35">
      <c r="A1790">
        <v>2025</v>
      </c>
      <c r="B1790">
        <v>12</v>
      </c>
      <c r="C1790">
        <v>4</v>
      </c>
      <c r="D1790" s="1">
        <v>45992</v>
      </c>
      <c r="E1790" s="4" t="s">
        <v>33</v>
      </c>
      <c r="F1790" s="4" t="s">
        <v>26</v>
      </c>
      <c r="G1790" s="4" t="s">
        <v>108</v>
      </c>
      <c r="H1790">
        <v>11</v>
      </c>
      <c r="I1790">
        <v>15</v>
      </c>
      <c r="J1790">
        <v>1</v>
      </c>
      <c r="K1790">
        <v>14</v>
      </c>
      <c r="L1790">
        <v>11486</v>
      </c>
      <c r="M1790">
        <v>614</v>
      </c>
      <c r="N1790">
        <v>10872</v>
      </c>
      <c r="O1790">
        <v>6880.2</v>
      </c>
      <c r="P1790">
        <v>3991.8</v>
      </c>
      <c r="Q1790">
        <v>0.36720000000000003</v>
      </c>
      <c r="R1790">
        <v>2</v>
      </c>
      <c r="S1790">
        <v>2905</v>
      </c>
      <c r="T1790">
        <v>0</v>
      </c>
      <c r="U1790">
        <v>988.36</v>
      </c>
    </row>
    <row r="1791" spans="1:21" x14ac:dyDescent="0.35">
      <c r="A1791">
        <v>2025</v>
      </c>
      <c r="B1791">
        <v>12</v>
      </c>
      <c r="C1791">
        <v>4</v>
      </c>
      <c r="D1791" s="1">
        <v>45992</v>
      </c>
      <c r="E1791" s="4" t="s">
        <v>33</v>
      </c>
      <c r="F1791" s="4" t="s">
        <v>26</v>
      </c>
      <c r="G1791" s="4" t="s">
        <v>109</v>
      </c>
      <c r="H1791">
        <v>54</v>
      </c>
      <c r="I1791">
        <v>72</v>
      </c>
      <c r="J1791">
        <v>6</v>
      </c>
      <c r="K1791">
        <v>66</v>
      </c>
      <c r="L1791">
        <v>52466.69</v>
      </c>
      <c r="M1791">
        <v>3680.9</v>
      </c>
      <c r="N1791">
        <v>48785.79</v>
      </c>
      <c r="O1791">
        <v>29980.799999999999</v>
      </c>
      <c r="P1791">
        <v>18804.990000000002</v>
      </c>
      <c r="Q1791">
        <v>0.38550000000000001</v>
      </c>
      <c r="R1791">
        <v>7</v>
      </c>
      <c r="S1791">
        <v>5000.79</v>
      </c>
      <c r="T1791">
        <v>0</v>
      </c>
      <c r="U1791">
        <v>903.44</v>
      </c>
    </row>
    <row r="1792" spans="1:21" x14ac:dyDescent="0.35">
      <c r="A1792">
        <v>2025</v>
      </c>
      <c r="B1792">
        <v>12</v>
      </c>
      <c r="C1792">
        <v>4</v>
      </c>
      <c r="D1792" s="1">
        <v>45992</v>
      </c>
      <c r="E1792" s="4" t="s">
        <v>32</v>
      </c>
      <c r="F1792" s="4" t="s">
        <v>28</v>
      </c>
      <c r="G1792" s="4" t="s">
        <v>107</v>
      </c>
      <c r="H1792">
        <v>63</v>
      </c>
      <c r="I1792">
        <v>92</v>
      </c>
      <c r="J1792">
        <v>0</v>
      </c>
      <c r="K1792">
        <v>92</v>
      </c>
      <c r="L1792">
        <v>40333.360000000001</v>
      </c>
      <c r="M1792">
        <v>0</v>
      </c>
      <c r="N1792">
        <v>40333.360000000001</v>
      </c>
      <c r="O1792">
        <v>14618.8</v>
      </c>
      <c r="P1792">
        <v>25714.560000000001</v>
      </c>
      <c r="Q1792">
        <v>0.63759999999999994</v>
      </c>
      <c r="R1792">
        <v>10</v>
      </c>
      <c r="S1792">
        <v>7191.36</v>
      </c>
      <c r="T1792">
        <v>0</v>
      </c>
      <c r="U1792">
        <v>640.21</v>
      </c>
    </row>
    <row r="1793" spans="1:21" x14ac:dyDescent="0.35">
      <c r="A1793">
        <v>2025</v>
      </c>
      <c r="B1793">
        <v>12</v>
      </c>
      <c r="C1793">
        <v>4</v>
      </c>
      <c r="D1793" s="1">
        <v>45992</v>
      </c>
      <c r="E1793" s="4" t="s">
        <v>32</v>
      </c>
      <c r="F1793" s="4" t="s">
        <v>28</v>
      </c>
      <c r="G1793" s="4" t="s">
        <v>109</v>
      </c>
      <c r="H1793">
        <v>1018</v>
      </c>
      <c r="I1793">
        <v>1540</v>
      </c>
      <c r="J1793">
        <v>0</v>
      </c>
      <c r="K1793">
        <v>1540</v>
      </c>
      <c r="L1793">
        <v>525337.68999999994</v>
      </c>
      <c r="M1793">
        <v>0</v>
      </c>
      <c r="N1793">
        <v>525337.68999999994</v>
      </c>
      <c r="O1793">
        <v>190841.35</v>
      </c>
      <c r="P1793">
        <v>334496.34000000003</v>
      </c>
      <c r="Q1793">
        <v>0.63670000000000004</v>
      </c>
      <c r="R1793">
        <v>125</v>
      </c>
      <c r="S1793">
        <v>79077.05</v>
      </c>
      <c r="T1793">
        <v>0</v>
      </c>
      <c r="U1793">
        <v>516.04999999999995</v>
      </c>
    </row>
    <row r="1794" spans="1:21" x14ac:dyDescent="0.35">
      <c r="A1794">
        <v>2025</v>
      </c>
      <c r="B1794">
        <v>12</v>
      </c>
      <c r="C1794">
        <v>4</v>
      </c>
      <c r="D1794" s="1">
        <v>45992</v>
      </c>
      <c r="E1794" s="4" t="s">
        <v>32</v>
      </c>
      <c r="F1794" s="4" t="s">
        <v>35</v>
      </c>
      <c r="G1794" s="4" t="s">
        <v>108</v>
      </c>
      <c r="H1794">
        <v>1</v>
      </c>
      <c r="I1794">
        <v>1</v>
      </c>
      <c r="J1794">
        <v>0</v>
      </c>
      <c r="K1794">
        <v>1</v>
      </c>
      <c r="L1794">
        <v>394</v>
      </c>
      <c r="M1794">
        <v>0</v>
      </c>
      <c r="N1794">
        <v>394</v>
      </c>
      <c r="O1794">
        <v>78.8</v>
      </c>
      <c r="P1794">
        <v>315.2</v>
      </c>
      <c r="Q1794">
        <v>0.8</v>
      </c>
      <c r="R1794">
        <v>0</v>
      </c>
      <c r="S1794">
        <v>0</v>
      </c>
      <c r="T1794">
        <v>0</v>
      </c>
      <c r="U1794">
        <v>394</v>
      </c>
    </row>
    <row r="1795" spans="1:21" x14ac:dyDescent="0.35">
      <c r="A1795">
        <v>2025</v>
      </c>
      <c r="B1795">
        <v>12</v>
      </c>
      <c r="C1795">
        <v>4</v>
      </c>
      <c r="D1795" s="1">
        <v>45992</v>
      </c>
      <c r="E1795" s="4" t="s">
        <v>32</v>
      </c>
      <c r="F1795" s="4" t="s">
        <v>24</v>
      </c>
      <c r="G1795" s="4" t="s">
        <v>107</v>
      </c>
      <c r="H1795">
        <v>99</v>
      </c>
      <c r="I1795">
        <v>139</v>
      </c>
      <c r="J1795">
        <v>0</v>
      </c>
      <c r="K1795">
        <v>139</v>
      </c>
      <c r="L1795">
        <v>209261.8</v>
      </c>
      <c r="M1795">
        <v>0</v>
      </c>
      <c r="N1795">
        <v>209261.8</v>
      </c>
      <c r="O1795">
        <v>118174.65</v>
      </c>
      <c r="P1795">
        <v>91087.15</v>
      </c>
      <c r="Q1795">
        <v>0.43530000000000002</v>
      </c>
      <c r="R1795">
        <v>11</v>
      </c>
      <c r="S1795">
        <v>26369.4</v>
      </c>
      <c r="T1795">
        <v>0</v>
      </c>
      <c r="U1795">
        <v>2113.7600000000002</v>
      </c>
    </row>
    <row r="1796" spans="1:21" x14ac:dyDescent="0.35">
      <c r="A1796">
        <v>2025</v>
      </c>
      <c r="B1796">
        <v>12</v>
      </c>
      <c r="C1796">
        <v>4</v>
      </c>
      <c r="D1796" s="1">
        <v>45992</v>
      </c>
      <c r="E1796" s="4" t="s">
        <v>32</v>
      </c>
      <c r="F1796" s="4" t="s">
        <v>24</v>
      </c>
      <c r="G1796" s="4" t="s">
        <v>109</v>
      </c>
      <c r="H1796">
        <v>350</v>
      </c>
      <c r="I1796">
        <v>518</v>
      </c>
      <c r="J1796">
        <v>14</v>
      </c>
      <c r="K1796">
        <v>504</v>
      </c>
      <c r="L1796">
        <v>664398.01</v>
      </c>
      <c r="M1796">
        <v>15868</v>
      </c>
      <c r="N1796">
        <v>648530.01</v>
      </c>
      <c r="O1796">
        <v>369576.9</v>
      </c>
      <c r="P1796">
        <v>278953.11</v>
      </c>
      <c r="Q1796">
        <v>0.43009999999999998</v>
      </c>
      <c r="R1796">
        <v>37</v>
      </c>
      <c r="S1796">
        <v>91977.01</v>
      </c>
      <c r="T1796">
        <v>0</v>
      </c>
      <c r="U1796">
        <v>1852.94</v>
      </c>
    </row>
    <row r="1797" spans="1:21" x14ac:dyDescent="0.35">
      <c r="A1797">
        <v>2025</v>
      </c>
      <c r="B1797">
        <v>12</v>
      </c>
      <c r="C1797">
        <v>4</v>
      </c>
      <c r="D1797" s="1">
        <v>45992</v>
      </c>
      <c r="E1797" s="4" t="s">
        <v>32</v>
      </c>
      <c r="F1797" s="4" t="s">
        <v>26</v>
      </c>
      <c r="G1797" s="4" t="s">
        <v>108</v>
      </c>
      <c r="H1797">
        <v>13</v>
      </c>
      <c r="I1797">
        <v>17</v>
      </c>
      <c r="J1797">
        <v>0</v>
      </c>
      <c r="K1797">
        <v>17</v>
      </c>
      <c r="L1797">
        <v>5355</v>
      </c>
      <c r="M1797">
        <v>0</v>
      </c>
      <c r="N1797">
        <v>5355</v>
      </c>
      <c r="O1797">
        <v>3213</v>
      </c>
      <c r="P1797">
        <v>2142</v>
      </c>
      <c r="Q1797">
        <v>0.4</v>
      </c>
      <c r="R1797">
        <v>0</v>
      </c>
      <c r="S1797">
        <v>0</v>
      </c>
      <c r="T1797">
        <v>0</v>
      </c>
      <c r="U1797">
        <v>411.92</v>
      </c>
    </row>
    <row r="1798" spans="1:21" x14ac:dyDescent="0.35">
      <c r="A1798">
        <v>2025</v>
      </c>
      <c r="B1798">
        <v>12</v>
      </c>
      <c r="C1798">
        <v>4</v>
      </c>
      <c r="D1798" s="1">
        <v>45992</v>
      </c>
      <c r="E1798" s="4" t="s">
        <v>32</v>
      </c>
      <c r="F1798" s="4" t="s">
        <v>26</v>
      </c>
      <c r="G1798" s="4" t="s">
        <v>109</v>
      </c>
      <c r="H1798">
        <v>46</v>
      </c>
      <c r="I1798">
        <v>71</v>
      </c>
      <c r="J1798">
        <v>3</v>
      </c>
      <c r="K1798">
        <v>68</v>
      </c>
      <c r="L1798">
        <v>43753.63</v>
      </c>
      <c r="M1798">
        <v>806.76</v>
      </c>
      <c r="N1798">
        <v>42946.87</v>
      </c>
      <c r="O1798">
        <v>27823.8</v>
      </c>
      <c r="P1798">
        <v>15123.07</v>
      </c>
      <c r="Q1798">
        <v>0.35210000000000002</v>
      </c>
      <c r="R1798">
        <v>7</v>
      </c>
      <c r="S1798">
        <v>8809.8700000000008</v>
      </c>
      <c r="T1798">
        <v>0</v>
      </c>
      <c r="U1798">
        <v>933.63</v>
      </c>
    </row>
    <row r="1799" spans="1:21" x14ac:dyDescent="0.35">
      <c r="A1799">
        <v>2025</v>
      </c>
      <c r="B1799">
        <v>12</v>
      </c>
      <c r="C1799">
        <v>4</v>
      </c>
      <c r="D1799" s="1">
        <v>45992</v>
      </c>
      <c r="E1799" s="4" t="s">
        <v>27</v>
      </c>
      <c r="F1799" s="4" t="s">
        <v>28</v>
      </c>
      <c r="G1799" s="4" t="s">
        <v>107</v>
      </c>
      <c r="H1799">
        <v>568</v>
      </c>
      <c r="I1799">
        <v>867</v>
      </c>
      <c r="J1799">
        <v>0</v>
      </c>
      <c r="K1799">
        <v>867</v>
      </c>
      <c r="L1799">
        <v>386898.08</v>
      </c>
      <c r="M1799">
        <v>0</v>
      </c>
      <c r="N1799">
        <v>386898.08</v>
      </c>
      <c r="O1799">
        <v>140317.45000000001</v>
      </c>
      <c r="P1799">
        <v>246580.63</v>
      </c>
      <c r="Q1799">
        <v>0.63729999999999998</v>
      </c>
      <c r="R1799">
        <v>67</v>
      </c>
      <c r="S1799">
        <v>60239.360000000001</v>
      </c>
      <c r="T1799">
        <v>0</v>
      </c>
      <c r="U1799">
        <v>681.16</v>
      </c>
    </row>
    <row r="1800" spans="1:21" x14ac:dyDescent="0.35">
      <c r="A1800">
        <v>2025</v>
      </c>
      <c r="B1800">
        <v>12</v>
      </c>
      <c r="C1800">
        <v>4</v>
      </c>
      <c r="D1800" s="1">
        <v>45992</v>
      </c>
      <c r="E1800" s="4" t="s">
        <v>27</v>
      </c>
      <c r="F1800" s="4" t="s">
        <v>28</v>
      </c>
      <c r="G1800" s="4" t="s">
        <v>109</v>
      </c>
      <c r="H1800">
        <v>1573</v>
      </c>
      <c r="I1800">
        <v>2392</v>
      </c>
      <c r="J1800">
        <v>0</v>
      </c>
      <c r="K1800">
        <v>2392</v>
      </c>
      <c r="L1800">
        <v>1283898.93</v>
      </c>
      <c r="M1800">
        <v>0</v>
      </c>
      <c r="N1800">
        <v>1283898.93</v>
      </c>
      <c r="O1800">
        <v>465462.55</v>
      </c>
      <c r="P1800">
        <v>818436.38</v>
      </c>
      <c r="Q1800">
        <v>0.63749999999999996</v>
      </c>
      <c r="R1800">
        <v>183</v>
      </c>
      <c r="S1800">
        <v>183076.93</v>
      </c>
      <c r="T1800">
        <v>0</v>
      </c>
      <c r="U1800">
        <v>816.21</v>
      </c>
    </row>
    <row r="1801" spans="1:21" x14ac:dyDescent="0.35">
      <c r="A1801">
        <v>2025</v>
      </c>
      <c r="B1801">
        <v>12</v>
      </c>
      <c r="C1801">
        <v>4</v>
      </c>
      <c r="D1801" s="1">
        <v>45992</v>
      </c>
      <c r="E1801" s="4" t="s">
        <v>27</v>
      </c>
      <c r="F1801" s="4" t="s">
        <v>35</v>
      </c>
      <c r="G1801" s="4" t="s">
        <v>109</v>
      </c>
      <c r="H1801">
        <v>1</v>
      </c>
      <c r="I1801">
        <v>2</v>
      </c>
      <c r="J1801">
        <v>0</v>
      </c>
      <c r="K1801">
        <v>2</v>
      </c>
      <c r="L1801">
        <v>616</v>
      </c>
      <c r="M1801">
        <v>0</v>
      </c>
      <c r="N1801">
        <v>616</v>
      </c>
      <c r="O1801">
        <v>123.2</v>
      </c>
      <c r="P1801">
        <v>492.8</v>
      </c>
      <c r="Q1801">
        <v>0.8</v>
      </c>
      <c r="R1801">
        <v>0</v>
      </c>
      <c r="S1801">
        <v>0</v>
      </c>
      <c r="T1801">
        <v>0</v>
      </c>
      <c r="U1801">
        <v>616</v>
      </c>
    </row>
    <row r="1802" spans="1:21" x14ac:dyDescent="0.35">
      <c r="A1802">
        <v>2025</v>
      </c>
      <c r="B1802">
        <v>12</v>
      </c>
      <c r="C1802">
        <v>4</v>
      </c>
      <c r="D1802" s="1">
        <v>45992</v>
      </c>
      <c r="E1802" s="4" t="s">
        <v>27</v>
      </c>
      <c r="F1802" s="4" t="s">
        <v>24</v>
      </c>
      <c r="G1802" s="4" t="s">
        <v>107</v>
      </c>
      <c r="H1802">
        <v>95</v>
      </c>
      <c r="I1802">
        <v>141</v>
      </c>
      <c r="J1802">
        <v>1</v>
      </c>
      <c r="K1802">
        <v>140</v>
      </c>
      <c r="L1802">
        <v>252972.47</v>
      </c>
      <c r="M1802">
        <v>1614</v>
      </c>
      <c r="N1802">
        <v>251358.47</v>
      </c>
      <c r="O1802">
        <v>143254.1</v>
      </c>
      <c r="P1802">
        <v>108104.37</v>
      </c>
      <c r="Q1802">
        <v>0.43009999999999998</v>
      </c>
      <c r="R1802">
        <v>11</v>
      </c>
      <c r="S1802">
        <v>36901.47</v>
      </c>
      <c r="T1802">
        <v>0</v>
      </c>
      <c r="U1802">
        <v>2645.88</v>
      </c>
    </row>
    <row r="1803" spans="1:21" x14ac:dyDescent="0.35">
      <c r="A1803">
        <v>2025</v>
      </c>
      <c r="B1803">
        <v>12</v>
      </c>
      <c r="C1803">
        <v>4</v>
      </c>
      <c r="D1803" s="1">
        <v>45992</v>
      </c>
      <c r="E1803" s="4" t="s">
        <v>27</v>
      </c>
      <c r="F1803" s="4" t="s">
        <v>24</v>
      </c>
      <c r="G1803" s="4" t="s">
        <v>109</v>
      </c>
      <c r="H1803">
        <v>547</v>
      </c>
      <c r="I1803">
        <v>832</v>
      </c>
      <c r="J1803">
        <v>14</v>
      </c>
      <c r="K1803">
        <v>818</v>
      </c>
      <c r="L1803">
        <v>1325222.1499999999</v>
      </c>
      <c r="M1803">
        <v>22865.15</v>
      </c>
      <c r="N1803">
        <v>1302357</v>
      </c>
      <c r="O1803">
        <v>743053.85</v>
      </c>
      <c r="P1803">
        <v>559303.15</v>
      </c>
      <c r="Q1803">
        <v>0.42949999999999999</v>
      </c>
      <c r="R1803">
        <v>69</v>
      </c>
      <c r="S1803">
        <v>183336.59</v>
      </c>
      <c r="T1803">
        <v>0</v>
      </c>
      <c r="U1803">
        <v>2380.91</v>
      </c>
    </row>
    <row r="1804" spans="1:21" x14ac:dyDescent="0.35">
      <c r="A1804">
        <v>2025</v>
      </c>
      <c r="B1804">
        <v>12</v>
      </c>
      <c r="C1804">
        <v>4</v>
      </c>
      <c r="D1804" s="1">
        <v>45992</v>
      </c>
      <c r="E1804" s="4" t="s">
        <v>27</v>
      </c>
      <c r="F1804" s="4" t="s">
        <v>26</v>
      </c>
      <c r="G1804" s="4" t="s">
        <v>107</v>
      </c>
      <c r="H1804">
        <v>12</v>
      </c>
      <c r="I1804">
        <v>18</v>
      </c>
      <c r="J1804">
        <v>0</v>
      </c>
      <c r="K1804">
        <v>18</v>
      </c>
      <c r="L1804">
        <v>17675</v>
      </c>
      <c r="M1804">
        <v>0</v>
      </c>
      <c r="N1804">
        <v>17675</v>
      </c>
      <c r="O1804">
        <v>11031.6</v>
      </c>
      <c r="P1804">
        <v>6643.4</v>
      </c>
      <c r="Q1804">
        <v>0.37590000000000001</v>
      </c>
      <c r="R1804">
        <v>1</v>
      </c>
      <c r="S1804">
        <v>2844</v>
      </c>
      <c r="T1804">
        <v>0</v>
      </c>
      <c r="U1804">
        <v>1472.92</v>
      </c>
    </row>
    <row r="1805" spans="1:21" x14ac:dyDescent="0.35">
      <c r="A1805">
        <v>2025</v>
      </c>
      <c r="B1805">
        <v>12</v>
      </c>
      <c r="C1805">
        <v>4</v>
      </c>
      <c r="D1805" s="1">
        <v>45992</v>
      </c>
      <c r="E1805" s="4" t="s">
        <v>27</v>
      </c>
      <c r="F1805" s="4" t="s">
        <v>26</v>
      </c>
      <c r="G1805" s="4" t="s">
        <v>109</v>
      </c>
      <c r="H1805">
        <v>46</v>
      </c>
      <c r="I1805">
        <v>63</v>
      </c>
      <c r="J1805">
        <v>1</v>
      </c>
      <c r="K1805">
        <v>62</v>
      </c>
      <c r="L1805">
        <v>40592.129999999997</v>
      </c>
      <c r="M1805">
        <v>993</v>
      </c>
      <c r="N1805">
        <v>39599.129999999997</v>
      </c>
      <c r="O1805">
        <v>24587.4</v>
      </c>
      <c r="P1805">
        <v>15011.73</v>
      </c>
      <c r="Q1805">
        <v>0.37909999999999999</v>
      </c>
      <c r="R1805">
        <v>7</v>
      </c>
      <c r="S1805">
        <v>6284.13</v>
      </c>
      <c r="T1805">
        <v>0</v>
      </c>
      <c r="U1805">
        <v>860.85</v>
      </c>
    </row>
    <row r="1806" spans="1:21" x14ac:dyDescent="0.35">
      <c r="A1806">
        <v>2025</v>
      </c>
      <c r="B1806">
        <v>12</v>
      </c>
      <c r="C1806">
        <v>4</v>
      </c>
      <c r="D1806" s="1">
        <v>45992</v>
      </c>
      <c r="E1806" s="4" t="s">
        <v>34</v>
      </c>
      <c r="F1806" s="4" t="s">
        <v>28</v>
      </c>
      <c r="G1806" s="4" t="s">
        <v>107</v>
      </c>
      <c r="H1806">
        <v>375</v>
      </c>
      <c r="I1806">
        <v>580</v>
      </c>
      <c r="J1806">
        <v>0</v>
      </c>
      <c r="K1806">
        <v>580</v>
      </c>
      <c r="L1806">
        <v>384581.16</v>
      </c>
      <c r="M1806">
        <v>0</v>
      </c>
      <c r="N1806">
        <v>384581.16</v>
      </c>
      <c r="O1806">
        <v>139094.20000000001</v>
      </c>
      <c r="P1806">
        <v>245486.96</v>
      </c>
      <c r="Q1806">
        <v>0.63829999999999998</v>
      </c>
      <c r="R1806">
        <v>43</v>
      </c>
      <c r="S1806">
        <v>56234.16</v>
      </c>
      <c r="T1806">
        <v>0</v>
      </c>
      <c r="U1806">
        <v>1025.55</v>
      </c>
    </row>
    <row r="1807" spans="1:21" x14ac:dyDescent="0.35">
      <c r="A1807">
        <v>2025</v>
      </c>
      <c r="B1807">
        <v>12</v>
      </c>
      <c r="C1807">
        <v>4</v>
      </c>
      <c r="D1807" s="1">
        <v>45992</v>
      </c>
      <c r="E1807" s="4" t="s">
        <v>34</v>
      </c>
      <c r="F1807" s="4" t="s">
        <v>28</v>
      </c>
      <c r="G1807" s="4" t="s">
        <v>108</v>
      </c>
      <c r="H1807">
        <v>123</v>
      </c>
      <c r="I1807">
        <v>201</v>
      </c>
      <c r="J1807">
        <v>0</v>
      </c>
      <c r="K1807">
        <v>201</v>
      </c>
      <c r="L1807">
        <v>80352.12</v>
      </c>
      <c r="M1807">
        <v>0</v>
      </c>
      <c r="N1807">
        <v>80352.12</v>
      </c>
      <c r="O1807">
        <v>29969.1</v>
      </c>
      <c r="P1807">
        <v>50383.02</v>
      </c>
      <c r="Q1807">
        <v>0.627</v>
      </c>
      <c r="R1807">
        <v>20</v>
      </c>
      <c r="S1807">
        <v>18156.12</v>
      </c>
      <c r="T1807">
        <v>0</v>
      </c>
      <c r="U1807">
        <v>653.27</v>
      </c>
    </row>
    <row r="1808" spans="1:21" x14ac:dyDescent="0.35">
      <c r="A1808">
        <v>2025</v>
      </c>
      <c r="B1808">
        <v>12</v>
      </c>
      <c r="C1808">
        <v>4</v>
      </c>
      <c r="D1808" s="1">
        <v>45992</v>
      </c>
      <c r="E1808" s="4" t="s">
        <v>34</v>
      </c>
      <c r="F1808" s="4" t="s">
        <v>28</v>
      </c>
      <c r="G1808" s="4" t="s">
        <v>109</v>
      </c>
      <c r="H1808">
        <v>1286</v>
      </c>
      <c r="I1808">
        <v>2003</v>
      </c>
      <c r="J1808">
        <v>0</v>
      </c>
      <c r="K1808">
        <v>2003</v>
      </c>
      <c r="L1808">
        <v>974659.35</v>
      </c>
      <c r="M1808">
        <v>0</v>
      </c>
      <c r="N1808">
        <v>974659.35</v>
      </c>
      <c r="O1808">
        <v>354815.3</v>
      </c>
      <c r="P1808">
        <v>619844.05000000005</v>
      </c>
      <c r="Q1808">
        <v>0.63600000000000001</v>
      </c>
      <c r="R1808">
        <v>178</v>
      </c>
      <c r="S1808">
        <v>158633.98000000001</v>
      </c>
      <c r="T1808">
        <v>0</v>
      </c>
      <c r="U1808">
        <v>757.9</v>
      </c>
    </row>
    <row r="1809" spans="1:21" x14ac:dyDescent="0.35">
      <c r="A1809">
        <v>2025</v>
      </c>
      <c r="B1809">
        <v>12</v>
      </c>
      <c r="C1809">
        <v>4</v>
      </c>
      <c r="D1809" s="1">
        <v>45992</v>
      </c>
      <c r="E1809" s="4" t="s">
        <v>34</v>
      </c>
      <c r="F1809" s="4" t="s">
        <v>24</v>
      </c>
      <c r="G1809" s="4" t="s">
        <v>107</v>
      </c>
      <c r="H1809">
        <v>165</v>
      </c>
      <c r="I1809">
        <v>250</v>
      </c>
      <c r="J1809">
        <v>9</v>
      </c>
      <c r="K1809">
        <v>241</v>
      </c>
      <c r="L1809">
        <v>451792.68</v>
      </c>
      <c r="M1809">
        <v>16918.32</v>
      </c>
      <c r="N1809">
        <v>434874.36</v>
      </c>
      <c r="O1809">
        <v>244272.05</v>
      </c>
      <c r="P1809">
        <v>190602.31</v>
      </c>
      <c r="Q1809">
        <v>0.43830000000000002</v>
      </c>
      <c r="R1809">
        <v>20</v>
      </c>
      <c r="S1809">
        <v>47683.15</v>
      </c>
      <c r="T1809">
        <v>0</v>
      </c>
      <c r="U1809">
        <v>2635.6</v>
      </c>
    </row>
    <row r="1810" spans="1:21" x14ac:dyDescent="0.35">
      <c r="A1810">
        <v>2025</v>
      </c>
      <c r="B1810">
        <v>12</v>
      </c>
      <c r="C1810">
        <v>4</v>
      </c>
      <c r="D1810" s="1">
        <v>45992</v>
      </c>
      <c r="E1810" s="4" t="s">
        <v>34</v>
      </c>
      <c r="F1810" s="4" t="s">
        <v>24</v>
      </c>
      <c r="G1810" s="4" t="s">
        <v>108</v>
      </c>
      <c r="H1810">
        <v>33</v>
      </c>
      <c r="I1810">
        <v>53</v>
      </c>
      <c r="J1810">
        <v>1</v>
      </c>
      <c r="K1810">
        <v>52</v>
      </c>
      <c r="L1810">
        <v>70439.320000000007</v>
      </c>
      <c r="M1810">
        <v>1379</v>
      </c>
      <c r="N1810">
        <v>69060.320000000007</v>
      </c>
      <c r="O1810">
        <v>39439.4</v>
      </c>
      <c r="P1810">
        <v>29620.92</v>
      </c>
      <c r="Q1810">
        <v>0.4289</v>
      </c>
      <c r="R1810">
        <v>7</v>
      </c>
      <c r="S1810">
        <v>12521.32</v>
      </c>
      <c r="T1810">
        <v>0</v>
      </c>
      <c r="U1810">
        <v>2092.7399999999998</v>
      </c>
    </row>
    <row r="1811" spans="1:21" x14ac:dyDescent="0.35">
      <c r="A1811">
        <v>2025</v>
      </c>
      <c r="B1811">
        <v>12</v>
      </c>
      <c r="C1811">
        <v>4</v>
      </c>
      <c r="D1811" s="1">
        <v>45992</v>
      </c>
      <c r="E1811" s="4" t="s">
        <v>34</v>
      </c>
      <c r="F1811" s="4" t="s">
        <v>24</v>
      </c>
      <c r="G1811" s="4" t="s">
        <v>109</v>
      </c>
      <c r="H1811">
        <v>404</v>
      </c>
      <c r="I1811">
        <v>598</v>
      </c>
      <c r="J1811">
        <v>13</v>
      </c>
      <c r="K1811">
        <v>585</v>
      </c>
      <c r="L1811">
        <v>996559.65</v>
      </c>
      <c r="M1811">
        <v>23188.9</v>
      </c>
      <c r="N1811">
        <v>973370.75</v>
      </c>
      <c r="O1811">
        <v>554495.15</v>
      </c>
      <c r="P1811">
        <v>418875.6</v>
      </c>
      <c r="Q1811">
        <v>0.43030000000000002</v>
      </c>
      <c r="R1811">
        <v>46</v>
      </c>
      <c r="S1811">
        <v>119152.75</v>
      </c>
      <c r="T1811">
        <v>0</v>
      </c>
      <c r="U1811">
        <v>2409.33</v>
      </c>
    </row>
    <row r="1812" spans="1:21" x14ac:dyDescent="0.35">
      <c r="A1812">
        <v>2025</v>
      </c>
      <c r="B1812">
        <v>12</v>
      </c>
      <c r="C1812">
        <v>4</v>
      </c>
      <c r="D1812" s="1">
        <v>45992</v>
      </c>
      <c r="E1812" s="4" t="s">
        <v>34</v>
      </c>
      <c r="F1812" s="4" t="s">
        <v>26</v>
      </c>
      <c r="G1812" s="4" t="s">
        <v>107</v>
      </c>
      <c r="H1812">
        <v>7</v>
      </c>
      <c r="I1812">
        <v>11</v>
      </c>
      <c r="J1812">
        <v>0</v>
      </c>
      <c r="K1812">
        <v>11</v>
      </c>
      <c r="L1812">
        <v>6012</v>
      </c>
      <c r="M1812">
        <v>0</v>
      </c>
      <c r="N1812">
        <v>6012</v>
      </c>
      <c r="O1812">
        <v>3607.2</v>
      </c>
      <c r="P1812">
        <v>2404.8000000000002</v>
      </c>
      <c r="Q1812">
        <v>0.4</v>
      </c>
      <c r="R1812">
        <v>0</v>
      </c>
      <c r="S1812">
        <v>0</v>
      </c>
      <c r="T1812">
        <v>0</v>
      </c>
      <c r="U1812">
        <v>858.86</v>
      </c>
    </row>
    <row r="1813" spans="1:21" x14ac:dyDescent="0.35">
      <c r="A1813">
        <v>2025</v>
      </c>
      <c r="B1813">
        <v>12</v>
      </c>
      <c r="C1813">
        <v>4</v>
      </c>
      <c r="D1813" s="1">
        <v>45992</v>
      </c>
      <c r="E1813" s="4" t="s">
        <v>34</v>
      </c>
      <c r="F1813" s="4" t="s">
        <v>26</v>
      </c>
      <c r="G1813" s="4" t="s">
        <v>108</v>
      </c>
      <c r="H1813">
        <v>6</v>
      </c>
      <c r="I1813">
        <v>7</v>
      </c>
      <c r="J1813">
        <v>0</v>
      </c>
      <c r="K1813">
        <v>7</v>
      </c>
      <c r="L1813">
        <v>4334.04</v>
      </c>
      <c r="M1813">
        <v>0</v>
      </c>
      <c r="N1813">
        <v>4334.04</v>
      </c>
      <c r="O1813">
        <v>2840.4</v>
      </c>
      <c r="P1813">
        <v>1493.64</v>
      </c>
      <c r="Q1813">
        <v>0.34460000000000002</v>
      </c>
      <c r="R1813">
        <v>1</v>
      </c>
      <c r="S1813">
        <v>1418.04</v>
      </c>
      <c r="T1813">
        <v>0</v>
      </c>
      <c r="U1813">
        <v>722.34</v>
      </c>
    </row>
    <row r="1814" spans="1:21" x14ac:dyDescent="0.35">
      <c r="A1814">
        <v>2025</v>
      </c>
      <c r="B1814">
        <v>12</v>
      </c>
      <c r="C1814">
        <v>4</v>
      </c>
      <c r="D1814" s="1">
        <v>45992</v>
      </c>
      <c r="E1814" s="4" t="s">
        <v>34</v>
      </c>
      <c r="F1814" s="4" t="s">
        <v>26</v>
      </c>
      <c r="G1814" s="4" t="s">
        <v>109</v>
      </c>
      <c r="H1814">
        <v>57</v>
      </c>
      <c r="I1814">
        <v>87</v>
      </c>
      <c r="J1814">
        <v>7</v>
      </c>
      <c r="K1814">
        <v>80</v>
      </c>
      <c r="L1814">
        <v>55452.25</v>
      </c>
      <c r="M1814">
        <v>4586</v>
      </c>
      <c r="N1814">
        <v>50866.25</v>
      </c>
      <c r="O1814">
        <v>31530.6</v>
      </c>
      <c r="P1814">
        <v>19335.650000000001</v>
      </c>
      <c r="Q1814">
        <v>0.38009999999999999</v>
      </c>
      <c r="R1814">
        <v>6</v>
      </c>
      <c r="S1814">
        <v>6209.25</v>
      </c>
      <c r="T1814">
        <v>0</v>
      </c>
      <c r="U1814">
        <v>892.39</v>
      </c>
    </row>
    <row r="1815" spans="1:21" x14ac:dyDescent="0.35">
      <c r="A1815">
        <v>2025</v>
      </c>
      <c r="B1815">
        <v>12</v>
      </c>
      <c r="C1815">
        <v>4</v>
      </c>
      <c r="D1815" s="1">
        <v>45992</v>
      </c>
      <c r="E1815" s="4" t="s">
        <v>36</v>
      </c>
      <c r="F1815" s="4" t="s">
        <v>28</v>
      </c>
      <c r="G1815" s="4" t="s">
        <v>107</v>
      </c>
      <c r="H1815">
        <v>157</v>
      </c>
      <c r="I1815">
        <v>237</v>
      </c>
      <c r="J1815">
        <v>0</v>
      </c>
      <c r="K1815">
        <v>237</v>
      </c>
      <c r="L1815">
        <v>145374.65</v>
      </c>
      <c r="M1815">
        <v>0</v>
      </c>
      <c r="N1815">
        <v>145374.65</v>
      </c>
      <c r="O1815">
        <v>53761.05</v>
      </c>
      <c r="P1815">
        <v>91613.6</v>
      </c>
      <c r="Q1815">
        <v>0.63019999999999998</v>
      </c>
      <c r="R1815">
        <v>27</v>
      </c>
      <c r="S1815">
        <v>30048.65</v>
      </c>
      <c r="T1815">
        <v>0</v>
      </c>
      <c r="U1815">
        <v>925.95</v>
      </c>
    </row>
    <row r="1816" spans="1:21" x14ac:dyDescent="0.35">
      <c r="A1816">
        <v>2025</v>
      </c>
      <c r="B1816">
        <v>12</v>
      </c>
      <c r="C1816">
        <v>4</v>
      </c>
      <c r="D1816" s="1">
        <v>45992</v>
      </c>
      <c r="E1816" s="4" t="s">
        <v>36</v>
      </c>
      <c r="F1816" s="4" t="s">
        <v>28</v>
      </c>
      <c r="G1816" s="4" t="s">
        <v>108</v>
      </c>
      <c r="H1816">
        <v>317</v>
      </c>
      <c r="I1816">
        <v>463</v>
      </c>
      <c r="J1816">
        <v>0</v>
      </c>
      <c r="K1816">
        <v>463</v>
      </c>
      <c r="L1816">
        <v>149345.26999999999</v>
      </c>
      <c r="M1816">
        <v>0</v>
      </c>
      <c r="N1816">
        <v>149345.26999999999</v>
      </c>
      <c r="O1816">
        <v>54231.8</v>
      </c>
      <c r="P1816">
        <v>95113.47</v>
      </c>
      <c r="Q1816">
        <v>0.63690000000000002</v>
      </c>
      <c r="R1816">
        <v>44</v>
      </c>
      <c r="S1816">
        <v>21723.27</v>
      </c>
      <c r="T1816">
        <v>0</v>
      </c>
      <c r="U1816">
        <v>471.12</v>
      </c>
    </row>
    <row r="1817" spans="1:21" x14ac:dyDescent="0.35">
      <c r="A1817">
        <v>2025</v>
      </c>
      <c r="B1817">
        <v>12</v>
      </c>
      <c r="C1817">
        <v>4</v>
      </c>
      <c r="D1817" s="1">
        <v>45992</v>
      </c>
      <c r="E1817" s="4" t="s">
        <v>36</v>
      </c>
      <c r="F1817" s="4" t="s">
        <v>28</v>
      </c>
      <c r="G1817" s="4" t="s">
        <v>109</v>
      </c>
      <c r="H1817">
        <v>1444</v>
      </c>
      <c r="I1817">
        <v>2203</v>
      </c>
      <c r="J1817">
        <v>0</v>
      </c>
      <c r="K1817">
        <v>2203</v>
      </c>
      <c r="L1817">
        <v>1072828.06</v>
      </c>
      <c r="M1817">
        <v>0</v>
      </c>
      <c r="N1817">
        <v>1072828.06</v>
      </c>
      <c r="O1817">
        <v>388740.1</v>
      </c>
      <c r="P1817">
        <v>684087.96</v>
      </c>
      <c r="Q1817">
        <v>0.63759999999999994</v>
      </c>
      <c r="R1817">
        <v>175</v>
      </c>
      <c r="S1817">
        <v>151932.65</v>
      </c>
      <c r="T1817">
        <v>0</v>
      </c>
      <c r="U1817">
        <v>742.96</v>
      </c>
    </row>
    <row r="1818" spans="1:21" x14ac:dyDescent="0.35">
      <c r="A1818">
        <v>2025</v>
      </c>
      <c r="B1818">
        <v>12</v>
      </c>
      <c r="C1818">
        <v>4</v>
      </c>
      <c r="D1818" s="1">
        <v>45992</v>
      </c>
      <c r="E1818" s="4" t="s">
        <v>36</v>
      </c>
      <c r="F1818" s="4" t="s">
        <v>24</v>
      </c>
      <c r="G1818" s="4" t="s">
        <v>107</v>
      </c>
      <c r="H1818">
        <v>114</v>
      </c>
      <c r="I1818">
        <v>178</v>
      </c>
      <c r="J1818">
        <v>5</v>
      </c>
      <c r="K1818">
        <v>173</v>
      </c>
      <c r="L1818">
        <v>234203.39</v>
      </c>
      <c r="M1818">
        <v>6488.18</v>
      </c>
      <c r="N1818">
        <v>227715.21</v>
      </c>
      <c r="O1818">
        <v>131482.45000000001</v>
      </c>
      <c r="P1818">
        <v>96232.76</v>
      </c>
      <c r="Q1818">
        <v>0.42259999999999998</v>
      </c>
      <c r="R1818">
        <v>17</v>
      </c>
      <c r="S1818">
        <v>38219.21</v>
      </c>
      <c r="T1818">
        <v>0</v>
      </c>
      <c r="U1818">
        <v>1997.5</v>
      </c>
    </row>
    <row r="1819" spans="1:21" x14ac:dyDescent="0.35">
      <c r="A1819">
        <v>2025</v>
      </c>
      <c r="B1819">
        <v>12</v>
      </c>
      <c r="C1819">
        <v>4</v>
      </c>
      <c r="D1819" s="1">
        <v>45992</v>
      </c>
      <c r="E1819" s="4" t="s">
        <v>36</v>
      </c>
      <c r="F1819" s="4" t="s">
        <v>24</v>
      </c>
      <c r="G1819" s="4" t="s">
        <v>108</v>
      </c>
      <c r="H1819">
        <v>57</v>
      </c>
      <c r="I1819">
        <v>88</v>
      </c>
      <c r="J1819">
        <v>2</v>
      </c>
      <c r="K1819">
        <v>86</v>
      </c>
      <c r="L1819">
        <v>146781.88</v>
      </c>
      <c r="M1819">
        <v>3556</v>
      </c>
      <c r="N1819">
        <v>143225.88</v>
      </c>
      <c r="O1819">
        <v>81749.8</v>
      </c>
      <c r="P1819">
        <v>61476.08</v>
      </c>
      <c r="Q1819">
        <v>0.42920000000000003</v>
      </c>
      <c r="R1819">
        <v>11</v>
      </c>
      <c r="S1819">
        <v>28725.88</v>
      </c>
      <c r="T1819">
        <v>0</v>
      </c>
      <c r="U1819">
        <v>2512.73</v>
      </c>
    </row>
    <row r="1820" spans="1:21" x14ac:dyDescent="0.35">
      <c r="A1820">
        <v>2025</v>
      </c>
      <c r="B1820">
        <v>12</v>
      </c>
      <c r="C1820">
        <v>4</v>
      </c>
      <c r="D1820" s="1">
        <v>45992</v>
      </c>
      <c r="E1820" s="4" t="s">
        <v>36</v>
      </c>
      <c r="F1820" s="4" t="s">
        <v>24</v>
      </c>
      <c r="G1820" s="4" t="s">
        <v>109</v>
      </c>
      <c r="H1820">
        <v>269</v>
      </c>
      <c r="I1820">
        <v>406</v>
      </c>
      <c r="J1820">
        <v>3</v>
      </c>
      <c r="K1820">
        <v>403</v>
      </c>
      <c r="L1820">
        <v>653459.6</v>
      </c>
      <c r="M1820">
        <v>3581.54</v>
      </c>
      <c r="N1820">
        <v>649878.06000000006</v>
      </c>
      <c r="O1820">
        <v>369217.2</v>
      </c>
      <c r="P1820">
        <v>280660.86</v>
      </c>
      <c r="Q1820">
        <v>0.43190000000000001</v>
      </c>
      <c r="R1820">
        <v>32</v>
      </c>
      <c r="S1820">
        <v>87756.06</v>
      </c>
      <c r="T1820">
        <v>0</v>
      </c>
      <c r="U1820">
        <v>2415.9</v>
      </c>
    </row>
    <row r="1821" spans="1:21" x14ac:dyDescent="0.35">
      <c r="A1821">
        <v>2025</v>
      </c>
      <c r="B1821">
        <v>12</v>
      </c>
      <c r="C1821">
        <v>4</v>
      </c>
      <c r="D1821" s="1">
        <v>45992</v>
      </c>
      <c r="E1821" s="4" t="s">
        <v>36</v>
      </c>
      <c r="F1821" s="4" t="s">
        <v>26</v>
      </c>
      <c r="G1821" s="4" t="s">
        <v>107</v>
      </c>
      <c r="H1821">
        <v>2</v>
      </c>
      <c r="I1821">
        <v>2</v>
      </c>
      <c r="J1821">
        <v>0</v>
      </c>
      <c r="K1821">
        <v>2</v>
      </c>
      <c r="L1821">
        <v>938</v>
      </c>
      <c r="M1821">
        <v>0</v>
      </c>
      <c r="N1821">
        <v>938</v>
      </c>
      <c r="O1821">
        <v>562.79999999999995</v>
      </c>
      <c r="P1821">
        <v>375.2</v>
      </c>
      <c r="Q1821">
        <v>0.4</v>
      </c>
      <c r="R1821">
        <v>0</v>
      </c>
      <c r="S1821">
        <v>0</v>
      </c>
      <c r="T1821">
        <v>0</v>
      </c>
      <c r="U1821">
        <v>469</v>
      </c>
    </row>
    <row r="1822" spans="1:21" x14ac:dyDescent="0.35">
      <c r="A1822">
        <v>2025</v>
      </c>
      <c r="B1822">
        <v>12</v>
      </c>
      <c r="C1822">
        <v>4</v>
      </c>
      <c r="D1822" s="1">
        <v>45992</v>
      </c>
      <c r="E1822" s="4" t="s">
        <v>36</v>
      </c>
      <c r="F1822" s="4" t="s">
        <v>26</v>
      </c>
      <c r="G1822" s="4" t="s">
        <v>109</v>
      </c>
      <c r="H1822">
        <v>62</v>
      </c>
      <c r="I1822">
        <v>94</v>
      </c>
      <c r="J1822">
        <v>5</v>
      </c>
      <c r="K1822">
        <v>89</v>
      </c>
      <c r="L1822">
        <v>78222.06</v>
      </c>
      <c r="M1822">
        <v>4485</v>
      </c>
      <c r="N1822">
        <v>73737.06</v>
      </c>
      <c r="O1822">
        <v>45022.2</v>
      </c>
      <c r="P1822">
        <v>28714.86</v>
      </c>
      <c r="Q1822">
        <v>0.38940000000000002</v>
      </c>
      <c r="R1822">
        <v>6</v>
      </c>
      <c r="S1822">
        <v>11638.06</v>
      </c>
      <c r="T1822">
        <v>0</v>
      </c>
      <c r="U1822">
        <v>1189.31</v>
      </c>
    </row>
    <row r="1823" spans="1:21" x14ac:dyDescent="0.35">
      <c r="A1823">
        <v>2025</v>
      </c>
      <c r="B1823">
        <v>12</v>
      </c>
      <c r="C1823">
        <v>4</v>
      </c>
      <c r="D1823" s="1">
        <v>45992</v>
      </c>
      <c r="E1823" s="4" t="s">
        <v>23</v>
      </c>
      <c r="F1823" s="4" t="s">
        <v>28</v>
      </c>
      <c r="G1823" s="4" t="s">
        <v>107</v>
      </c>
      <c r="H1823">
        <v>207</v>
      </c>
      <c r="I1823">
        <v>310</v>
      </c>
      <c r="J1823">
        <v>0</v>
      </c>
      <c r="K1823">
        <v>310</v>
      </c>
      <c r="L1823">
        <v>101548.72</v>
      </c>
      <c r="M1823">
        <v>0</v>
      </c>
      <c r="N1823">
        <v>101548.72</v>
      </c>
      <c r="O1823">
        <v>36673</v>
      </c>
      <c r="P1823">
        <v>64875.72</v>
      </c>
      <c r="Q1823">
        <v>0.63890000000000002</v>
      </c>
      <c r="R1823">
        <v>22</v>
      </c>
      <c r="S1823">
        <v>12654.72</v>
      </c>
      <c r="T1823">
        <v>0</v>
      </c>
      <c r="U1823">
        <v>490.57</v>
      </c>
    </row>
    <row r="1824" spans="1:21" x14ac:dyDescent="0.35">
      <c r="A1824">
        <v>2025</v>
      </c>
      <c r="B1824">
        <v>12</v>
      </c>
      <c r="C1824">
        <v>4</v>
      </c>
      <c r="D1824" s="1">
        <v>45992</v>
      </c>
      <c r="E1824" s="4" t="s">
        <v>23</v>
      </c>
      <c r="F1824" s="4" t="s">
        <v>28</v>
      </c>
      <c r="G1824" s="4" t="s">
        <v>108</v>
      </c>
      <c r="H1824">
        <v>77</v>
      </c>
      <c r="I1824">
        <v>117</v>
      </c>
      <c r="J1824">
        <v>0</v>
      </c>
      <c r="K1824">
        <v>117</v>
      </c>
      <c r="L1824">
        <v>77161.279999999999</v>
      </c>
      <c r="M1824">
        <v>0</v>
      </c>
      <c r="N1824">
        <v>77161.279999999999</v>
      </c>
      <c r="O1824">
        <v>28787.85</v>
      </c>
      <c r="P1824">
        <v>48373.43</v>
      </c>
      <c r="Q1824">
        <v>0.62690000000000001</v>
      </c>
      <c r="R1824">
        <v>14</v>
      </c>
      <c r="S1824">
        <v>16703.28</v>
      </c>
      <c r="T1824">
        <v>0</v>
      </c>
      <c r="U1824">
        <v>1002.09</v>
      </c>
    </row>
    <row r="1825" spans="1:21" x14ac:dyDescent="0.35">
      <c r="A1825">
        <v>2025</v>
      </c>
      <c r="B1825">
        <v>12</v>
      </c>
      <c r="C1825">
        <v>4</v>
      </c>
      <c r="D1825" s="1">
        <v>45992</v>
      </c>
      <c r="E1825" s="4" t="s">
        <v>23</v>
      </c>
      <c r="F1825" s="4" t="s">
        <v>28</v>
      </c>
      <c r="G1825" s="4" t="s">
        <v>109</v>
      </c>
      <c r="H1825">
        <v>1270</v>
      </c>
      <c r="I1825">
        <v>1938</v>
      </c>
      <c r="J1825">
        <v>0</v>
      </c>
      <c r="K1825">
        <v>1938</v>
      </c>
      <c r="L1825">
        <v>903556.56</v>
      </c>
      <c r="M1825">
        <v>0</v>
      </c>
      <c r="N1825">
        <v>903556.56</v>
      </c>
      <c r="O1825">
        <v>327878.95</v>
      </c>
      <c r="P1825">
        <v>575677.61</v>
      </c>
      <c r="Q1825">
        <v>0.6371</v>
      </c>
      <c r="R1825">
        <v>158</v>
      </c>
      <c r="S1825">
        <v>135140.56</v>
      </c>
      <c r="T1825">
        <v>0</v>
      </c>
      <c r="U1825">
        <v>711.46</v>
      </c>
    </row>
    <row r="1826" spans="1:21" x14ac:dyDescent="0.35">
      <c r="A1826">
        <v>2025</v>
      </c>
      <c r="B1826">
        <v>12</v>
      </c>
      <c r="C1826">
        <v>4</v>
      </c>
      <c r="D1826" s="1">
        <v>45992</v>
      </c>
      <c r="E1826" s="4" t="s">
        <v>23</v>
      </c>
      <c r="F1826" s="4" t="s">
        <v>24</v>
      </c>
      <c r="G1826" s="4" t="s">
        <v>107</v>
      </c>
      <c r="H1826">
        <v>159</v>
      </c>
      <c r="I1826">
        <v>243</v>
      </c>
      <c r="J1826">
        <v>7</v>
      </c>
      <c r="K1826">
        <v>236</v>
      </c>
      <c r="L1826">
        <v>415315.37</v>
      </c>
      <c r="M1826">
        <v>10740</v>
      </c>
      <c r="N1826">
        <v>404575.37</v>
      </c>
      <c r="O1826">
        <v>231301.95</v>
      </c>
      <c r="P1826">
        <v>173273.42</v>
      </c>
      <c r="Q1826">
        <v>0.42830000000000001</v>
      </c>
      <c r="R1826">
        <v>22</v>
      </c>
      <c r="S1826">
        <v>59520.94</v>
      </c>
      <c r="T1826">
        <v>0</v>
      </c>
      <c r="U1826">
        <v>2544.5</v>
      </c>
    </row>
    <row r="1827" spans="1:21" x14ac:dyDescent="0.35">
      <c r="A1827">
        <v>2025</v>
      </c>
      <c r="B1827">
        <v>12</v>
      </c>
      <c r="C1827">
        <v>4</v>
      </c>
      <c r="D1827" s="1">
        <v>45992</v>
      </c>
      <c r="E1827" s="4" t="s">
        <v>23</v>
      </c>
      <c r="F1827" s="4" t="s">
        <v>24</v>
      </c>
      <c r="G1827" s="4" t="s">
        <v>109</v>
      </c>
      <c r="H1827">
        <v>338</v>
      </c>
      <c r="I1827">
        <v>485</v>
      </c>
      <c r="J1827">
        <v>18</v>
      </c>
      <c r="K1827">
        <v>467</v>
      </c>
      <c r="L1827">
        <v>547736.85</v>
      </c>
      <c r="M1827">
        <v>18795</v>
      </c>
      <c r="N1827">
        <v>528941.85</v>
      </c>
      <c r="O1827">
        <v>297817.84999999998</v>
      </c>
      <c r="P1827">
        <v>231124</v>
      </c>
      <c r="Q1827">
        <v>0.437</v>
      </c>
      <c r="R1827">
        <v>29</v>
      </c>
      <c r="S1827">
        <v>48843.34</v>
      </c>
      <c r="T1827">
        <v>0</v>
      </c>
      <c r="U1827">
        <v>1564.92</v>
      </c>
    </row>
    <row r="1828" spans="1:21" x14ac:dyDescent="0.35">
      <c r="A1828">
        <v>2025</v>
      </c>
      <c r="B1828">
        <v>12</v>
      </c>
      <c r="C1828">
        <v>4</v>
      </c>
      <c r="D1828" s="1">
        <v>45992</v>
      </c>
      <c r="E1828" s="4" t="s">
        <v>23</v>
      </c>
      <c r="F1828" s="4" t="s">
        <v>26</v>
      </c>
      <c r="G1828" s="4" t="s">
        <v>107</v>
      </c>
      <c r="H1828">
        <v>14</v>
      </c>
      <c r="I1828">
        <v>22</v>
      </c>
      <c r="J1828">
        <v>0</v>
      </c>
      <c r="K1828">
        <v>22</v>
      </c>
      <c r="L1828">
        <v>12486.94</v>
      </c>
      <c r="M1828">
        <v>0</v>
      </c>
      <c r="N1828">
        <v>12486.94</v>
      </c>
      <c r="O1828">
        <v>7641.6</v>
      </c>
      <c r="P1828">
        <v>4845.34</v>
      </c>
      <c r="Q1828">
        <v>0.38800000000000001</v>
      </c>
      <c r="R1828">
        <v>2</v>
      </c>
      <c r="S1828">
        <v>2122.94</v>
      </c>
      <c r="T1828">
        <v>0</v>
      </c>
      <c r="U1828">
        <v>891.92</v>
      </c>
    </row>
    <row r="1829" spans="1:21" x14ac:dyDescent="0.35">
      <c r="A1829">
        <v>2025</v>
      </c>
      <c r="B1829">
        <v>12</v>
      </c>
      <c r="C1829">
        <v>4</v>
      </c>
      <c r="D1829" s="1">
        <v>45992</v>
      </c>
      <c r="E1829" s="4" t="s">
        <v>23</v>
      </c>
      <c r="F1829" s="4" t="s">
        <v>26</v>
      </c>
      <c r="G1829" s="4" t="s">
        <v>109</v>
      </c>
      <c r="H1829">
        <v>40</v>
      </c>
      <c r="I1829">
        <v>64</v>
      </c>
      <c r="J1829">
        <v>1</v>
      </c>
      <c r="K1829">
        <v>63</v>
      </c>
      <c r="L1829">
        <v>39690.410000000003</v>
      </c>
      <c r="M1829">
        <v>475</v>
      </c>
      <c r="N1829">
        <v>39215.410000000003</v>
      </c>
      <c r="O1829">
        <v>24124.2</v>
      </c>
      <c r="P1829">
        <v>15091.21</v>
      </c>
      <c r="Q1829">
        <v>0.38479999999999998</v>
      </c>
      <c r="R1829">
        <v>4</v>
      </c>
      <c r="S1829">
        <v>3769.41</v>
      </c>
      <c r="T1829">
        <v>0</v>
      </c>
      <c r="U1829">
        <v>980.39</v>
      </c>
    </row>
    <row r="1830" spans="1:21" x14ac:dyDescent="0.35">
      <c r="A1830">
        <v>2025</v>
      </c>
      <c r="B1830">
        <v>12</v>
      </c>
      <c r="C1830">
        <v>4</v>
      </c>
      <c r="D1830" s="1">
        <v>45992</v>
      </c>
      <c r="E1830" s="4" t="s">
        <v>25</v>
      </c>
      <c r="F1830" s="4" t="s">
        <v>28</v>
      </c>
      <c r="G1830" s="4" t="s">
        <v>107</v>
      </c>
      <c r="H1830">
        <v>64</v>
      </c>
      <c r="I1830">
        <v>92</v>
      </c>
      <c r="J1830">
        <v>0</v>
      </c>
      <c r="K1830">
        <v>92</v>
      </c>
      <c r="L1830">
        <v>44665.39</v>
      </c>
      <c r="M1830">
        <v>0</v>
      </c>
      <c r="N1830">
        <v>44665.39</v>
      </c>
      <c r="O1830">
        <v>16003.4</v>
      </c>
      <c r="P1830">
        <v>28661.99</v>
      </c>
      <c r="Q1830">
        <v>0.64170000000000005</v>
      </c>
      <c r="R1830">
        <v>8</v>
      </c>
      <c r="S1830">
        <v>6893.39</v>
      </c>
      <c r="T1830">
        <v>0</v>
      </c>
      <c r="U1830">
        <v>697.9</v>
      </c>
    </row>
    <row r="1831" spans="1:21" x14ac:dyDescent="0.35">
      <c r="A1831">
        <v>2025</v>
      </c>
      <c r="B1831">
        <v>12</v>
      </c>
      <c r="C1831">
        <v>4</v>
      </c>
      <c r="D1831" s="1">
        <v>45992</v>
      </c>
      <c r="E1831" s="4" t="s">
        <v>25</v>
      </c>
      <c r="F1831" s="4" t="s">
        <v>28</v>
      </c>
      <c r="G1831" s="4" t="s">
        <v>109</v>
      </c>
      <c r="H1831">
        <v>1358</v>
      </c>
      <c r="I1831">
        <v>2099</v>
      </c>
      <c r="J1831">
        <v>0</v>
      </c>
      <c r="K1831">
        <v>2099</v>
      </c>
      <c r="L1831">
        <v>1111608.1100000001</v>
      </c>
      <c r="M1831">
        <v>0</v>
      </c>
      <c r="N1831">
        <v>1111608.1100000001</v>
      </c>
      <c r="O1831">
        <v>403928.35</v>
      </c>
      <c r="P1831">
        <v>707679.76</v>
      </c>
      <c r="Q1831">
        <v>0.63660000000000005</v>
      </c>
      <c r="R1831">
        <v>177</v>
      </c>
      <c r="S1831">
        <v>174697.5</v>
      </c>
      <c r="T1831">
        <v>0</v>
      </c>
      <c r="U1831">
        <v>818.56</v>
      </c>
    </row>
    <row r="1832" spans="1:21" x14ac:dyDescent="0.35">
      <c r="A1832">
        <v>2025</v>
      </c>
      <c r="B1832">
        <v>12</v>
      </c>
      <c r="C1832">
        <v>4</v>
      </c>
      <c r="D1832" s="1">
        <v>45992</v>
      </c>
      <c r="E1832" s="4" t="s">
        <v>25</v>
      </c>
      <c r="F1832" s="4" t="s">
        <v>35</v>
      </c>
      <c r="G1832" s="4" t="s">
        <v>109</v>
      </c>
      <c r="H1832">
        <v>1</v>
      </c>
      <c r="I1832">
        <v>1</v>
      </c>
      <c r="J1832">
        <v>0</v>
      </c>
      <c r="K1832">
        <v>1</v>
      </c>
      <c r="L1832">
        <v>475</v>
      </c>
      <c r="M1832">
        <v>0</v>
      </c>
      <c r="N1832">
        <v>475</v>
      </c>
      <c r="O1832">
        <v>95</v>
      </c>
      <c r="P1832">
        <v>380</v>
      </c>
      <c r="Q1832">
        <v>0.8</v>
      </c>
      <c r="R1832">
        <v>0</v>
      </c>
      <c r="S1832">
        <v>0</v>
      </c>
      <c r="T1832">
        <v>0</v>
      </c>
      <c r="U1832">
        <v>475</v>
      </c>
    </row>
    <row r="1833" spans="1:21" x14ac:dyDescent="0.35">
      <c r="A1833">
        <v>2025</v>
      </c>
      <c r="B1833">
        <v>12</v>
      </c>
      <c r="C1833">
        <v>4</v>
      </c>
      <c r="D1833" s="1">
        <v>45992</v>
      </c>
      <c r="E1833" s="4" t="s">
        <v>25</v>
      </c>
      <c r="F1833" s="4" t="s">
        <v>24</v>
      </c>
      <c r="G1833" s="4" t="s">
        <v>107</v>
      </c>
      <c r="H1833">
        <v>42</v>
      </c>
      <c r="I1833">
        <v>64</v>
      </c>
      <c r="J1833">
        <v>4</v>
      </c>
      <c r="K1833">
        <v>60</v>
      </c>
      <c r="L1833">
        <v>121191.94</v>
      </c>
      <c r="M1833">
        <v>7583</v>
      </c>
      <c r="N1833">
        <v>113608.94</v>
      </c>
      <c r="O1833">
        <v>63067.95</v>
      </c>
      <c r="P1833">
        <v>50540.99</v>
      </c>
      <c r="Q1833">
        <v>0.44490000000000002</v>
      </c>
      <c r="R1833">
        <v>3</v>
      </c>
      <c r="S1833">
        <v>6028.94</v>
      </c>
      <c r="T1833">
        <v>0</v>
      </c>
      <c r="U1833">
        <v>2704.97</v>
      </c>
    </row>
    <row r="1834" spans="1:21" x14ac:dyDescent="0.35">
      <c r="A1834">
        <v>2025</v>
      </c>
      <c r="B1834">
        <v>12</v>
      </c>
      <c r="C1834">
        <v>4</v>
      </c>
      <c r="D1834" s="1">
        <v>45992</v>
      </c>
      <c r="E1834" s="4" t="s">
        <v>25</v>
      </c>
      <c r="F1834" s="4" t="s">
        <v>24</v>
      </c>
      <c r="G1834" s="4" t="s">
        <v>109</v>
      </c>
      <c r="H1834">
        <v>413</v>
      </c>
      <c r="I1834">
        <v>614</v>
      </c>
      <c r="J1834">
        <v>15</v>
      </c>
      <c r="K1834">
        <v>599</v>
      </c>
      <c r="L1834">
        <v>900830.13</v>
      </c>
      <c r="M1834">
        <v>28243</v>
      </c>
      <c r="N1834">
        <v>872587.13</v>
      </c>
      <c r="O1834">
        <v>500715.05</v>
      </c>
      <c r="P1834">
        <v>371872.08</v>
      </c>
      <c r="Q1834">
        <v>0.42620000000000002</v>
      </c>
      <c r="R1834">
        <v>61</v>
      </c>
      <c r="S1834">
        <v>154222.29999999999</v>
      </c>
      <c r="T1834">
        <v>0</v>
      </c>
      <c r="U1834">
        <v>2112.8000000000002</v>
      </c>
    </row>
    <row r="1835" spans="1:21" x14ac:dyDescent="0.35">
      <c r="A1835">
        <v>2025</v>
      </c>
      <c r="B1835">
        <v>12</v>
      </c>
      <c r="C1835">
        <v>4</v>
      </c>
      <c r="D1835" s="1">
        <v>45992</v>
      </c>
      <c r="E1835" s="4" t="s">
        <v>25</v>
      </c>
      <c r="F1835" s="4" t="s">
        <v>26</v>
      </c>
      <c r="G1835" s="4" t="s">
        <v>107</v>
      </c>
      <c r="H1835">
        <v>18</v>
      </c>
      <c r="I1835">
        <v>30</v>
      </c>
      <c r="J1835">
        <v>0</v>
      </c>
      <c r="K1835">
        <v>30</v>
      </c>
      <c r="L1835">
        <v>30532.83</v>
      </c>
      <c r="M1835">
        <v>0</v>
      </c>
      <c r="N1835">
        <v>30532.83</v>
      </c>
      <c r="O1835">
        <v>19476</v>
      </c>
      <c r="P1835">
        <v>11056.83</v>
      </c>
      <c r="Q1835">
        <v>0.36209999999999998</v>
      </c>
      <c r="R1835">
        <v>3</v>
      </c>
      <c r="S1835">
        <v>8845.83</v>
      </c>
      <c r="T1835">
        <v>0</v>
      </c>
      <c r="U1835">
        <v>1696.27</v>
      </c>
    </row>
    <row r="1836" spans="1:21" x14ac:dyDescent="0.35">
      <c r="A1836">
        <v>2025</v>
      </c>
      <c r="B1836">
        <v>12</v>
      </c>
      <c r="C1836">
        <v>4</v>
      </c>
      <c r="D1836" s="1">
        <v>45992</v>
      </c>
      <c r="E1836" s="4" t="s">
        <v>25</v>
      </c>
      <c r="F1836" s="4" t="s">
        <v>26</v>
      </c>
      <c r="G1836" s="4" t="s">
        <v>109</v>
      </c>
      <c r="H1836">
        <v>58</v>
      </c>
      <c r="I1836">
        <v>87</v>
      </c>
      <c r="J1836">
        <v>0</v>
      </c>
      <c r="K1836">
        <v>87</v>
      </c>
      <c r="L1836">
        <v>61680.97</v>
      </c>
      <c r="M1836">
        <v>0</v>
      </c>
      <c r="N1836">
        <v>61680.97</v>
      </c>
      <c r="O1836">
        <v>38948.400000000001</v>
      </c>
      <c r="P1836">
        <v>22732.57</v>
      </c>
      <c r="Q1836">
        <v>0.36859999999999998</v>
      </c>
      <c r="R1836">
        <v>9</v>
      </c>
      <c r="S1836">
        <v>9929.9699999999993</v>
      </c>
      <c r="T1836">
        <v>0</v>
      </c>
      <c r="U1836">
        <v>1063.47</v>
      </c>
    </row>
    <row r="1837" spans="1:21" x14ac:dyDescent="0.35">
      <c r="A1837">
        <v>2025</v>
      </c>
      <c r="B1837">
        <v>12</v>
      </c>
      <c r="C1837">
        <v>4</v>
      </c>
      <c r="D1837" s="1">
        <v>45992</v>
      </c>
      <c r="E1837" s="4" t="s">
        <v>29</v>
      </c>
      <c r="F1837" s="4" t="s">
        <v>28</v>
      </c>
      <c r="G1837" s="4" t="s">
        <v>107</v>
      </c>
      <c r="H1837">
        <v>409</v>
      </c>
      <c r="I1837">
        <v>643</v>
      </c>
      <c r="J1837">
        <v>0</v>
      </c>
      <c r="K1837">
        <v>643</v>
      </c>
      <c r="L1837">
        <v>286528.92</v>
      </c>
      <c r="M1837">
        <v>0</v>
      </c>
      <c r="N1837">
        <v>286528.92</v>
      </c>
      <c r="O1837">
        <v>103282.2</v>
      </c>
      <c r="P1837">
        <v>183246.72</v>
      </c>
      <c r="Q1837">
        <v>0.63949999999999996</v>
      </c>
      <c r="R1837">
        <v>47</v>
      </c>
      <c r="S1837">
        <v>31768.92</v>
      </c>
      <c r="T1837">
        <v>0</v>
      </c>
      <c r="U1837">
        <v>700.56</v>
      </c>
    </row>
    <row r="1838" spans="1:21" x14ac:dyDescent="0.35">
      <c r="A1838">
        <v>2025</v>
      </c>
      <c r="B1838">
        <v>12</v>
      </c>
      <c r="C1838">
        <v>4</v>
      </c>
      <c r="D1838" s="1">
        <v>45992</v>
      </c>
      <c r="E1838" s="4" t="s">
        <v>29</v>
      </c>
      <c r="F1838" s="4" t="s">
        <v>28</v>
      </c>
      <c r="G1838" s="4" t="s">
        <v>108</v>
      </c>
      <c r="H1838">
        <v>62</v>
      </c>
      <c r="I1838">
        <v>92</v>
      </c>
      <c r="J1838">
        <v>0</v>
      </c>
      <c r="K1838">
        <v>92</v>
      </c>
      <c r="L1838">
        <v>54902.400000000001</v>
      </c>
      <c r="M1838">
        <v>0</v>
      </c>
      <c r="N1838">
        <v>54902.400000000001</v>
      </c>
      <c r="O1838">
        <v>19577.599999999999</v>
      </c>
      <c r="P1838">
        <v>35324.800000000003</v>
      </c>
      <c r="Q1838">
        <v>0.64339999999999997</v>
      </c>
      <c r="R1838">
        <v>4</v>
      </c>
      <c r="S1838">
        <v>5046.3999999999996</v>
      </c>
      <c r="T1838">
        <v>0</v>
      </c>
      <c r="U1838">
        <v>885.52</v>
      </c>
    </row>
    <row r="1839" spans="1:21" x14ac:dyDescent="0.35">
      <c r="A1839">
        <v>2025</v>
      </c>
      <c r="B1839">
        <v>12</v>
      </c>
      <c r="C1839">
        <v>4</v>
      </c>
      <c r="D1839" s="1">
        <v>45992</v>
      </c>
      <c r="E1839" s="4" t="s">
        <v>29</v>
      </c>
      <c r="F1839" s="4" t="s">
        <v>28</v>
      </c>
      <c r="G1839" s="4" t="s">
        <v>109</v>
      </c>
      <c r="H1839">
        <v>1689</v>
      </c>
      <c r="I1839">
        <v>2608</v>
      </c>
      <c r="J1839">
        <v>0</v>
      </c>
      <c r="K1839">
        <v>2608</v>
      </c>
      <c r="L1839">
        <v>1242461.83</v>
      </c>
      <c r="M1839">
        <v>0</v>
      </c>
      <c r="N1839">
        <v>1242461.83</v>
      </c>
      <c r="O1839">
        <v>450423.4</v>
      </c>
      <c r="P1839">
        <v>792038.43</v>
      </c>
      <c r="Q1839">
        <v>0.63749999999999996</v>
      </c>
      <c r="R1839">
        <v>212</v>
      </c>
      <c r="S1839">
        <v>174424.44</v>
      </c>
      <c r="T1839">
        <v>0</v>
      </c>
      <c r="U1839">
        <v>735.62</v>
      </c>
    </row>
    <row r="1840" spans="1:21" x14ac:dyDescent="0.35">
      <c r="A1840">
        <v>2025</v>
      </c>
      <c r="B1840">
        <v>12</v>
      </c>
      <c r="C1840">
        <v>4</v>
      </c>
      <c r="D1840" s="1">
        <v>45992</v>
      </c>
      <c r="E1840" s="4" t="s">
        <v>29</v>
      </c>
      <c r="F1840" s="4" t="s">
        <v>35</v>
      </c>
      <c r="G1840" s="4" t="s">
        <v>109</v>
      </c>
      <c r="H1840">
        <v>1</v>
      </c>
      <c r="I1840">
        <v>1</v>
      </c>
      <c r="J1840">
        <v>0</v>
      </c>
      <c r="K1840">
        <v>1</v>
      </c>
      <c r="L1840">
        <v>572</v>
      </c>
      <c r="M1840">
        <v>0</v>
      </c>
      <c r="N1840">
        <v>572</v>
      </c>
      <c r="O1840">
        <v>114.4</v>
      </c>
      <c r="P1840">
        <v>457.6</v>
      </c>
      <c r="Q1840">
        <v>0.8</v>
      </c>
      <c r="R1840">
        <v>0</v>
      </c>
      <c r="S1840">
        <v>0</v>
      </c>
      <c r="T1840">
        <v>0</v>
      </c>
      <c r="U1840">
        <v>572</v>
      </c>
    </row>
    <row r="1841" spans="1:21" x14ac:dyDescent="0.35">
      <c r="A1841">
        <v>2025</v>
      </c>
      <c r="B1841">
        <v>12</v>
      </c>
      <c r="C1841">
        <v>4</v>
      </c>
      <c r="D1841" s="1">
        <v>45992</v>
      </c>
      <c r="E1841" s="4" t="s">
        <v>29</v>
      </c>
      <c r="F1841" s="4" t="s">
        <v>24</v>
      </c>
      <c r="G1841" s="4" t="s">
        <v>107</v>
      </c>
      <c r="H1841">
        <v>19</v>
      </c>
      <c r="I1841">
        <v>30</v>
      </c>
      <c r="J1841">
        <v>0</v>
      </c>
      <c r="K1841">
        <v>30</v>
      </c>
      <c r="L1841">
        <v>25704</v>
      </c>
      <c r="M1841">
        <v>0</v>
      </c>
      <c r="N1841">
        <v>25704</v>
      </c>
      <c r="O1841">
        <v>14256</v>
      </c>
      <c r="P1841">
        <v>11448</v>
      </c>
      <c r="Q1841">
        <v>0.44540000000000002</v>
      </c>
      <c r="R1841">
        <v>1</v>
      </c>
      <c r="S1841">
        <v>648</v>
      </c>
      <c r="T1841">
        <v>0</v>
      </c>
      <c r="U1841">
        <v>1352.84</v>
      </c>
    </row>
    <row r="1842" spans="1:21" x14ac:dyDescent="0.35">
      <c r="A1842">
        <v>2025</v>
      </c>
      <c r="B1842">
        <v>12</v>
      </c>
      <c r="C1842">
        <v>4</v>
      </c>
      <c r="D1842" s="1">
        <v>45992</v>
      </c>
      <c r="E1842" s="4" t="s">
        <v>29</v>
      </c>
      <c r="F1842" s="4" t="s">
        <v>24</v>
      </c>
      <c r="G1842" s="4" t="s">
        <v>108</v>
      </c>
      <c r="H1842">
        <v>23</v>
      </c>
      <c r="I1842">
        <v>34</v>
      </c>
      <c r="J1842">
        <v>0</v>
      </c>
      <c r="K1842">
        <v>34</v>
      </c>
      <c r="L1842">
        <v>24886.68</v>
      </c>
      <c r="M1842">
        <v>0</v>
      </c>
      <c r="N1842">
        <v>24886.68</v>
      </c>
      <c r="O1842">
        <v>13875.4</v>
      </c>
      <c r="P1842">
        <v>11011.28</v>
      </c>
      <c r="Q1842">
        <v>0.4425</v>
      </c>
      <c r="R1842">
        <v>1</v>
      </c>
      <c r="S1842">
        <v>1142.68</v>
      </c>
      <c r="T1842">
        <v>0</v>
      </c>
      <c r="U1842">
        <v>1082.03</v>
      </c>
    </row>
    <row r="1843" spans="1:21" x14ac:dyDescent="0.35">
      <c r="A1843">
        <v>2025</v>
      </c>
      <c r="B1843">
        <v>12</v>
      </c>
      <c r="C1843">
        <v>4</v>
      </c>
      <c r="D1843" s="1">
        <v>45992</v>
      </c>
      <c r="E1843" s="4" t="s">
        <v>29</v>
      </c>
      <c r="F1843" s="4" t="s">
        <v>24</v>
      </c>
      <c r="G1843" s="4" t="s">
        <v>109</v>
      </c>
      <c r="H1843">
        <v>339</v>
      </c>
      <c r="I1843">
        <v>494</v>
      </c>
      <c r="J1843">
        <v>9</v>
      </c>
      <c r="K1843">
        <v>485</v>
      </c>
      <c r="L1843">
        <v>944306.15</v>
      </c>
      <c r="M1843">
        <v>16583.87</v>
      </c>
      <c r="N1843">
        <v>927722.28</v>
      </c>
      <c r="O1843">
        <v>531094.30000000005</v>
      </c>
      <c r="P1843">
        <v>396627.98</v>
      </c>
      <c r="Q1843">
        <v>0.42749999999999999</v>
      </c>
      <c r="R1843">
        <v>42</v>
      </c>
      <c r="S1843">
        <v>125706.52</v>
      </c>
      <c r="T1843">
        <v>0</v>
      </c>
      <c r="U1843">
        <v>2736.64</v>
      </c>
    </row>
    <row r="1844" spans="1:21" x14ac:dyDescent="0.35">
      <c r="A1844">
        <v>2025</v>
      </c>
      <c r="B1844">
        <v>12</v>
      </c>
      <c r="C1844">
        <v>4</v>
      </c>
      <c r="D1844" s="1">
        <v>45992</v>
      </c>
      <c r="E1844" s="4" t="s">
        <v>29</v>
      </c>
      <c r="F1844" s="4" t="s">
        <v>26</v>
      </c>
      <c r="G1844" s="4" t="s">
        <v>107</v>
      </c>
      <c r="H1844">
        <v>14</v>
      </c>
      <c r="I1844">
        <v>19</v>
      </c>
      <c r="J1844">
        <v>0</v>
      </c>
      <c r="K1844">
        <v>19</v>
      </c>
      <c r="L1844">
        <v>11621.44</v>
      </c>
      <c r="M1844">
        <v>0</v>
      </c>
      <c r="N1844">
        <v>11621.44</v>
      </c>
      <c r="O1844">
        <v>7704</v>
      </c>
      <c r="P1844">
        <v>3917.44</v>
      </c>
      <c r="Q1844">
        <v>0.33710000000000001</v>
      </c>
      <c r="R1844">
        <v>2</v>
      </c>
      <c r="S1844">
        <v>3136.44</v>
      </c>
      <c r="T1844">
        <v>0</v>
      </c>
      <c r="U1844">
        <v>830.1</v>
      </c>
    </row>
    <row r="1845" spans="1:21" x14ac:dyDescent="0.35">
      <c r="A1845">
        <v>2025</v>
      </c>
      <c r="B1845">
        <v>12</v>
      </c>
      <c r="C1845">
        <v>4</v>
      </c>
      <c r="D1845" s="1">
        <v>45992</v>
      </c>
      <c r="E1845" s="4" t="s">
        <v>29</v>
      </c>
      <c r="F1845" s="4" t="s">
        <v>26</v>
      </c>
      <c r="G1845" s="4" t="s">
        <v>109</v>
      </c>
      <c r="H1845">
        <v>39</v>
      </c>
      <c r="I1845">
        <v>60</v>
      </c>
      <c r="J1845">
        <v>3</v>
      </c>
      <c r="K1845">
        <v>57</v>
      </c>
      <c r="L1845">
        <v>43405.120000000003</v>
      </c>
      <c r="M1845">
        <v>1867.8</v>
      </c>
      <c r="N1845">
        <v>41537.32</v>
      </c>
      <c r="O1845">
        <v>26061.599999999999</v>
      </c>
      <c r="P1845">
        <v>15475.72</v>
      </c>
      <c r="Q1845">
        <v>0.37259999999999999</v>
      </c>
      <c r="R1845">
        <v>7</v>
      </c>
      <c r="S1845">
        <v>6544.32</v>
      </c>
      <c r="T1845">
        <v>0</v>
      </c>
      <c r="U1845">
        <v>1065.06</v>
      </c>
    </row>
    <row r="1846" spans="1:21" x14ac:dyDescent="0.35">
      <c r="A1846">
        <v>2025</v>
      </c>
      <c r="B1846">
        <v>12</v>
      </c>
      <c r="C1846">
        <v>4</v>
      </c>
      <c r="D1846" s="1">
        <v>45992</v>
      </c>
      <c r="E1846" s="4" t="s">
        <v>31</v>
      </c>
      <c r="F1846" s="4" t="s">
        <v>28</v>
      </c>
      <c r="G1846" s="4" t="s">
        <v>107</v>
      </c>
      <c r="H1846">
        <v>172</v>
      </c>
      <c r="I1846">
        <v>258</v>
      </c>
      <c r="J1846">
        <v>0</v>
      </c>
      <c r="K1846">
        <v>258</v>
      </c>
      <c r="L1846">
        <v>103292.47</v>
      </c>
      <c r="M1846">
        <v>0</v>
      </c>
      <c r="N1846">
        <v>103292.47</v>
      </c>
      <c r="O1846">
        <v>37002.699999999997</v>
      </c>
      <c r="P1846">
        <v>66289.77</v>
      </c>
      <c r="Q1846">
        <v>0.64180000000000004</v>
      </c>
      <c r="R1846">
        <v>19</v>
      </c>
      <c r="S1846">
        <v>16000.58</v>
      </c>
      <c r="T1846">
        <v>0</v>
      </c>
      <c r="U1846">
        <v>600.54</v>
      </c>
    </row>
    <row r="1847" spans="1:21" x14ac:dyDescent="0.35">
      <c r="A1847">
        <v>2025</v>
      </c>
      <c r="B1847">
        <v>12</v>
      </c>
      <c r="C1847">
        <v>4</v>
      </c>
      <c r="D1847" s="1">
        <v>45992</v>
      </c>
      <c r="E1847" s="4" t="s">
        <v>31</v>
      </c>
      <c r="F1847" s="4" t="s">
        <v>28</v>
      </c>
      <c r="G1847" s="4" t="s">
        <v>108</v>
      </c>
      <c r="H1847">
        <v>565</v>
      </c>
      <c r="I1847">
        <v>821</v>
      </c>
      <c r="J1847">
        <v>0</v>
      </c>
      <c r="K1847">
        <v>821</v>
      </c>
      <c r="L1847">
        <v>315169.25</v>
      </c>
      <c r="M1847">
        <v>0</v>
      </c>
      <c r="N1847">
        <v>315169.25</v>
      </c>
      <c r="O1847">
        <v>114046.1</v>
      </c>
      <c r="P1847">
        <v>201123.15</v>
      </c>
      <c r="Q1847">
        <v>0.6381</v>
      </c>
      <c r="R1847">
        <v>67</v>
      </c>
      <c r="S1847">
        <v>42090.03</v>
      </c>
      <c r="T1847">
        <v>0</v>
      </c>
      <c r="U1847">
        <v>557.82000000000005</v>
      </c>
    </row>
    <row r="1848" spans="1:21" x14ac:dyDescent="0.35">
      <c r="A1848">
        <v>2025</v>
      </c>
      <c r="B1848">
        <v>12</v>
      </c>
      <c r="C1848">
        <v>4</v>
      </c>
      <c r="D1848" s="1">
        <v>45992</v>
      </c>
      <c r="E1848" s="4" t="s">
        <v>31</v>
      </c>
      <c r="F1848" s="4" t="s">
        <v>28</v>
      </c>
      <c r="G1848" s="4" t="s">
        <v>109</v>
      </c>
      <c r="H1848">
        <v>1864</v>
      </c>
      <c r="I1848">
        <v>2903</v>
      </c>
      <c r="J1848">
        <v>0</v>
      </c>
      <c r="K1848">
        <v>2903</v>
      </c>
      <c r="L1848">
        <v>1426073.84</v>
      </c>
      <c r="M1848">
        <v>0</v>
      </c>
      <c r="N1848">
        <v>1426073.84</v>
      </c>
      <c r="O1848">
        <v>516740</v>
      </c>
      <c r="P1848">
        <v>909333.84</v>
      </c>
      <c r="Q1848">
        <v>0.63759999999999994</v>
      </c>
      <c r="R1848">
        <v>238</v>
      </c>
      <c r="S1848">
        <v>204761.81</v>
      </c>
      <c r="T1848">
        <v>0</v>
      </c>
      <c r="U1848">
        <v>765.06</v>
      </c>
    </row>
    <row r="1849" spans="1:21" x14ac:dyDescent="0.35">
      <c r="A1849">
        <v>2025</v>
      </c>
      <c r="B1849">
        <v>12</v>
      </c>
      <c r="C1849">
        <v>4</v>
      </c>
      <c r="D1849" s="1">
        <v>45992</v>
      </c>
      <c r="E1849" s="4" t="s">
        <v>31</v>
      </c>
      <c r="F1849" s="4" t="s">
        <v>24</v>
      </c>
      <c r="G1849" s="4" t="s">
        <v>107</v>
      </c>
      <c r="H1849">
        <v>35</v>
      </c>
      <c r="I1849">
        <v>46</v>
      </c>
      <c r="J1849">
        <v>2</v>
      </c>
      <c r="K1849">
        <v>44</v>
      </c>
      <c r="L1849">
        <v>81359.5</v>
      </c>
      <c r="M1849">
        <v>3620</v>
      </c>
      <c r="N1849">
        <v>77739.5</v>
      </c>
      <c r="O1849">
        <v>43802</v>
      </c>
      <c r="P1849">
        <v>33937.5</v>
      </c>
      <c r="Q1849">
        <v>0.43659999999999999</v>
      </c>
      <c r="R1849">
        <v>4</v>
      </c>
      <c r="S1849">
        <v>8959.5</v>
      </c>
      <c r="T1849">
        <v>0</v>
      </c>
      <c r="U1849">
        <v>2221.13</v>
      </c>
    </row>
    <row r="1850" spans="1:21" x14ac:dyDescent="0.35">
      <c r="A1850">
        <v>2025</v>
      </c>
      <c r="B1850">
        <v>12</v>
      </c>
      <c r="C1850">
        <v>4</v>
      </c>
      <c r="D1850" s="1">
        <v>45992</v>
      </c>
      <c r="E1850" s="4" t="s">
        <v>31</v>
      </c>
      <c r="F1850" s="4" t="s">
        <v>24</v>
      </c>
      <c r="G1850" s="4" t="s">
        <v>109</v>
      </c>
      <c r="H1850">
        <v>498</v>
      </c>
      <c r="I1850">
        <v>756</v>
      </c>
      <c r="J1850">
        <v>10</v>
      </c>
      <c r="K1850">
        <v>746</v>
      </c>
      <c r="L1850">
        <v>1034206.33</v>
      </c>
      <c r="M1850">
        <v>15202.43</v>
      </c>
      <c r="N1850">
        <v>1019003.9</v>
      </c>
      <c r="O1850">
        <v>583280.5</v>
      </c>
      <c r="P1850">
        <v>435723.4</v>
      </c>
      <c r="Q1850">
        <v>0.42759999999999998</v>
      </c>
      <c r="R1850">
        <v>64</v>
      </c>
      <c r="S1850">
        <v>149818.9</v>
      </c>
      <c r="T1850">
        <v>0</v>
      </c>
      <c r="U1850">
        <v>2046.19</v>
      </c>
    </row>
    <row r="1851" spans="1:21" x14ac:dyDescent="0.35">
      <c r="A1851">
        <v>2025</v>
      </c>
      <c r="B1851">
        <v>12</v>
      </c>
      <c r="C1851">
        <v>4</v>
      </c>
      <c r="D1851" s="1">
        <v>45992</v>
      </c>
      <c r="E1851" s="4" t="s">
        <v>31</v>
      </c>
      <c r="F1851" s="4" t="s">
        <v>26</v>
      </c>
      <c r="G1851" s="4" t="s">
        <v>107</v>
      </c>
      <c r="H1851">
        <v>11</v>
      </c>
      <c r="I1851">
        <v>14</v>
      </c>
      <c r="J1851">
        <v>0</v>
      </c>
      <c r="K1851">
        <v>14</v>
      </c>
      <c r="L1851">
        <v>6332</v>
      </c>
      <c r="M1851">
        <v>0</v>
      </c>
      <c r="N1851">
        <v>6332</v>
      </c>
      <c r="O1851">
        <v>3799.2</v>
      </c>
      <c r="P1851">
        <v>2532.8000000000002</v>
      </c>
      <c r="Q1851">
        <v>0.4</v>
      </c>
      <c r="R1851">
        <v>0</v>
      </c>
      <c r="S1851">
        <v>0</v>
      </c>
      <c r="T1851">
        <v>0</v>
      </c>
      <c r="U1851">
        <v>575.64</v>
      </c>
    </row>
    <row r="1852" spans="1:21" x14ac:dyDescent="0.35">
      <c r="A1852">
        <v>2025</v>
      </c>
      <c r="B1852">
        <v>12</v>
      </c>
      <c r="C1852">
        <v>4</v>
      </c>
      <c r="D1852" s="1">
        <v>45992</v>
      </c>
      <c r="E1852" s="4" t="s">
        <v>31</v>
      </c>
      <c r="F1852" s="4" t="s">
        <v>26</v>
      </c>
      <c r="G1852" s="4" t="s">
        <v>108</v>
      </c>
      <c r="H1852">
        <v>5</v>
      </c>
      <c r="I1852">
        <v>7</v>
      </c>
      <c r="J1852">
        <v>1</v>
      </c>
      <c r="K1852">
        <v>6</v>
      </c>
      <c r="L1852">
        <v>5712</v>
      </c>
      <c r="M1852">
        <v>726</v>
      </c>
      <c r="N1852">
        <v>4986</v>
      </c>
      <c r="O1852">
        <v>2991.6</v>
      </c>
      <c r="P1852">
        <v>1994.4</v>
      </c>
      <c r="Q1852">
        <v>0.4</v>
      </c>
      <c r="R1852">
        <v>0</v>
      </c>
      <c r="S1852">
        <v>0</v>
      </c>
      <c r="T1852">
        <v>0</v>
      </c>
      <c r="U1852">
        <v>997.2</v>
      </c>
    </row>
    <row r="1853" spans="1:21" x14ac:dyDescent="0.35">
      <c r="A1853">
        <v>2025</v>
      </c>
      <c r="B1853">
        <v>12</v>
      </c>
      <c r="C1853">
        <v>4</v>
      </c>
      <c r="D1853" s="1">
        <v>45992</v>
      </c>
      <c r="E1853" s="4" t="s">
        <v>31</v>
      </c>
      <c r="F1853" s="4" t="s">
        <v>26</v>
      </c>
      <c r="G1853" s="4" t="s">
        <v>109</v>
      </c>
      <c r="H1853">
        <v>50</v>
      </c>
      <c r="I1853">
        <v>78</v>
      </c>
      <c r="J1853">
        <v>0</v>
      </c>
      <c r="K1853">
        <v>78</v>
      </c>
      <c r="L1853">
        <v>58392.76</v>
      </c>
      <c r="M1853">
        <v>0</v>
      </c>
      <c r="N1853">
        <v>58392.76</v>
      </c>
      <c r="O1853">
        <v>36330.6</v>
      </c>
      <c r="P1853">
        <v>22062.16</v>
      </c>
      <c r="Q1853">
        <v>0.37780000000000002</v>
      </c>
      <c r="R1853">
        <v>6</v>
      </c>
      <c r="S1853">
        <v>7509.76</v>
      </c>
      <c r="T1853">
        <v>0</v>
      </c>
      <c r="U1853">
        <v>1167.8599999999999</v>
      </c>
    </row>
    <row r="1854" spans="1:21" x14ac:dyDescent="0.35">
      <c r="A1854">
        <v>2025</v>
      </c>
      <c r="B1854">
        <v>12</v>
      </c>
      <c r="C1854">
        <v>4</v>
      </c>
      <c r="D1854" s="1">
        <v>45992</v>
      </c>
      <c r="E1854" s="4" t="s">
        <v>30</v>
      </c>
      <c r="F1854" s="4" t="s">
        <v>28</v>
      </c>
      <c r="G1854" s="4" t="s">
        <v>107</v>
      </c>
      <c r="H1854">
        <v>252</v>
      </c>
      <c r="I1854">
        <v>387</v>
      </c>
      <c r="J1854">
        <v>0</v>
      </c>
      <c r="K1854">
        <v>387</v>
      </c>
      <c r="L1854">
        <v>166964.71</v>
      </c>
      <c r="M1854">
        <v>0</v>
      </c>
      <c r="N1854">
        <v>166964.71</v>
      </c>
      <c r="O1854">
        <v>61087.95</v>
      </c>
      <c r="P1854">
        <v>105876.76</v>
      </c>
      <c r="Q1854">
        <v>0.6341</v>
      </c>
      <c r="R1854">
        <v>37</v>
      </c>
      <c r="S1854">
        <v>26252.71</v>
      </c>
      <c r="T1854">
        <v>0</v>
      </c>
      <c r="U1854">
        <v>662.56</v>
      </c>
    </row>
    <row r="1855" spans="1:21" x14ac:dyDescent="0.35">
      <c r="A1855">
        <v>2025</v>
      </c>
      <c r="B1855">
        <v>12</v>
      </c>
      <c r="C1855">
        <v>4</v>
      </c>
      <c r="D1855" s="1">
        <v>45992</v>
      </c>
      <c r="E1855" s="4" t="s">
        <v>30</v>
      </c>
      <c r="F1855" s="4" t="s">
        <v>28</v>
      </c>
      <c r="G1855" s="4" t="s">
        <v>108</v>
      </c>
      <c r="H1855">
        <v>96</v>
      </c>
      <c r="I1855">
        <v>149</v>
      </c>
      <c r="J1855">
        <v>0</v>
      </c>
      <c r="K1855">
        <v>149</v>
      </c>
      <c r="L1855">
        <v>86487.45</v>
      </c>
      <c r="M1855">
        <v>0</v>
      </c>
      <c r="N1855">
        <v>86487.45</v>
      </c>
      <c r="O1855">
        <v>32072.25</v>
      </c>
      <c r="P1855">
        <v>54415.199999999997</v>
      </c>
      <c r="Q1855">
        <v>0.62919999999999998</v>
      </c>
      <c r="R1855">
        <v>14</v>
      </c>
      <c r="S1855">
        <v>14532.45</v>
      </c>
      <c r="T1855">
        <v>0</v>
      </c>
      <c r="U1855">
        <v>900.91</v>
      </c>
    </row>
    <row r="1856" spans="1:21" x14ac:dyDescent="0.35">
      <c r="A1856">
        <v>2025</v>
      </c>
      <c r="B1856">
        <v>12</v>
      </c>
      <c r="C1856">
        <v>4</v>
      </c>
      <c r="D1856" s="1">
        <v>45992</v>
      </c>
      <c r="E1856" s="4" t="s">
        <v>30</v>
      </c>
      <c r="F1856" s="4" t="s">
        <v>28</v>
      </c>
      <c r="G1856" s="4" t="s">
        <v>109</v>
      </c>
      <c r="H1856">
        <v>1489</v>
      </c>
      <c r="I1856">
        <v>2327</v>
      </c>
      <c r="J1856">
        <v>0</v>
      </c>
      <c r="K1856">
        <v>2327</v>
      </c>
      <c r="L1856">
        <v>937551.14</v>
      </c>
      <c r="M1856">
        <v>0</v>
      </c>
      <c r="N1856">
        <v>937551.14</v>
      </c>
      <c r="O1856">
        <v>340965.1</v>
      </c>
      <c r="P1856">
        <v>596586.04</v>
      </c>
      <c r="Q1856">
        <v>0.63629999999999998</v>
      </c>
      <c r="R1856">
        <v>204</v>
      </c>
      <c r="S1856">
        <v>139597.65</v>
      </c>
      <c r="T1856">
        <v>0</v>
      </c>
      <c r="U1856">
        <v>629.65</v>
      </c>
    </row>
    <row r="1857" spans="1:21" x14ac:dyDescent="0.35">
      <c r="A1857">
        <v>2025</v>
      </c>
      <c r="B1857">
        <v>12</v>
      </c>
      <c r="C1857">
        <v>4</v>
      </c>
      <c r="D1857" s="1">
        <v>45992</v>
      </c>
      <c r="E1857" s="4" t="s">
        <v>30</v>
      </c>
      <c r="F1857" s="4" t="s">
        <v>35</v>
      </c>
      <c r="G1857" s="4" t="s">
        <v>109</v>
      </c>
      <c r="H1857">
        <v>1</v>
      </c>
      <c r="I1857">
        <v>1</v>
      </c>
      <c r="J1857">
        <v>0</v>
      </c>
      <c r="K1857">
        <v>1</v>
      </c>
      <c r="L1857">
        <v>428</v>
      </c>
      <c r="M1857">
        <v>0</v>
      </c>
      <c r="N1857">
        <v>428</v>
      </c>
      <c r="O1857">
        <v>85.6</v>
      </c>
      <c r="P1857">
        <v>342.4</v>
      </c>
      <c r="Q1857">
        <v>0.8</v>
      </c>
      <c r="R1857">
        <v>0</v>
      </c>
      <c r="S1857">
        <v>0</v>
      </c>
      <c r="T1857">
        <v>0</v>
      </c>
      <c r="U1857">
        <v>428</v>
      </c>
    </row>
    <row r="1858" spans="1:21" x14ac:dyDescent="0.35">
      <c r="A1858">
        <v>2025</v>
      </c>
      <c r="B1858">
        <v>12</v>
      </c>
      <c r="C1858">
        <v>4</v>
      </c>
      <c r="D1858" s="1">
        <v>45992</v>
      </c>
      <c r="E1858" s="4" t="s">
        <v>30</v>
      </c>
      <c r="F1858" s="4" t="s">
        <v>24</v>
      </c>
      <c r="G1858" s="4" t="s">
        <v>107</v>
      </c>
      <c r="H1858">
        <v>117</v>
      </c>
      <c r="I1858">
        <v>172</v>
      </c>
      <c r="J1858">
        <v>6</v>
      </c>
      <c r="K1858">
        <v>166</v>
      </c>
      <c r="L1858">
        <v>321552.09999999998</v>
      </c>
      <c r="M1858">
        <v>10933.68</v>
      </c>
      <c r="N1858">
        <v>310618.42</v>
      </c>
      <c r="O1858">
        <v>175549</v>
      </c>
      <c r="P1858">
        <v>135069.42000000001</v>
      </c>
      <c r="Q1858">
        <v>0.43480000000000002</v>
      </c>
      <c r="R1858">
        <v>12</v>
      </c>
      <c r="S1858">
        <v>40323.42</v>
      </c>
      <c r="T1858">
        <v>0</v>
      </c>
      <c r="U1858">
        <v>2654.86</v>
      </c>
    </row>
    <row r="1859" spans="1:21" x14ac:dyDescent="0.35">
      <c r="A1859">
        <v>2025</v>
      </c>
      <c r="B1859">
        <v>12</v>
      </c>
      <c r="C1859">
        <v>4</v>
      </c>
      <c r="D1859" s="1">
        <v>45992</v>
      </c>
      <c r="E1859" s="4" t="s">
        <v>30</v>
      </c>
      <c r="F1859" s="4" t="s">
        <v>24</v>
      </c>
      <c r="G1859" s="4" t="s">
        <v>108</v>
      </c>
      <c r="H1859">
        <v>12</v>
      </c>
      <c r="I1859">
        <v>20</v>
      </c>
      <c r="J1859">
        <v>0</v>
      </c>
      <c r="K1859">
        <v>20</v>
      </c>
      <c r="L1859">
        <v>47071.86</v>
      </c>
      <c r="M1859">
        <v>0</v>
      </c>
      <c r="N1859">
        <v>47071.86</v>
      </c>
      <c r="O1859">
        <v>26499</v>
      </c>
      <c r="P1859">
        <v>20572.86</v>
      </c>
      <c r="Q1859">
        <v>0.43709999999999999</v>
      </c>
      <c r="R1859">
        <v>1</v>
      </c>
      <c r="S1859">
        <v>3709.86</v>
      </c>
      <c r="T1859">
        <v>0</v>
      </c>
      <c r="U1859">
        <v>3922.66</v>
      </c>
    </row>
    <row r="1860" spans="1:21" x14ac:dyDescent="0.35">
      <c r="A1860">
        <v>2025</v>
      </c>
      <c r="B1860">
        <v>12</v>
      </c>
      <c r="C1860">
        <v>4</v>
      </c>
      <c r="D1860" s="1">
        <v>45992</v>
      </c>
      <c r="E1860" s="4" t="s">
        <v>30</v>
      </c>
      <c r="F1860" s="4" t="s">
        <v>24</v>
      </c>
      <c r="G1860" s="4" t="s">
        <v>109</v>
      </c>
      <c r="H1860">
        <v>432</v>
      </c>
      <c r="I1860">
        <v>683</v>
      </c>
      <c r="J1860">
        <v>15</v>
      </c>
      <c r="K1860">
        <v>668</v>
      </c>
      <c r="L1860">
        <v>1234106.0900000001</v>
      </c>
      <c r="M1860">
        <v>25222.38</v>
      </c>
      <c r="N1860">
        <v>1208883.71</v>
      </c>
      <c r="O1860">
        <v>691812.55</v>
      </c>
      <c r="P1860">
        <v>517071.16</v>
      </c>
      <c r="Q1860">
        <v>0.42770000000000002</v>
      </c>
      <c r="R1860">
        <v>63</v>
      </c>
      <c r="S1860">
        <v>212816.6</v>
      </c>
      <c r="T1860">
        <v>0</v>
      </c>
      <c r="U1860">
        <v>2798.34</v>
      </c>
    </row>
    <row r="1861" spans="1:21" x14ac:dyDescent="0.35">
      <c r="A1861">
        <v>2025</v>
      </c>
      <c r="B1861">
        <v>12</v>
      </c>
      <c r="C1861">
        <v>4</v>
      </c>
      <c r="D1861" s="1">
        <v>45992</v>
      </c>
      <c r="E1861" s="4" t="s">
        <v>30</v>
      </c>
      <c r="F1861" s="4" t="s">
        <v>26</v>
      </c>
      <c r="G1861" s="4" t="s">
        <v>107</v>
      </c>
      <c r="H1861">
        <v>2</v>
      </c>
      <c r="I1861">
        <v>5</v>
      </c>
      <c r="J1861">
        <v>0</v>
      </c>
      <c r="K1861">
        <v>5</v>
      </c>
      <c r="L1861">
        <v>4639</v>
      </c>
      <c r="M1861">
        <v>0</v>
      </c>
      <c r="N1861">
        <v>4639</v>
      </c>
      <c r="O1861">
        <v>2783.4</v>
      </c>
      <c r="P1861">
        <v>1855.6</v>
      </c>
      <c r="Q1861">
        <v>0.4</v>
      </c>
      <c r="R1861">
        <v>0</v>
      </c>
      <c r="S1861">
        <v>0</v>
      </c>
      <c r="T1861">
        <v>0</v>
      </c>
      <c r="U1861">
        <v>2319.5</v>
      </c>
    </row>
    <row r="1862" spans="1:21" x14ac:dyDescent="0.35">
      <c r="A1862">
        <v>2025</v>
      </c>
      <c r="B1862">
        <v>12</v>
      </c>
      <c r="C1862">
        <v>4</v>
      </c>
      <c r="D1862" s="1">
        <v>45992</v>
      </c>
      <c r="E1862" s="4" t="s">
        <v>30</v>
      </c>
      <c r="F1862" s="4" t="s">
        <v>26</v>
      </c>
      <c r="G1862" s="4" t="s">
        <v>109</v>
      </c>
      <c r="H1862">
        <v>54</v>
      </c>
      <c r="I1862">
        <v>81</v>
      </c>
      <c r="J1862">
        <v>0</v>
      </c>
      <c r="K1862">
        <v>81</v>
      </c>
      <c r="L1862">
        <v>66601.97</v>
      </c>
      <c r="M1862">
        <v>0</v>
      </c>
      <c r="N1862">
        <v>66601.97</v>
      </c>
      <c r="O1862">
        <v>41470.800000000003</v>
      </c>
      <c r="P1862">
        <v>25131.17</v>
      </c>
      <c r="Q1862">
        <v>0.37730000000000002</v>
      </c>
      <c r="R1862">
        <v>5</v>
      </c>
      <c r="S1862">
        <v>8804.9699999999993</v>
      </c>
      <c r="T1862">
        <v>0</v>
      </c>
      <c r="U1862">
        <v>1233.3699999999999</v>
      </c>
    </row>
    <row r="1863" spans="1:21" x14ac:dyDescent="0.35">
      <c r="A1863">
        <v>2025</v>
      </c>
      <c r="B1863">
        <v>12</v>
      </c>
      <c r="C1863">
        <v>4</v>
      </c>
      <c r="D1863" s="1">
        <v>45992</v>
      </c>
      <c r="E1863" s="4" t="s">
        <v>78</v>
      </c>
      <c r="F1863" s="4" t="s">
        <v>78</v>
      </c>
      <c r="G1863" s="4" t="s">
        <v>110</v>
      </c>
      <c r="H1863">
        <v>270</v>
      </c>
      <c r="I1863">
        <v>391</v>
      </c>
      <c r="J1863">
        <v>0</v>
      </c>
      <c r="K1863">
        <v>391</v>
      </c>
      <c r="L1863">
        <v>920932.28</v>
      </c>
      <c r="M1863">
        <v>0</v>
      </c>
      <c r="N1863">
        <v>920932.28</v>
      </c>
      <c r="O1863">
        <v>138133.79999999999</v>
      </c>
      <c r="P1863">
        <v>782798.48</v>
      </c>
      <c r="Q1863">
        <v>0.85</v>
      </c>
      <c r="R1863">
        <v>1</v>
      </c>
      <c r="S1863">
        <v>1197</v>
      </c>
      <c r="T1863">
        <v>0</v>
      </c>
      <c r="U1863">
        <v>3410.86</v>
      </c>
    </row>
    <row r="1864" spans="1:21" x14ac:dyDescent="0.35">
      <c r="A1864">
        <v>2026</v>
      </c>
      <c r="B1864">
        <v>1</v>
      </c>
      <c r="C1864">
        <v>1</v>
      </c>
      <c r="D1864" s="1">
        <v>46023</v>
      </c>
      <c r="E1864" s="4" t="s">
        <v>33</v>
      </c>
      <c r="F1864" s="4" t="s">
        <v>28</v>
      </c>
      <c r="G1864" s="4" t="s">
        <v>107</v>
      </c>
      <c r="H1864">
        <v>102</v>
      </c>
      <c r="I1864">
        <v>154</v>
      </c>
      <c r="J1864">
        <v>0</v>
      </c>
      <c r="K1864">
        <v>154</v>
      </c>
      <c r="L1864">
        <v>48349.08</v>
      </c>
      <c r="M1864">
        <v>0</v>
      </c>
      <c r="N1864">
        <v>48349.08</v>
      </c>
      <c r="O1864">
        <v>17665.2</v>
      </c>
      <c r="P1864">
        <v>30683.88</v>
      </c>
      <c r="Q1864">
        <v>0.63460000000000005</v>
      </c>
      <c r="R1864">
        <v>11</v>
      </c>
      <c r="S1864">
        <v>7384.08</v>
      </c>
      <c r="T1864">
        <v>0</v>
      </c>
      <c r="U1864">
        <v>474.01</v>
      </c>
    </row>
    <row r="1865" spans="1:21" x14ac:dyDescent="0.35">
      <c r="A1865">
        <v>2026</v>
      </c>
      <c r="B1865">
        <v>1</v>
      </c>
      <c r="C1865">
        <v>1</v>
      </c>
      <c r="D1865" s="1">
        <v>46023</v>
      </c>
      <c r="E1865" s="4" t="s">
        <v>33</v>
      </c>
      <c r="F1865" s="4" t="s">
        <v>28</v>
      </c>
      <c r="G1865" s="4" t="s">
        <v>108</v>
      </c>
      <c r="H1865">
        <v>36</v>
      </c>
      <c r="I1865">
        <v>53</v>
      </c>
      <c r="J1865">
        <v>0</v>
      </c>
      <c r="K1865">
        <v>53</v>
      </c>
      <c r="L1865">
        <v>35671.199999999997</v>
      </c>
      <c r="M1865">
        <v>0</v>
      </c>
      <c r="N1865">
        <v>35671.199999999997</v>
      </c>
      <c r="O1865">
        <v>13207.6</v>
      </c>
      <c r="P1865">
        <v>22463.599999999999</v>
      </c>
      <c r="Q1865">
        <v>0.62970000000000004</v>
      </c>
      <c r="R1865">
        <v>5</v>
      </c>
      <c r="S1865">
        <v>6479.2</v>
      </c>
      <c r="T1865">
        <v>0</v>
      </c>
      <c r="U1865">
        <v>990.87</v>
      </c>
    </row>
    <row r="1866" spans="1:21" x14ac:dyDescent="0.35">
      <c r="A1866">
        <v>2026</v>
      </c>
      <c r="B1866">
        <v>1</v>
      </c>
      <c r="C1866">
        <v>1</v>
      </c>
      <c r="D1866" s="1">
        <v>46023</v>
      </c>
      <c r="E1866" s="4" t="s">
        <v>33</v>
      </c>
      <c r="F1866" s="4" t="s">
        <v>28</v>
      </c>
      <c r="G1866" s="4" t="s">
        <v>109</v>
      </c>
      <c r="H1866">
        <v>568</v>
      </c>
      <c r="I1866">
        <v>872</v>
      </c>
      <c r="J1866">
        <v>0</v>
      </c>
      <c r="K1866">
        <v>872</v>
      </c>
      <c r="L1866">
        <v>444992.64</v>
      </c>
      <c r="M1866">
        <v>0</v>
      </c>
      <c r="N1866">
        <v>444992.64</v>
      </c>
      <c r="O1866">
        <v>161416.85</v>
      </c>
      <c r="P1866">
        <v>283575.78999999998</v>
      </c>
      <c r="Q1866">
        <v>0.63729999999999998</v>
      </c>
      <c r="R1866">
        <v>69</v>
      </c>
      <c r="S1866">
        <v>66990.64</v>
      </c>
      <c r="T1866">
        <v>0</v>
      </c>
      <c r="U1866">
        <v>783.44</v>
      </c>
    </row>
    <row r="1867" spans="1:21" x14ac:dyDescent="0.35">
      <c r="A1867">
        <v>2026</v>
      </c>
      <c r="B1867">
        <v>1</v>
      </c>
      <c r="C1867">
        <v>1</v>
      </c>
      <c r="D1867" s="1">
        <v>46023</v>
      </c>
      <c r="E1867" s="4" t="s">
        <v>33</v>
      </c>
      <c r="F1867" s="4" t="s">
        <v>24</v>
      </c>
      <c r="G1867" s="4" t="s">
        <v>107</v>
      </c>
      <c r="H1867">
        <v>7</v>
      </c>
      <c r="I1867">
        <v>8</v>
      </c>
      <c r="J1867">
        <v>0</v>
      </c>
      <c r="K1867">
        <v>8</v>
      </c>
      <c r="L1867">
        <v>11658.3</v>
      </c>
      <c r="M1867">
        <v>0</v>
      </c>
      <c r="N1867">
        <v>11658.3</v>
      </c>
      <c r="O1867">
        <v>6918.45</v>
      </c>
      <c r="P1867">
        <v>4739.8500000000004</v>
      </c>
      <c r="Q1867">
        <v>0.40660000000000002</v>
      </c>
      <c r="R1867">
        <v>1</v>
      </c>
      <c r="S1867">
        <v>1869.3</v>
      </c>
      <c r="T1867">
        <v>0</v>
      </c>
      <c r="U1867">
        <v>1665.47</v>
      </c>
    </row>
    <row r="1868" spans="1:21" x14ac:dyDescent="0.35">
      <c r="A1868">
        <v>2026</v>
      </c>
      <c r="B1868">
        <v>1</v>
      </c>
      <c r="C1868">
        <v>1</v>
      </c>
      <c r="D1868" s="1">
        <v>46023</v>
      </c>
      <c r="E1868" s="4" t="s">
        <v>33</v>
      </c>
      <c r="F1868" s="4" t="s">
        <v>24</v>
      </c>
      <c r="G1868" s="4" t="s">
        <v>109</v>
      </c>
      <c r="H1868">
        <v>122</v>
      </c>
      <c r="I1868">
        <v>181</v>
      </c>
      <c r="J1868">
        <v>1</v>
      </c>
      <c r="K1868">
        <v>180</v>
      </c>
      <c r="L1868">
        <v>284110.53000000003</v>
      </c>
      <c r="M1868">
        <v>897</v>
      </c>
      <c r="N1868">
        <v>283213.53000000003</v>
      </c>
      <c r="O1868">
        <v>161894.15</v>
      </c>
      <c r="P1868">
        <v>121319.38</v>
      </c>
      <c r="Q1868">
        <v>0.4284</v>
      </c>
      <c r="R1868">
        <v>18</v>
      </c>
      <c r="S1868">
        <v>42517.53</v>
      </c>
      <c r="T1868">
        <v>0</v>
      </c>
      <c r="U1868">
        <v>2321.42</v>
      </c>
    </row>
    <row r="1869" spans="1:21" x14ac:dyDescent="0.35">
      <c r="A1869">
        <v>2026</v>
      </c>
      <c r="B1869">
        <v>1</v>
      </c>
      <c r="C1869">
        <v>1</v>
      </c>
      <c r="D1869" s="1">
        <v>46023</v>
      </c>
      <c r="E1869" s="4" t="s">
        <v>33</v>
      </c>
      <c r="F1869" s="4" t="s">
        <v>26</v>
      </c>
      <c r="G1869" s="4" t="s">
        <v>107</v>
      </c>
      <c r="H1869">
        <v>4</v>
      </c>
      <c r="I1869">
        <v>6</v>
      </c>
      <c r="J1869">
        <v>0</v>
      </c>
      <c r="K1869">
        <v>6</v>
      </c>
      <c r="L1869">
        <v>4147</v>
      </c>
      <c r="M1869">
        <v>0</v>
      </c>
      <c r="N1869">
        <v>4147</v>
      </c>
      <c r="O1869">
        <v>2488.1999999999998</v>
      </c>
      <c r="P1869">
        <v>1658.8</v>
      </c>
      <c r="Q1869">
        <v>0.4</v>
      </c>
      <c r="R1869">
        <v>0</v>
      </c>
      <c r="S1869">
        <v>0</v>
      </c>
      <c r="T1869">
        <v>0</v>
      </c>
      <c r="U1869">
        <v>1036.75</v>
      </c>
    </row>
    <row r="1870" spans="1:21" x14ac:dyDescent="0.35">
      <c r="A1870">
        <v>2026</v>
      </c>
      <c r="B1870">
        <v>1</v>
      </c>
      <c r="C1870">
        <v>1</v>
      </c>
      <c r="D1870" s="1">
        <v>46023</v>
      </c>
      <c r="E1870" s="4" t="s">
        <v>33</v>
      </c>
      <c r="F1870" s="4" t="s">
        <v>26</v>
      </c>
      <c r="G1870" s="4" t="s">
        <v>108</v>
      </c>
      <c r="H1870">
        <v>8</v>
      </c>
      <c r="I1870">
        <v>12</v>
      </c>
      <c r="J1870">
        <v>1</v>
      </c>
      <c r="K1870">
        <v>11</v>
      </c>
      <c r="L1870">
        <v>9090</v>
      </c>
      <c r="M1870">
        <v>875</v>
      </c>
      <c r="N1870">
        <v>8215</v>
      </c>
      <c r="O1870">
        <v>4992</v>
      </c>
      <c r="P1870">
        <v>3223</v>
      </c>
      <c r="Q1870">
        <v>0.39229999999999998</v>
      </c>
      <c r="R1870">
        <v>1</v>
      </c>
      <c r="S1870">
        <v>770</v>
      </c>
      <c r="T1870">
        <v>0</v>
      </c>
      <c r="U1870">
        <v>1026.8800000000001</v>
      </c>
    </row>
    <row r="1871" spans="1:21" x14ac:dyDescent="0.35">
      <c r="A1871">
        <v>2026</v>
      </c>
      <c r="B1871">
        <v>1</v>
      </c>
      <c r="C1871">
        <v>1</v>
      </c>
      <c r="D1871" s="1">
        <v>46023</v>
      </c>
      <c r="E1871" s="4" t="s">
        <v>33</v>
      </c>
      <c r="F1871" s="4" t="s">
        <v>26</v>
      </c>
      <c r="G1871" s="4" t="s">
        <v>109</v>
      </c>
      <c r="H1871">
        <v>48</v>
      </c>
      <c r="I1871">
        <v>73</v>
      </c>
      <c r="J1871">
        <v>3</v>
      </c>
      <c r="K1871">
        <v>70</v>
      </c>
      <c r="L1871">
        <v>52638.8</v>
      </c>
      <c r="M1871">
        <v>2577</v>
      </c>
      <c r="N1871">
        <v>50061.8</v>
      </c>
      <c r="O1871">
        <v>32045.4</v>
      </c>
      <c r="P1871">
        <v>18016.400000000001</v>
      </c>
      <c r="Q1871">
        <v>0.3599</v>
      </c>
      <c r="R1871">
        <v>10</v>
      </c>
      <c r="S1871">
        <v>13921.8</v>
      </c>
      <c r="T1871">
        <v>0</v>
      </c>
      <c r="U1871">
        <v>1042.95</v>
      </c>
    </row>
    <row r="1872" spans="1:21" x14ac:dyDescent="0.35">
      <c r="A1872">
        <v>2026</v>
      </c>
      <c r="B1872">
        <v>1</v>
      </c>
      <c r="C1872">
        <v>1</v>
      </c>
      <c r="D1872" s="1">
        <v>46023</v>
      </c>
      <c r="E1872" s="4" t="s">
        <v>32</v>
      </c>
      <c r="F1872" s="4" t="s">
        <v>28</v>
      </c>
      <c r="G1872" s="4" t="s">
        <v>107</v>
      </c>
      <c r="H1872">
        <v>14</v>
      </c>
      <c r="I1872">
        <v>19</v>
      </c>
      <c r="J1872">
        <v>0</v>
      </c>
      <c r="K1872">
        <v>19</v>
      </c>
      <c r="L1872">
        <v>8548.82</v>
      </c>
      <c r="M1872">
        <v>0</v>
      </c>
      <c r="N1872">
        <v>8548.82</v>
      </c>
      <c r="O1872">
        <v>3019.1</v>
      </c>
      <c r="P1872">
        <v>5529.72</v>
      </c>
      <c r="Q1872">
        <v>0.64680000000000004</v>
      </c>
      <c r="R1872">
        <v>1</v>
      </c>
      <c r="S1872">
        <v>376.82</v>
      </c>
      <c r="T1872">
        <v>0</v>
      </c>
      <c r="U1872">
        <v>610.63</v>
      </c>
    </row>
    <row r="1873" spans="1:21" x14ac:dyDescent="0.35">
      <c r="A1873">
        <v>2026</v>
      </c>
      <c r="B1873">
        <v>1</v>
      </c>
      <c r="C1873">
        <v>1</v>
      </c>
      <c r="D1873" s="1">
        <v>46023</v>
      </c>
      <c r="E1873" s="4" t="s">
        <v>32</v>
      </c>
      <c r="F1873" s="4" t="s">
        <v>28</v>
      </c>
      <c r="G1873" s="4" t="s">
        <v>109</v>
      </c>
      <c r="H1873">
        <v>448</v>
      </c>
      <c r="I1873">
        <v>665</v>
      </c>
      <c r="J1873">
        <v>0</v>
      </c>
      <c r="K1873">
        <v>665</v>
      </c>
      <c r="L1873">
        <v>226843.3</v>
      </c>
      <c r="M1873">
        <v>0</v>
      </c>
      <c r="N1873">
        <v>226843.3</v>
      </c>
      <c r="O1873">
        <v>82160.399999999994</v>
      </c>
      <c r="P1873">
        <v>144682.9</v>
      </c>
      <c r="Q1873">
        <v>0.63780000000000003</v>
      </c>
      <c r="R1873">
        <v>55</v>
      </c>
      <c r="S1873">
        <v>32964.949999999997</v>
      </c>
      <c r="T1873">
        <v>0</v>
      </c>
      <c r="U1873">
        <v>506.35</v>
      </c>
    </row>
    <row r="1874" spans="1:21" x14ac:dyDescent="0.35">
      <c r="A1874">
        <v>2026</v>
      </c>
      <c r="B1874">
        <v>1</v>
      </c>
      <c r="C1874">
        <v>1</v>
      </c>
      <c r="D1874" s="1">
        <v>46023</v>
      </c>
      <c r="E1874" s="4" t="s">
        <v>32</v>
      </c>
      <c r="F1874" s="4" t="s">
        <v>35</v>
      </c>
      <c r="G1874" s="4" t="s">
        <v>108</v>
      </c>
      <c r="H1874">
        <v>1</v>
      </c>
      <c r="I1874">
        <v>1</v>
      </c>
      <c r="J1874">
        <v>0</v>
      </c>
      <c r="K1874">
        <v>1</v>
      </c>
      <c r="L1874">
        <v>394</v>
      </c>
      <c r="M1874">
        <v>0</v>
      </c>
      <c r="N1874">
        <v>394</v>
      </c>
      <c r="O1874">
        <v>78.8</v>
      </c>
      <c r="P1874">
        <v>315.2</v>
      </c>
      <c r="Q1874">
        <v>0.8</v>
      </c>
      <c r="R1874">
        <v>0</v>
      </c>
      <c r="S1874">
        <v>0</v>
      </c>
      <c r="T1874">
        <v>0</v>
      </c>
      <c r="U1874">
        <v>394</v>
      </c>
    </row>
    <row r="1875" spans="1:21" x14ac:dyDescent="0.35">
      <c r="A1875">
        <v>2026</v>
      </c>
      <c r="B1875">
        <v>1</v>
      </c>
      <c r="C1875">
        <v>1</v>
      </c>
      <c r="D1875" s="1">
        <v>46023</v>
      </c>
      <c r="E1875" s="4" t="s">
        <v>32</v>
      </c>
      <c r="F1875" s="4" t="s">
        <v>24</v>
      </c>
      <c r="G1875" s="4" t="s">
        <v>107</v>
      </c>
      <c r="H1875">
        <v>32</v>
      </c>
      <c r="I1875">
        <v>42</v>
      </c>
      <c r="J1875">
        <v>2</v>
      </c>
      <c r="K1875">
        <v>40</v>
      </c>
      <c r="L1875">
        <v>58259.7</v>
      </c>
      <c r="M1875">
        <v>3168</v>
      </c>
      <c r="N1875">
        <v>55091.7</v>
      </c>
      <c r="O1875">
        <v>31536.45</v>
      </c>
      <c r="P1875">
        <v>23555.25</v>
      </c>
      <c r="Q1875">
        <v>0.42759999999999998</v>
      </c>
      <c r="R1875">
        <v>4</v>
      </c>
      <c r="S1875">
        <v>10028.700000000001</v>
      </c>
      <c r="T1875">
        <v>0</v>
      </c>
      <c r="U1875">
        <v>1721.62</v>
      </c>
    </row>
    <row r="1876" spans="1:21" x14ac:dyDescent="0.35">
      <c r="A1876">
        <v>2026</v>
      </c>
      <c r="B1876">
        <v>1</v>
      </c>
      <c r="C1876">
        <v>1</v>
      </c>
      <c r="D1876" s="1">
        <v>46023</v>
      </c>
      <c r="E1876" s="4" t="s">
        <v>32</v>
      </c>
      <c r="F1876" s="4" t="s">
        <v>24</v>
      </c>
      <c r="G1876" s="4" t="s">
        <v>109</v>
      </c>
      <c r="H1876">
        <v>168</v>
      </c>
      <c r="I1876">
        <v>265</v>
      </c>
      <c r="J1876">
        <v>13</v>
      </c>
      <c r="K1876">
        <v>252</v>
      </c>
      <c r="L1876">
        <v>339424.77</v>
      </c>
      <c r="M1876">
        <v>12747.62</v>
      </c>
      <c r="N1876">
        <v>326677.15000000002</v>
      </c>
      <c r="O1876">
        <v>185830.7</v>
      </c>
      <c r="P1876">
        <v>140846.45000000001</v>
      </c>
      <c r="Q1876">
        <v>0.43109999999999998</v>
      </c>
      <c r="R1876">
        <v>21</v>
      </c>
      <c r="S1876">
        <v>46677.15</v>
      </c>
      <c r="T1876">
        <v>0</v>
      </c>
      <c r="U1876">
        <v>1944.51</v>
      </c>
    </row>
    <row r="1877" spans="1:21" x14ac:dyDescent="0.35">
      <c r="A1877">
        <v>2026</v>
      </c>
      <c r="B1877">
        <v>1</v>
      </c>
      <c r="C1877">
        <v>1</v>
      </c>
      <c r="D1877" s="1">
        <v>46023</v>
      </c>
      <c r="E1877" s="4" t="s">
        <v>32</v>
      </c>
      <c r="F1877" s="4" t="s">
        <v>26</v>
      </c>
      <c r="G1877" s="4" t="s">
        <v>108</v>
      </c>
      <c r="H1877">
        <v>8</v>
      </c>
      <c r="I1877">
        <v>11</v>
      </c>
      <c r="J1877">
        <v>0</v>
      </c>
      <c r="K1877">
        <v>11</v>
      </c>
      <c r="L1877">
        <v>3465</v>
      </c>
      <c r="M1877">
        <v>0</v>
      </c>
      <c r="N1877">
        <v>3465</v>
      </c>
      <c r="O1877">
        <v>2079</v>
      </c>
      <c r="P1877">
        <v>1386</v>
      </c>
      <c r="Q1877">
        <v>0.4</v>
      </c>
      <c r="R1877">
        <v>0</v>
      </c>
      <c r="S1877">
        <v>0</v>
      </c>
      <c r="T1877">
        <v>0</v>
      </c>
      <c r="U1877">
        <v>433.13</v>
      </c>
    </row>
    <row r="1878" spans="1:21" x14ac:dyDescent="0.35">
      <c r="A1878">
        <v>2026</v>
      </c>
      <c r="B1878">
        <v>1</v>
      </c>
      <c r="C1878">
        <v>1</v>
      </c>
      <c r="D1878" s="1">
        <v>46023</v>
      </c>
      <c r="E1878" s="4" t="s">
        <v>32</v>
      </c>
      <c r="F1878" s="4" t="s">
        <v>26</v>
      </c>
      <c r="G1878" s="4" t="s">
        <v>109</v>
      </c>
      <c r="H1878">
        <v>37</v>
      </c>
      <c r="I1878">
        <v>59</v>
      </c>
      <c r="J1878">
        <v>0</v>
      </c>
      <c r="K1878">
        <v>59</v>
      </c>
      <c r="L1878">
        <v>45661.46</v>
      </c>
      <c r="M1878">
        <v>0</v>
      </c>
      <c r="N1878">
        <v>45661.46</v>
      </c>
      <c r="O1878">
        <v>29175</v>
      </c>
      <c r="P1878">
        <v>16486.46</v>
      </c>
      <c r="Q1878">
        <v>0.36109999999999998</v>
      </c>
      <c r="R1878">
        <v>8</v>
      </c>
      <c r="S1878">
        <v>11158.46</v>
      </c>
      <c r="T1878">
        <v>0</v>
      </c>
      <c r="U1878">
        <v>1234.0899999999999</v>
      </c>
    </row>
    <row r="1879" spans="1:21" x14ac:dyDescent="0.35">
      <c r="A1879">
        <v>2026</v>
      </c>
      <c r="B1879">
        <v>1</v>
      </c>
      <c r="C1879">
        <v>1</v>
      </c>
      <c r="D1879" s="1">
        <v>46023</v>
      </c>
      <c r="E1879" s="4" t="s">
        <v>27</v>
      </c>
      <c r="F1879" s="4" t="s">
        <v>28</v>
      </c>
      <c r="G1879" s="4" t="s">
        <v>107</v>
      </c>
      <c r="H1879">
        <v>235</v>
      </c>
      <c r="I1879">
        <v>346</v>
      </c>
      <c r="J1879">
        <v>0</v>
      </c>
      <c r="K1879">
        <v>346</v>
      </c>
      <c r="L1879">
        <v>152284.85</v>
      </c>
      <c r="M1879">
        <v>0</v>
      </c>
      <c r="N1879">
        <v>152284.85</v>
      </c>
      <c r="O1879">
        <v>55590.5</v>
      </c>
      <c r="P1879">
        <v>96694.35</v>
      </c>
      <c r="Q1879">
        <v>0.63500000000000001</v>
      </c>
      <c r="R1879">
        <v>32</v>
      </c>
      <c r="S1879">
        <v>23957.75</v>
      </c>
      <c r="T1879">
        <v>0</v>
      </c>
      <c r="U1879">
        <v>648.02</v>
      </c>
    </row>
    <row r="1880" spans="1:21" x14ac:dyDescent="0.35">
      <c r="A1880">
        <v>2026</v>
      </c>
      <c r="B1880">
        <v>1</v>
      </c>
      <c r="C1880">
        <v>1</v>
      </c>
      <c r="D1880" s="1">
        <v>46023</v>
      </c>
      <c r="E1880" s="4" t="s">
        <v>27</v>
      </c>
      <c r="F1880" s="4" t="s">
        <v>28</v>
      </c>
      <c r="G1880" s="4" t="s">
        <v>109</v>
      </c>
      <c r="H1880">
        <v>647</v>
      </c>
      <c r="I1880">
        <v>984</v>
      </c>
      <c r="J1880">
        <v>0</v>
      </c>
      <c r="K1880">
        <v>984</v>
      </c>
      <c r="L1880">
        <v>528454.93000000005</v>
      </c>
      <c r="M1880">
        <v>0</v>
      </c>
      <c r="N1880">
        <v>528454.93000000005</v>
      </c>
      <c r="O1880">
        <v>191202.55</v>
      </c>
      <c r="P1880">
        <v>337252.38</v>
      </c>
      <c r="Q1880">
        <v>0.63819999999999999</v>
      </c>
      <c r="R1880">
        <v>80</v>
      </c>
      <c r="S1880">
        <v>72216.38</v>
      </c>
      <c r="T1880">
        <v>0</v>
      </c>
      <c r="U1880">
        <v>816.78</v>
      </c>
    </row>
    <row r="1881" spans="1:21" x14ac:dyDescent="0.35">
      <c r="A1881">
        <v>2026</v>
      </c>
      <c r="B1881">
        <v>1</v>
      </c>
      <c r="C1881">
        <v>1</v>
      </c>
      <c r="D1881" s="1">
        <v>46023</v>
      </c>
      <c r="E1881" s="4" t="s">
        <v>27</v>
      </c>
      <c r="F1881" s="4" t="s">
        <v>24</v>
      </c>
      <c r="G1881" s="4" t="s">
        <v>107</v>
      </c>
      <c r="H1881">
        <v>75</v>
      </c>
      <c r="I1881">
        <v>131</v>
      </c>
      <c r="J1881">
        <v>3</v>
      </c>
      <c r="K1881">
        <v>128</v>
      </c>
      <c r="L1881">
        <v>234938.41</v>
      </c>
      <c r="M1881">
        <v>3147</v>
      </c>
      <c r="N1881">
        <v>231791.41</v>
      </c>
      <c r="O1881">
        <v>130543.05</v>
      </c>
      <c r="P1881">
        <v>101248.36</v>
      </c>
      <c r="Q1881">
        <v>0.43680000000000002</v>
      </c>
      <c r="R1881">
        <v>7</v>
      </c>
      <c r="S1881">
        <v>21849.41</v>
      </c>
      <c r="T1881">
        <v>0</v>
      </c>
      <c r="U1881">
        <v>3090.55</v>
      </c>
    </row>
    <row r="1882" spans="1:21" x14ac:dyDescent="0.35">
      <c r="A1882">
        <v>2026</v>
      </c>
      <c r="B1882">
        <v>1</v>
      </c>
      <c r="C1882">
        <v>1</v>
      </c>
      <c r="D1882" s="1">
        <v>46023</v>
      </c>
      <c r="E1882" s="4" t="s">
        <v>27</v>
      </c>
      <c r="F1882" s="4" t="s">
        <v>24</v>
      </c>
      <c r="G1882" s="4" t="s">
        <v>109</v>
      </c>
      <c r="H1882">
        <v>233</v>
      </c>
      <c r="I1882">
        <v>351</v>
      </c>
      <c r="J1882">
        <v>6</v>
      </c>
      <c r="K1882">
        <v>345</v>
      </c>
      <c r="L1882">
        <v>578967.88</v>
      </c>
      <c r="M1882">
        <v>10089</v>
      </c>
      <c r="N1882">
        <v>568878.88</v>
      </c>
      <c r="O1882">
        <v>326729.15000000002</v>
      </c>
      <c r="P1882">
        <v>242149.73</v>
      </c>
      <c r="Q1882">
        <v>0.42570000000000002</v>
      </c>
      <c r="R1882">
        <v>22</v>
      </c>
      <c r="S1882">
        <v>85929.88</v>
      </c>
      <c r="T1882">
        <v>0</v>
      </c>
      <c r="U1882">
        <v>2441.54</v>
      </c>
    </row>
    <row r="1883" spans="1:21" x14ac:dyDescent="0.35">
      <c r="A1883">
        <v>2026</v>
      </c>
      <c r="B1883">
        <v>1</v>
      </c>
      <c r="C1883">
        <v>1</v>
      </c>
      <c r="D1883" s="1">
        <v>46023</v>
      </c>
      <c r="E1883" s="4" t="s">
        <v>27</v>
      </c>
      <c r="F1883" s="4" t="s">
        <v>26</v>
      </c>
      <c r="G1883" s="4" t="s">
        <v>107</v>
      </c>
      <c r="H1883">
        <v>5</v>
      </c>
      <c r="I1883">
        <v>7</v>
      </c>
      <c r="J1883">
        <v>0</v>
      </c>
      <c r="K1883">
        <v>7</v>
      </c>
      <c r="L1883">
        <v>6122</v>
      </c>
      <c r="M1883">
        <v>0</v>
      </c>
      <c r="N1883">
        <v>6122</v>
      </c>
      <c r="O1883">
        <v>3673.2</v>
      </c>
      <c r="P1883">
        <v>2448.8000000000002</v>
      </c>
      <c r="Q1883">
        <v>0.4</v>
      </c>
      <c r="R1883">
        <v>0</v>
      </c>
      <c r="S1883">
        <v>0</v>
      </c>
      <c r="T1883">
        <v>0</v>
      </c>
      <c r="U1883">
        <v>1224.4000000000001</v>
      </c>
    </row>
    <row r="1884" spans="1:21" x14ac:dyDescent="0.35">
      <c r="A1884">
        <v>2026</v>
      </c>
      <c r="B1884">
        <v>1</v>
      </c>
      <c r="C1884">
        <v>1</v>
      </c>
      <c r="D1884" s="1">
        <v>46023</v>
      </c>
      <c r="E1884" s="4" t="s">
        <v>27</v>
      </c>
      <c r="F1884" s="4" t="s">
        <v>26</v>
      </c>
      <c r="G1884" s="4" t="s">
        <v>109</v>
      </c>
      <c r="H1884">
        <v>39</v>
      </c>
      <c r="I1884">
        <v>53</v>
      </c>
      <c r="J1884">
        <v>2</v>
      </c>
      <c r="K1884">
        <v>51</v>
      </c>
      <c r="L1884">
        <v>28415.040000000001</v>
      </c>
      <c r="M1884">
        <v>1994</v>
      </c>
      <c r="N1884">
        <v>26421.040000000001</v>
      </c>
      <c r="O1884">
        <v>17059.8</v>
      </c>
      <c r="P1884">
        <v>9361.24</v>
      </c>
      <c r="Q1884">
        <v>0.3543</v>
      </c>
      <c r="R1884">
        <v>5</v>
      </c>
      <c r="S1884">
        <v>5088.04</v>
      </c>
      <c r="T1884">
        <v>0</v>
      </c>
      <c r="U1884">
        <v>677.46</v>
      </c>
    </row>
    <row r="1885" spans="1:21" x14ac:dyDescent="0.35">
      <c r="A1885">
        <v>2026</v>
      </c>
      <c r="B1885">
        <v>1</v>
      </c>
      <c r="C1885">
        <v>1</v>
      </c>
      <c r="D1885" s="1">
        <v>46023</v>
      </c>
      <c r="E1885" s="4" t="s">
        <v>34</v>
      </c>
      <c r="F1885" s="4" t="s">
        <v>28</v>
      </c>
      <c r="G1885" s="4" t="s">
        <v>107</v>
      </c>
      <c r="H1885">
        <v>180</v>
      </c>
      <c r="I1885">
        <v>274</v>
      </c>
      <c r="J1885">
        <v>0</v>
      </c>
      <c r="K1885">
        <v>274</v>
      </c>
      <c r="L1885">
        <v>177160.05</v>
      </c>
      <c r="M1885">
        <v>0</v>
      </c>
      <c r="N1885">
        <v>177160.05</v>
      </c>
      <c r="O1885">
        <v>65366</v>
      </c>
      <c r="P1885">
        <v>111794.05</v>
      </c>
      <c r="Q1885">
        <v>0.63100000000000001</v>
      </c>
      <c r="R1885">
        <v>27</v>
      </c>
      <c r="S1885">
        <v>30307.05</v>
      </c>
      <c r="T1885">
        <v>0</v>
      </c>
      <c r="U1885">
        <v>984.22</v>
      </c>
    </row>
    <row r="1886" spans="1:21" x14ac:dyDescent="0.35">
      <c r="A1886">
        <v>2026</v>
      </c>
      <c r="B1886">
        <v>1</v>
      </c>
      <c r="C1886">
        <v>1</v>
      </c>
      <c r="D1886" s="1">
        <v>46023</v>
      </c>
      <c r="E1886" s="4" t="s">
        <v>34</v>
      </c>
      <c r="F1886" s="4" t="s">
        <v>28</v>
      </c>
      <c r="G1886" s="4" t="s">
        <v>108</v>
      </c>
      <c r="H1886">
        <v>54</v>
      </c>
      <c r="I1886">
        <v>88</v>
      </c>
      <c r="J1886">
        <v>0</v>
      </c>
      <c r="K1886">
        <v>88</v>
      </c>
      <c r="L1886">
        <v>35962.92</v>
      </c>
      <c r="M1886">
        <v>0</v>
      </c>
      <c r="N1886">
        <v>35962.92</v>
      </c>
      <c r="O1886">
        <v>13120.8</v>
      </c>
      <c r="P1886">
        <v>22842.12</v>
      </c>
      <c r="Q1886">
        <v>0.63519999999999999</v>
      </c>
      <c r="R1886">
        <v>9</v>
      </c>
      <c r="S1886">
        <v>4864.92</v>
      </c>
      <c r="T1886">
        <v>0</v>
      </c>
      <c r="U1886">
        <v>665.98</v>
      </c>
    </row>
    <row r="1887" spans="1:21" x14ac:dyDescent="0.35">
      <c r="A1887">
        <v>2026</v>
      </c>
      <c r="B1887">
        <v>1</v>
      </c>
      <c r="C1887">
        <v>1</v>
      </c>
      <c r="D1887" s="1">
        <v>46023</v>
      </c>
      <c r="E1887" s="4" t="s">
        <v>34</v>
      </c>
      <c r="F1887" s="4" t="s">
        <v>28</v>
      </c>
      <c r="G1887" s="4" t="s">
        <v>109</v>
      </c>
      <c r="H1887">
        <v>603</v>
      </c>
      <c r="I1887">
        <v>923</v>
      </c>
      <c r="J1887">
        <v>0</v>
      </c>
      <c r="K1887">
        <v>923</v>
      </c>
      <c r="L1887">
        <v>453935.32</v>
      </c>
      <c r="M1887">
        <v>0</v>
      </c>
      <c r="N1887">
        <v>453935.32</v>
      </c>
      <c r="O1887">
        <v>163718.45000000001</v>
      </c>
      <c r="P1887">
        <v>290216.87</v>
      </c>
      <c r="Q1887">
        <v>0.63929999999999998</v>
      </c>
      <c r="R1887">
        <v>71</v>
      </c>
      <c r="S1887">
        <v>54288.92</v>
      </c>
      <c r="T1887">
        <v>0</v>
      </c>
      <c r="U1887">
        <v>752.79</v>
      </c>
    </row>
    <row r="1888" spans="1:21" x14ac:dyDescent="0.35">
      <c r="A1888">
        <v>2026</v>
      </c>
      <c r="B1888">
        <v>1</v>
      </c>
      <c r="C1888">
        <v>1</v>
      </c>
      <c r="D1888" s="1">
        <v>46023</v>
      </c>
      <c r="E1888" s="4" t="s">
        <v>34</v>
      </c>
      <c r="F1888" s="4" t="s">
        <v>24</v>
      </c>
      <c r="G1888" s="4" t="s">
        <v>107</v>
      </c>
      <c r="H1888">
        <v>77</v>
      </c>
      <c r="I1888">
        <v>106</v>
      </c>
      <c r="J1888">
        <v>0</v>
      </c>
      <c r="K1888">
        <v>106</v>
      </c>
      <c r="L1888">
        <v>176866.46</v>
      </c>
      <c r="M1888">
        <v>0</v>
      </c>
      <c r="N1888">
        <v>176866.46</v>
      </c>
      <c r="O1888">
        <v>98903.2</v>
      </c>
      <c r="P1888">
        <v>77963.259999999995</v>
      </c>
      <c r="Q1888">
        <v>0.44080000000000003</v>
      </c>
      <c r="R1888">
        <v>5</v>
      </c>
      <c r="S1888">
        <v>15972.46</v>
      </c>
      <c r="T1888">
        <v>0</v>
      </c>
      <c r="U1888">
        <v>2296.9699999999998</v>
      </c>
    </row>
    <row r="1889" spans="1:21" x14ac:dyDescent="0.35">
      <c r="A1889">
        <v>2026</v>
      </c>
      <c r="B1889">
        <v>1</v>
      </c>
      <c r="C1889">
        <v>1</v>
      </c>
      <c r="D1889" s="1">
        <v>46023</v>
      </c>
      <c r="E1889" s="4" t="s">
        <v>34</v>
      </c>
      <c r="F1889" s="4" t="s">
        <v>24</v>
      </c>
      <c r="G1889" s="4" t="s">
        <v>108</v>
      </c>
      <c r="H1889">
        <v>16</v>
      </c>
      <c r="I1889">
        <v>27</v>
      </c>
      <c r="J1889">
        <v>1</v>
      </c>
      <c r="K1889">
        <v>26</v>
      </c>
      <c r="L1889">
        <v>33978.559999999998</v>
      </c>
      <c r="M1889">
        <v>1379</v>
      </c>
      <c r="N1889">
        <v>32599.56</v>
      </c>
      <c r="O1889">
        <v>19719.7</v>
      </c>
      <c r="P1889">
        <v>12879.86</v>
      </c>
      <c r="Q1889">
        <v>0.39510000000000001</v>
      </c>
      <c r="R1889">
        <v>5</v>
      </c>
      <c r="S1889">
        <v>13293.56</v>
      </c>
      <c r="T1889">
        <v>0</v>
      </c>
      <c r="U1889">
        <v>2037.47</v>
      </c>
    </row>
    <row r="1890" spans="1:21" x14ac:dyDescent="0.35">
      <c r="A1890">
        <v>2026</v>
      </c>
      <c r="B1890">
        <v>1</v>
      </c>
      <c r="C1890">
        <v>1</v>
      </c>
      <c r="D1890" s="1">
        <v>46023</v>
      </c>
      <c r="E1890" s="4" t="s">
        <v>34</v>
      </c>
      <c r="F1890" s="4" t="s">
        <v>24</v>
      </c>
      <c r="G1890" s="4" t="s">
        <v>109</v>
      </c>
      <c r="H1890">
        <v>161</v>
      </c>
      <c r="I1890">
        <v>236</v>
      </c>
      <c r="J1890">
        <v>5</v>
      </c>
      <c r="K1890">
        <v>231</v>
      </c>
      <c r="L1890">
        <v>393781.54</v>
      </c>
      <c r="M1890">
        <v>11040</v>
      </c>
      <c r="N1890">
        <v>382741.54</v>
      </c>
      <c r="O1890">
        <v>216971.15</v>
      </c>
      <c r="P1890">
        <v>165770.39000000001</v>
      </c>
      <c r="Q1890">
        <v>0.43309999999999998</v>
      </c>
      <c r="R1890">
        <v>20</v>
      </c>
      <c r="S1890">
        <v>61360.56</v>
      </c>
      <c r="T1890">
        <v>0</v>
      </c>
      <c r="U1890">
        <v>2377.2800000000002</v>
      </c>
    </row>
    <row r="1891" spans="1:21" x14ac:dyDescent="0.35">
      <c r="A1891">
        <v>2026</v>
      </c>
      <c r="B1891">
        <v>1</v>
      </c>
      <c r="C1891">
        <v>1</v>
      </c>
      <c r="D1891" s="1">
        <v>46023</v>
      </c>
      <c r="E1891" s="4" t="s">
        <v>34</v>
      </c>
      <c r="F1891" s="4" t="s">
        <v>26</v>
      </c>
      <c r="G1891" s="4" t="s">
        <v>107</v>
      </c>
      <c r="H1891">
        <v>6</v>
      </c>
      <c r="I1891">
        <v>8</v>
      </c>
      <c r="J1891">
        <v>0</v>
      </c>
      <c r="K1891">
        <v>8</v>
      </c>
      <c r="L1891">
        <v>4296</v>
      </c>
      <c r="M1891">
        <v>0</v>
      </c>
      <c r="N1891">
        <v>4296</v>
      </c>
      <c r="O1891">
        <v>2577.6</v>
      </c>
      <c r="P1891">
        <v>1718.4</v>
      </c>
      <c r="Q1891">
        <v>0.4</v>
      </c>
      <c r="R1891">
        <v>0</v>
      </c>
      <c r="S1891">
        <v>0</v>
      </c>
      <c r="T1891">
        <v>0</v>
      </c>
      <c r="U1891">
        <v>716</v>
      </c>
    </row>
    <row r="1892" spans="1:21" x14ac:dyDescent="0.35">
      <c r="A1892">
        <v>2026</v>
      </c>
      <c r="B1892">
        <v>1</v>
      </c>
      <c r="C1892">
        <v>1</v>
      </c>
      <c r="D1892" s="1">
        <v>46023</v>
      </c>
      <c r="E1892" s="4" t="s">
        <v>34</v>
      </c>
      <c r="F1892" s="4" t="s">
        <v>26</v>
      </c>
      <c r="G1892" s="4" t="s">
        <v>108</v>
      </c>
      <c r="H1892">
        <v>3</v>
      </c>
      <c r="I1892">
        <v>4</v>
      </c>
      <c r="J1892">
        <v>0</v>
      </c>
      <c r="K1892">
        <v>4</v>
      </c>
      <c r="L1892">
        <v>1324.92</v>
      </c>
      <c r="M1892">
        <v>0</v>
      </c>
      <c r="N1892">
        <v>1324.92</v>
      </c>
      <c r="O1892">
        <v>878.4</v>
      </c>
      <c r="P1892">
        <v>446.52</v>
      </c>
      <c r="Q1892">
        <v>0.33700000000000002</v>
      </c>
      <c r="R1892">
        <v>1</v>
      </c>
      <c r="S1892">
        <v>592.91999999999996</v>
      </c>
      <c r="T1892">
        <v>0</v>
      </c>
      <c r="U1892">
        <v>441.64</v>
      </c>
    </row>
    <row r="1893" spans="1:21" x14ac:dyDescent="0.35">
      <c r="A1893">
        <v>2026</v>
      </c>
      <c r="B1893">
        <v>1</v>
      </c>
      <c r="C1893">
        <v>1</v>
      </c>
      <c r="D1893" s="1">
        <v>46023</v>
      </c>
      <c r="E1893" s="4" t="s">
        <v>34</v>
      </c>
      <c r="F1893" s="4" t="s">
        <v>26</v>
      </c>
      <c r="G1893" s="4" t="s">
        <v>109</v>
      </c>
      <c r="H1893">
        <v>46</v>
      </c>
      <c r="I1893">
        <v>58</v>
      </c>
      <c r="J1893">
        <v>2</v>
      </c>
      <c r="K1893">
        <v>56</v>
      </c>
      <c r="L1893">
        <v>41781.46</v>
      </c>
      <c r="M1893">
        <v>1162</v>
      </c>
      <c r="N1893">
        <v>40619.46</v>
      </c>
      <c r="O1893">
        <v>24796.799999999999</v>
      </c>
      <c r="P1893">
        <v>15822.66</v>
      </c>
      <c r="Q1893">
        <v>0.38950000000000001</v>
      </c>
      <c r="R1893">
        <v>3</v>
      </c>
      <c r="S1893">
        <v>2618.46</v>
      </c>
      <c r="T1893">
        <v>0</v>
      </c>
      <c r="U1893">
        <v>883.03</v>
      </c>
    </row>
    <row r="1894" spans="1:21" x14ac:dyDescent="0.35">
      <c r="A1894">
        <v>2026</v>
      </c>
      <c r="B1894">
        <v>1</v>
      </c>
      <c r="C1894">
        <v>1</v>
      </c>
      <c r="D1894" s="1">
        <v>46023</v>
      </c>
      <c r="E1894" s="4" t="s">
        <v>36</v>
      </c>
      <c r="F1894" s="4" t="s">
        <v>28</v>
      </c>
      <c r="G1894" s="4" t="s">
        <v>107</v>
      </c>
      <c r="H1894">
        <v>69</v>
      </c>
      <c r="I1894">
        <v>105</v>
      </c>
      <c r="J1894">
        <v>0</v>
      </c>
      <c r="K1894">
        <v>105</v>
      </c>
      <c r="L1894">
        <v>67575.89</v>
      </c>
      <c r="M1894">
        <v>0</v>
      </c>
      <c r="N1894">
        <v>67575.89</v>
      </c>
      <c r="O1894">
        <v>24321.15</v>
      </c>
      <c r="P1894">
        <v>43254.74</v>
      </c>
      <c r="Q1894">
        <v>0.6401</v>
      </c>
      <c r="R1894">
        <v>10</v>
      </c>
      <c r="S1894">
        <v>9067.89</v>
      </c>
      <c r="T1894">
        <v>0</v>
      </c>
      <c r="U1894">
        <v>979.36</v>
      </c>
    </row>
    <row r="1895" spans="1:21" x14ac:dyDescent="0.35">
      <c r="A1895">
        <v>2026</v>
      </c>
      <c r="B1895">
        <v>1</v>
      </c>
      <c r="C1895">
        <v>1</v>
      </c>
      <c r="D1895" s="1">
        <v>46023</v>
      </c>
      <c r="E1895" s="4" t="s">
        <v>36</v>
      </c>
      <c r="F1895" s="4" t="s">
        <v>28</v>
      </c>
      <c r="G1895" s="4" t="s">
        <v>108</v>
      </c>
      <c r="H1895">
        <v>130</v>
      </c>
      <c r="I1895">
        <v>190</v>
      </c>
      <c r="J1895">
        <v>0</v>
      </c>
      <c r="K1895">
        <v>190</v>
      </c>
      <c r="L1895">
        <v>60701.94</v>
      </c>
      <c r="M1895">
        <v>0</v>
      </c>
      <c r="N1895">
        <v>60701.94</v>
      </c>
      <c r="O1895">
        <v>22297.8</v>
      </c>
      <c r="P1895">
        <v>38404.14</v>
      </c>
      <c r="Q1895">
        <v>0.63270000000000004</v>
      </c>
      <c r="R1895">
        <v>13</v>
      </c>
      <c r="S1895">
        <v>8643.94</v>
      </c>
      <c r="T1895">
        <v>0</v>
      </c>
      <c r="U1895">
        <v>466.94</v>
      </c>
    </row>
    <row r="1896" spans="1:21" x14ac:dyDescent="0.35">
      <c r="A1896">
        <v>2026</v>
      </c>
      <c r="B1896">
        <v>1</v>
      </c>
      <c r="C1896">
        <v>1</v>
      </c>
      <c r="D1896" s="1">
        <v>46023</v>
      </c>
      <c r="E1896" s="4" t="s">
        <v>36</v>
      </c>
      <c r="F1896" s="4" t="s">
        <v>28</v>
      </c>
      <c r="G1896" s="4" t="s">
        <v>109</v>
      </c>
      <c r="H1896">
        <v>616</v>
      </c>
      <c r="I1896">
        <v>936</v>
      </c>
      <c r="J1896">
        <v>0</v>
      </c>
      <c r="K1896">
        <v>936</v>
      </c>
      <c r="L1896">
        <v>449998.01</v>
      </c>
      <c r="M1896">
        <v>0</v>
      </c>
      <c r="N1896">
        <v>449998.01</v>
      </c>
      <c r="O1896">
        <v>163499</v>
      </c>
      <c r="P1896">
        <v>286499.01</v>
      </c>
      <c r="Q1896">
        <v>0.63670000000000004</v>
      </c>
      <c r="R1896">
        <v>73</v>
      </c>
      <c r="S1896">
        <v>65393.18</v>
      </c>
      <c r="T1896">
        <v>0</v>
      </c>
      <c r="U1896">
        <v>730.52</v>
      </c>
    </row>
    <row r="1897" spans="1:21" x14ac:dyDescent="0.35">
      <c r="A1897">
        <v>2026</v>
      </c>
      <c r="B1897">
        <v>1</v>
      </c>
      <c r="C1897">
        <v>1</v>
      </c>
      <c r="D1897" s="1">
        <v>46023</v>
      </c>
      <c r="E1897" s="4" t="s">
        <v>36</v>
      </c>
      <c r="F1897" s="4" t="s">
        <v>35</v>
      </c>
      <c r="G1897" s="4" t="s">
        <v>109</v>
      </c>
      <c r="H1897">
        <v>1</v>
      </c>
      <c r="I1897">
        <v>1</v>
      </c>
      <c r="J1897">
        <v>0</v>
      </c>
      <c r="K1897">
        <v>1</v>
      </c>
      <c r="L1897">
        <v>179</v>
      </c>
      <c r="M1897">
        <v>0</v>
      </c>
      <c r="N1897">
        <v>179</v>
      </c>
      <c r="O1897">
        <v>35.799999999999997</v>
      </c>
      <c r="P1897">
        <v>143.19999999999999</v>
      </c>
      <c r="Q1897">
        <v>0.8</v>
      </c>
      <c r="R1897">
        <v>0</v>
      </c>
      <c r="S1897">
        <v>0</v>
      </c>
      <c r="T1897">
        <v>0</v>
      </c>
      <c r="U1897">
        <v>179</v>
      </c>
    </row>
    <row r="1898" spans="1:21" x14ac:dyDescent="0.35">
      <c r="A1898">
        <v>2026</v>
      </c>
      <c r="B1898">
        <v>1</v>
      </c>
      <c r="C1898">
        <v>1</v>
      </c>
      <c r="D1898" s="1">
        <v>46023</v>
      </c>
      <c r="E1898" s="4" t="s">
        <v>36</v>
      </c>
      <c r="F1898" s="4" t="s">
        <v>24</v>
      </c>
      <c r="G1898" s="4" t="s">
        <v>107</v>
      </c>
      <c r="H1898">
        <v>45</v>
      </c>
      <c r="I1898">
        <v>63</v>
      </c>
      <c r="J1898">
        <v>0</v>
      </c>
      <c r="K1898">
        <v>63</v>
      </c>
      <c r="L1898">
        <v>81196.3</v>
      </c>
      <c r="M1898">
        <v>0</v>
      </c>
      <c r="N1898">
        <v>81196.3</v>
      </c>
      <c r="O1898">
        <v>46751.1</v>
      </c>
      <c r="P1898">
        <v>34445.199999999997</v>
      </c>
      <c r="Q1898">
        <v>0.42420000000000002</v>
      </c>
      <c r="R1898">
        <v>9</v>
      </c>
      <c r="S1898">
        <v>17134.3</v>
      </c>
      <c r="T1898">
        <v>0</v>
      </c>
      <c r="U1898">
        <v>1804.36</v>
      </c>
    </row>
    <row r="1899" spans="1:21" x14ac:dyDescent="0.35">
      <c r="A1899">
        <v>2026</v>
      </c>
      <c r="B1899">
        <v>1</v>
      </c>
      <c r="C1899">
        <v>1</v>
      </c>
      <c r="D1899" s="1">
        <v>46023</v>
      </c>
      <c r="E1899" s="4" t="s">
        <v>36</v>
      </c>
      <c r="F1899" s="4" t="s">
        <v>24</v>
      </c>
      <c r="G1899" s="4" t="s">
        <v>108</v>
      </c>
      <c r="H1899">
        <v>18</v>
      </c>
      <c r="I1899">
        <v>25</v>
      </c>
      <c r="J1899">
        <v>2</v>
      </c>
      <c r="K1899">
        <v>23</v>
      </c>
      <c r="L1899">
        <v>39404</v>
      </c>
      <c r="M1899">
        <v>2464</v>
      </c>
      <c r="N1899">
        <v>36940</v>
      </c>
      <c r="O1899">
        <v>21610.6</v>
      </c>
      <c r="P1899">
        <v>15329.4</v>
      </c>
      <c r="Q1899">
        <v>0.41499999999999998</v>
      </c>
      <c r="R1899">
        <v>5</v>
      </c>
      <c r="S1899">
        <v>8848</v>
      </c>
      <c r="T1899">
        <v>0</v>
      </c>
      <c r="U1899">
        <v>2052.2199999999998</v>
      </c>
    </row>
    <row r="1900" spans="1:21" x14ac:dyDescent="0.35">
      <c r="A1900">
        <v>2026</v>
      </c>
      <c r="B1900">
        <v>1</v>
      </c>
      <c r="C1900">
        <v>1</v>
      </c>
      <c r="D1900" s="1">
        <v>46023</v>
      </c>
      <c r="E1900" s="4" t="s">
        <v>36</v>
      </c>
      <c r="F1900" s="4" t="s">
        <v>24</v>
      </c>
      <c r="G1900" s="4" t="s">
        <v>109</v>
      </c>
      <c r="H1900">
        <v>99</v>
      </c>
      <c r="I1900">
        <v>156</v>
      </c>
      <c r="J1900">
        <v>6</v>
      </c>
      <c r="K1900">
        <v>150</v>
      </c>
      <c r="L1900">
        <v>238179.99</v>
      </c>
      <c r="M1900">
        <v>9053</v>
      </c>
      <c r="N1900">
        <v>229126.99</v>
      </c>
      <c r="O1900">
        <v>132727.65</v>
      </c>
      <c r="P1900">
        <v>96399.34</v>
      </c>
      <c r="Q1900">
        <v>0.42070000000000002</v>
      </c>
      <c r="R1900">
        <v>16</v>
      </c>
      <c r="S1900">
        <v>48696.99</v>
      </c>
      <c r="T1900">
        <v>0</v>
      </c>
      <c r="U1900">
        <v>2314.41</v>
      </c>
    </row>
    <row r="1901" spans="1:21" x14ac:dyDescent="0.35">
      <c r="A1901">
        <v>2026</v>
      </c>
      <c r="B1901">
        <v>1</v>
      </c>
      <c r="C1901">
        <v>1</v>
      </c>
      <c r="D1901" s="1">
        <v>46023</v>
      </c>
      <c r="E1901" s="4" t="s">
        <v>36</v>
      </c>
      <c r="F1901" s="4" t="s">
        <v>26</v>
      </c>
      <c r="G1901" s="4" t="s">
        <v>107</v>
      </c>
      <c r="H1901">
        <v>3</v>
      </c>
      <c r="I1901">
        <v>6</v>
      </c>
      <c r="J1901">
        <v>0</v>
      </c>
      <c r="K1901">
        <v>6</v>
      </c>
      <c r="L1901">
        <v>3549.02</v>
      </c>
      <c r="M1901">
        <v>0</v>
      </c>
      <c r="N1901">
        <v>3549.02</v>
      </c>
      <c r="O1901">
        <v>2247.6</v>
      </c>
      <c r="P1901">
        <v>1301.42</v>
      </c>
      <c r="Q1901">
        <v>0.36670000000000003</v>
      </c>
      <c r="R1901">
        <v>1</v>
      </c>
      <c r="S1901">
        <v>741.02</v>
      </c>
      <c r="T1901">
        <v>0</v>
      </c>
      <c r="U1901">
        <v>1183.01</v>
      </c>
    </row>
    <row r="1902" spans="1:21" x14ac:dyDescent="0.35">
      <c r="A1902">
        <v>2026</v>
      </c>
      <c r="B1902">
        <v>1</v>
      </c>
      <c r="C1902">
        <v>1</v>
      </c>
      <c r="D1902" s="1">
        <v>46023</v>
      </c>
      <c r="E1902" s="4" t="s">
        <v>36</v>
      </c>
      <c r="F1902" s="4" t="s">
        <v>26</v>
      </c>
      <c r="G1902" s="4" t="s">
        <v>109</v>
      </c>
      <c r="H1902">
        <v>48</v>
      </c>
      <c r="I1902">
        <v>69</v>
      </c>
      <c r="J1902">
        <v>2</v>
      </c>
      <c r="K1902">
        <v>67</v>
      </c>
      <c r="L1902">
        <v>54270.92</v>
      </c>
      <c r="M1902">
        <v>2338</v>
      </c>
      <c r="N1902">
        <v>51932.92</v>
      </c>
      <c r="O1902">
        <v>32659.8</v>
      </c>
      <c r="P1902">
        <v>19273.12</v>
      </c>
      <c r="Q1902">
        <v>0.37109999999999999</v>
      </c>
      <c r="R1902">
        <v>6</v>
      </c>
      <c r="S1902">
        <v>10467.92</v>
      </c>
      <c r="T1902">
        <v>0</v>
      </c>
      <c r="U1902">
        <v>1081.94</v>
      </c>
    </row>
    <row r="1903" spans="1:21" x14ac:dyDescent="0.35">
      <c r="A1903">
        <v>2026</v>
      </c>
      <c r="B1903">
        <v>1</v>
      </c>
      <c r="C1903">
        <v>1</v>
      </c>
      <c r="D1903" s="1">
        <v>46023</v>
      </c>
      <c r="E1903" s="4" t="s">
        <v>23</v>
      </c>
      <c r="F1903" s="4" t="s">
        <v>28</v>
      </c>
      <c r="G1903" s="4" t="s">
        <v>107</v>
      </c>
      <c r="H1903">
        <v>90</v>
      </c>
      <c r="I1903">
        <v>130</v>
      </c>
      <c r="J1903">
        <v>0</v>
      </c>
      <c r="K1903">
        <v>130</v>
      </c>
      <c r="L1903">
        <v>42023.54</v>
      </c>
      <c r="M1903">
        <v>0</v>
      </c>
      <c r="N1903">
        <v>42023.54</v>
      </c>
      <c r="O1903">
        <v>15379</v>
      </c>
      <c r="P1903">
        <v>26644.54</v>
      </c>
      <c r="Q1903">
        <v>0.63400000000000001</v>
      </c>
      <c r="R1903">
        <v>12</v>
      </c>
      <c r="S1903">
        <v>8561.5400000000009</v>
      </c>
      <c r="T1903">
        <v>0</v>
      </c>
      <c r="U1903">
        <v>466.93</v>
      </c>
    </row>
    <row r="1904" spans="1:21" x14ac:dyDescent="0.35">
      <c r="A1904">
        <v>2026</v>
      </c>
      <c r="B1904">
        <v>1</v>
      </c>
      <c r="C1904">
        <v>1</v>
      </c>
      <c r="D1904" s="1">
        <v>46023</v>
      </c>
      <c r="E1904" s="4" t="s">
        <v>23</v>
      </c>
      <c r="F1904" s="4" t="s">
        <v>28</v>
      </c>
      <c r="G1904" s="4" t="s">
        <v>108</v>
      </c>
      <c r="H1904">
        <v>32</v>
      </c>
      <c r="I1904">
        <v>44</v>
      </c>
      <c r="J1904">
        <v>0</v>
      </c>
      <c r="K1904">
        <v>44</v>
      </c>
      <c r="L1904">
        <v>29975.919999999998</v>
      </c>
      <c r="M1904">
        <v>0</v>
      </c>
      <c r="N1904">
        <v>29975.919999999998</v>
      </c>
      <c r="O1904">
        <v>10826.2</v>
      </c>
      <c r="P1904">
        <v>19149.72</v>
      </c>
      <c r="Q1904">
        <v>0.63880000000000003</v>
      </c>
      <c r="R1904">
        <v>2</v>
      </c>
      <c r="S1904">
        <v>2558.92</v>
      </c>
      <c r="T1904">
        <v>0</v>
      </c>
      <c r="U1904">
        <v>936.75</v>
      </c>
    </row>
    <row r="1905" spans="1:21" x14ac:dyDescent="0.35">
      <c r="A1905">
        <v>2026</v>
      </c>
      <c r="B1905">
        <v>1</v>
      </c>
      <c r="C1905">
        <v>1</v>
      </c>
      <c r="D1905" s="1">
        <v>46023</v>
      </c>
      <c r="E1905" s="4" t="s">
        <v>23</v>
      </c>
      <c r="F1905" s="4" t="s">
        <v>28</v>
      </c>
      <c r="G1905" s="4" t="s">
        <v>109</v>
      </c>
      <c r="H1905">
        <v>571</v>
      </c>
      <c r="I1905">
        <v>894</v>
      </c>
      <c r="J1905">
        <v>0</v>
      </c>
      <c r="K1905">
        <v>894</v>
      </c>
      <c r="L1905">
        <v>412851.41</v>
      </c>
      <c r="M1905">
        <v>0</v>
      </c>
      <c r="N1905">
        <v>412851.41</v>
      </c>
      <c r="O1905">
        <v>150539.20000000001</v>
      </c>
      <c r="P1905">
        <v>262312.21000000002</v>
      </c>
      <c r="Q1905">
        <v>0.63539999999999996</v>
      </c>
      <c r="R1905">
        <v>74</v>
      </c>
      <c r="S1905">
        <v>65897.41</v>
      </c>
      <c r="T1905">
        <v>0</v>
      </c>
      <c r="U1905">
        <v>723.03</v>
      </c>
    </row>
    <row r="1906" spans="1:21" x14ac:dyDescent="0.35">
      <c r="A1906">
        <v>2026</v>
      </c>
      <c r="B1906">
        <v>1</v>
      </c>
      <c r="C1906">
        <v>1</v>
      </c>
      <c r="D1906" s="1">
        <v>46023</v>
      </c>
      <c r="E1906" s="4" t="s">
        <v>23</v>
      </c>
      <c r="F1906" s="4" t="s">
        <v>24</v>
      </c>
      <c r="G1906" s="4" t="s">
        <v>107</v>
      </c>
      <c r="H1906">
        <v>48</v>
      </c>
      <c r="I1906">
        <v>76</v>
      </c>
      <c r="J1906">
        <v>1</v>
      </c>
      <c r="K1906">
        <v>75</v>
      </c>
      <c r="L1906">
        <v>128924.12</v>
      </c>
      <c r="M1906">
        <v>2449</v>
      </c>
      <c r="N1906">
        <v>126475.12</v>
      </c>
      <c r="O1906">
        <v>73213.8</v>
      </c>
      <c r="P1906">
        <v>53261.32</v>
      </c>
      <c r="Q1906">
        <v>0.42109999999999997</v>
      </c>
      <c r="R1906">
        <v>8</v>
      </c>
      <c r="S1906">
        <v>27438.69</v>
      </c>
      <c r="T1906">
        <v>0</v>
      </c>
      <c r="U1906">
        <v>2634.9</v>
      </c>
    </row>
    <row r="1907" spans="1:21" x14ac:dyDescent="0.35">
      <c r="A1907">
        <v>2026</v>
      </c>
      <c r="B1907">
        <v>1</v>
      </c>
      <c r="C1907">
        <v>1</v>
      </c>
      <c r="D1907" s="1">
        <v>46023</v>
      </c>
      <c r="E1907" s="4" t="s">
        <v>23</v>
      </c>
      <c r="F1907" s="4" t="s">
        <v>24</v>
      </c>
      <c r="G1907" s="4" t="s">
        <v>109</v>
      </c>
      <c r="H1907">
        <v>136</v>
      </c>
      <c r="I1907">
        <v>204</v>
      </c>
      <c r="J1907">
        <v>5</v>
      </c>
      <c r="K1907">
        <v>199</v>
      </c>
      <c r="L1907">
        <v>226966.05</v>
      </c>
      <c r="M1907">
        <v>5623</v>
      </c>
      <c r="N1907">
        <v>221343.05</v>
      </c>
      <c r="O1907">
        <v>128602.1</v>
      </c>
      <c r="P1907">
        <v>92740.95</v>
      </c>
      <c r="Q1907">
        <v>0.41899999999999998</v>
      </c>
      <c r="R1907">
        <v>19</v>
      </c>
      <c r="S1907">
        <v>41489.050000000003</v>
      </c>
      <c r="T1907">
        <v>0</v>
      </c>
      <c r="U1907">
        <v>1627.52</v>
      </c>
    </row>
    <row r="1908" spans="1:21" x14ac:dyDescent="0.35">
      <c r="A1908">
        <v>2026</v>
      </c>
      <c r="B1908">
        <v>1</v>
      </c>
      <c r="C1908">
        <v>1</v>
      </c>
      <c r="D1908" s="1">
        <v>46023</v>
      </c>
      <c r="E1908" s="4" t="s">
        <v>23</v>
      </c>
      <c r="F1908" s="4" t="s">
        <v>26</v>
      </c>
      <c r="G1908" s="4" t="s">
        <v>107</v>
      </c>
      <c r="H1908">
        <v>10</v>
      </c>
      <c r="I1908">
        <v>16</v>
      </c>
      <c r="J1908">
        <v>1</v>
      </c>
      <c r="K1908">
        <v>15</v>
      </c>
      <c r="L1908">
        <v>8868</v>
      </c>
      <c r="M1908">
        <v>531</v>
      </c>
      <c r="N1908">
        <v>8337</v>
      </c>
      <c r="O1908">
        <v>5002.2</v>
      </c>
      <c r="P1908">
        <v>3334.8</v>
      </c>
      <c r="Q1908">
        <v>0.4</v>
      </c>
      <c r="R1908">
        <v>0</v>
      </c>
      <c r="S1908">
        <v>0</v>
      </c>
      <c r="T1908">
        <v>0</v>
      </c>
      <c r="U1908">
        <v>833.7</v>
      </c>
    </row>
    <row r="1909" spans="1:21" x14ac:dyDescent="0.35">
      <c r="A1909">
        <v>2026</v>
      </c>
      <c r="B1909">
        <v>1</v>
      </c>
      <c r="C1909">
        <v>1</v>
      </c>
      <c r="D1909" s="1">
        <v>46023</v>
      </c>
      <c r="E1909" s="4" t="s">
        <v>23</v>
      </c>
      <c r="F1909" s="4" t="s">
        <v>26</v>
      </c>
      <c r="G1909" s="4" t="s">
        <v>109</v>
      </c>
      <c r="H1909">
        <v>33</v>
      </c>
      <c r="I1909">
        <v>48</v>
      </c>
      <c r="J1909">
        <v>2</v>
      </c>
      <c r="K1909">
        <v>46</v>
      </c>
      <c r="L1909">
        <v>28787.86</v>
      </c>
      <c r="M1909">
        <v>1182</v>
      </c>
      <c r="N1909">
        <v>27605.86</v>
      </c>
      <c r="O1909">
        <v>17765.400000000001</v>
      </c>
      <c r="P1909">
        <v>9840.4599999999991</v>
      </c>
      <c r="Q1909">
        <v>0.35649999999999998</v>
      </c>
      <c r="R1909">
        <v>7</v>
      </c>
      <c r="S1909">
        <v>6424.86</v>
      </c>
      <c r="T1909">
        <v>0</v>
      </c>
      <c r="U1909">
        <v>836.54</v>
      </c>
    </row>
    <row r="1910" spans="1:21" x14ac:dyDescent="0.35">
      <c r="A1910">
        <v>2026</v>
      </c>
      <c r="B1910">
        <v>1</v>
      </c>
      <c r="C1910">
        <v>1</v>
      </c>
      <c r="D1910" s="1">
        <v>46023</v>
      </c>
      <c r="E1910" s="4" t="s">
        <v>25</v>
      </c>
      <c r="F1910" s="4" t="s">
        <v>28</v>
      </c>
      <c r="G1910" s="4" t="s">
        <v>107</v>
      </c>
      <c r="H1910">
        <v>34</v>
      </c>
      <c r="I1910">
        <v>55</v>
      </c>
      <c r="J1910">
        <v>0</v>
      </c>
      <c r="K1910">
        <v>55</v>
      </c>
      <c r="L1910">
        <v>25431.49</v>
      </c>
      <c r="M1910">
        <v>0</v>
      </c>
      <c r="N1910">
        <v>25431.49</v>
      </c>
      <c r="O1910">
        <v>9567.25</v>
      </c>
      <c r="P1910">
        <v>15864.24</v>
      </c>
      <c r="Q1910">
        <v>0.62380000000000002</v>
      </c>
      <c r="R1910">
        <v>9</v>
      </c>
      <c r="S1910">
        <v>8533.49</v>
      </c>
      <c r="T1910">
        <v>0</v>
      </c>
      <c r="U1910">
        <v>747.99</v>
      </c>
    </row>
    <row r="1911" spans="1:21" x14ac:dyDescent="0.35">
      <c r="A1911">
        <v>2026</v>
      </c>
      <c r="B1911">
        <v>1</v>
      </c>
      <c r="C1911">
        <v>1</v>
      </c>
      <c r="D1911" s="1">
        <v>46023</v>
      </c>
      <c r="E1911" s="4" t="s">
        <v>25</v>
      </c>
      <c r="F1911" s="4" t="s">
        <v>28</v>
      </c>
      <c r="G1911" s="4" t="s">
        <v>109</v>
      </c>
      <c r="H1911">
        <v>606</v>
      </c>
      <c r="I1911">
        <v>932</v>
      </c>
      <c r="J1911">
        <v>0</v>
      </c>
      <c r="K1911">
        <v>932</v>
      </c>
      <c r="L1911">
        <v>499019.07</v>
      </c>
      <c r="M1911">
        <v>0</v>
      </c>
      <c r="N1911">
        <v>499019.07</v>
      </c>
      <c r="O1911">
        <v>181625.5</v>
      </c>
      <c r="P1911">
        <v>317393.57</v>
      </c>
      <c r="Q1911">
        <v>0.63600000000000001</v>
      </c>
      <c r="R1911">
        <v>81</v>
      </c>
      <c r="S1911">
        <v>80290.880000000005</v>
      </c>
      <c r="T1911">
        <v>0</v>
      </c>
      <c r="U1911">
        <v>823.46</v>
      </c>
    </row>
    <row r="1912" spans="1:21" x14ac:dyDescent="0.35">
      <c r="A1912">
        <v>2026</v>
      </c>
      <c r="B1912">
        <v>1</v>
      </c>
      <c r="C1912">
        <v>1</v>
      </c>
      <c r="D1912" s="1">
        <v>46023</v>
      </c>
      <c r="E1912" s="4" t="s">
        <v>25</v>
      </c>
      <c r="F1912" s="4" t="s">
        <v>24</v>
      </c>
      <c r="G1912" s="4" t="s">
        <v>107</v>
      </c>
      <c r="H1912">
        <v>29</v>
      </c>
      <c r="I1912">
        <v>42</v>
      </c>
      <c r="J1912">
        <v>1</v>
      </c>
      <c r="K1912">
        <v>41</v>
      </c>
      <c r="L1912">
        <v>76736.78</v>
      </c>
      <c r="M1912">
        <v>2078</v>
      </c>
      <c r="N1912">
        <v>74658.78</v>
      </c>
      <c r="O1912">
        <v>42676.15</v>
      </c>
      <c r="P1912">
        <v>31982.63</v>
      </c>
      <c r="Q1912">
        <v>0.4284</v>
      </c>
      <c r="R1912">
        <v>7</v>
      </c>
      <c r="S1912">
        <v>19061.78</v>
      </c>
      <c r="T1912">
        <v>0</v>
      </c>
      <c r="U1912">
        <v>2574.44</v>
      </c>
    </row>
    <row r="1913" spans="1:21" x14ac:dyDescent="0.35">
      <c r="A1913">
        <v>2026</v>
      </c>
      <c r="B1913">
        <v>1</v>
      </c>
      <c r="C1913">
        <v>1</v>
      </c>
      <c r="D1913" s="1">
        <v>46023</v>
      </c>
      <c r="E1913" s="4" t="s">
        <v>25</v>
      </c>
      <c r="F1913" s="4" t="s">
        <v>24</v>
      </c>
      <c r="G1913" s="4" t="s">
        <v>109</v>
      </c>
      <c r="H1913">
        <v>174</v>
      </c>
      <c r="I1913">
        <v>270</v>
      </c>
      <c r="J1913">
        <v>7</v>
      </c>
      <c r="K1913">
        <v>263</v>
      </c>
      <c r="L1913">
        <v>398832.71</v>
      </c>
      <c r="M1913">
        <v>11477</v>
      </c>
      <c r="N1913">
        <v>387355.71</v>
      </c>
      <c r="O1913">
        <v>221069.2</v>
      </c>
      <c r="P1913">
        <v>166286.51</v>
      </c>
      <c r="Q1913">
        <v>0.42930000000000001</v>
      </c>
      <c r="R1913">
        <v>24</v>
      </c>
      <c r="S1913">
        <v>59788.71</v>
      </c>
      <c r="T1913">
        <v>0</v>
      </c>
      <c r="U1913">
        <v>2226.1799999999998</v>
      </c>
    </row>
    <row r="1914" spans="1:21" x14ac:dyDescent="0.35">
      <c r="A1914">
        <v>2026</v>
      </c>
      <c r="B1914">
        <v>1</v>
      </c>
      <c r="C1914">
        <v>1</v>
      </c>
      <c r="D1914" s="1">
        <v>46023</v>
      </c>
      <c r="E1914" s="4" t="s">
        <v>25</v>
      </c>
      <c r="F1914" s="4" t="s">
        <v>26</v>
      </c>
      <c r="G1914" s="4" t="s">
        <v>107</v>
      </c>
      <c r="H1914">
        <v>14</v>
      </c>
      <c r="I1914">
        <v>19</v>
      </c>
      <c r="J1914">
        <v>0</v>
      </c>
      <c r="K1914">
        <v>19</v>
      </c>
      <c r="L1914">
        <v>18013.599999999999</v>
      </c>
      <c r="M1914">
        <v>0</v>
      </c>
      <c r="N1914">
        <v>18013.599999999999</v>
      </c>
      <c r="O1914">
        <v>10951.8</v>
      </c>
      <c r="P1914">
        <v>7061.8</v>
      </c>
      <c r="Q1914">
        <v>0.39200000000000002</v>
      </c>
      <c r="R1914">
        <v>1</v>
      </c>
      <c r="S1914">
        <v>2154.6</v>
      </c>
      <c r="T1914">
        <v>0</v>
      </c>
      <c r="U1914">
        <v>1286.69</v>
      </c>
    </row>
    <row r="1915" spans="1:21" x14ac:dyDescent="0.35">
      <c r="A1915">
        <v>2026</v>
      </c>
      <c r="B1915">
        <v>1</v>
      </c>
      <c r="C1915">
        <v>1</v>
      </c>
      <c r="D1915" s="1">
        <v>46023</v>
      </c>
      <c r="E1915" s="4" t="s">
        <v>25</v>
      </c>
      <c r="F1915" s="4" t="s">
        <v>26</v>
      </c>
      <c r="G1915" s="4" t="s">
        <v>109</v>
      </c>
      <c r="H1915">
        <v>43</v>
      </c>
      <c r="I1915">
        <v>55</v>
      </c>
      <c r="J1915">
        <v>6</v>
      </c>
      <c r="K1915">
        <v>49</v>
      </c>
      <c r="L1915">
        <v>34404.33</v>
      </c>
      <c r="M1915">
        <v>6021</v>
      </c>
      <c r="N1915">
        <v>28383.33</v>
      </c>
      <c r="O1915">
        <v>17349.599999999999</v>
      </c>
      <c r="P1915">
        <v>11033.73</v>
      </c>
      <c r="Q1915">
        <v>0.38869999999999999</v>
      </c>
      <c r="R1915">
        <v>3</v>
      </c>
      <c r="S1915">
        <v>1411.33</v>
      </c>
      <c r="T1915">
        <v>0</v>
      </c>
      <c r="U1915">
        <v>660.08</v>
      </c>
    </row>
    <row r="1916" spans="1:21" x14ac:dyDescent="0.35">
      <c r="A1916">
        <v>2026</v>
      </c>
      <c r="B1916">
        <v>1</v>
      </c>
      <c r="C1916">
        <v>1</v>
      </c>
      <c r="D1916" s="1">
        <v>46023</v>
      </c>
      <c r="E1916" s="4" t="s">
        <v>29</v>
      </c>
      <c r="F1916" s="4" t="s">
        <v>28</v>
      </c>
      <c r="G1916" s="4" t="s">
        <v>107</v>
      </c>
      <c r="H1916">
        <v>176</v>
      </c>
      <c r="I1916">
        <v>267</v>
      </c>
      <c r="J1916">
        <v>0</v>
      </c>
      <c r="K1916">
        <v>267</v>
      </c>
      <c r="L1916">
        <v>117863.28</v>
      </c>
      <c r="M1916">
        <v>0</v>
      </c>
      <c r="N1916">
        <v>117863.28</v>
      </c>
      <c r="O1916">
        <v>42751.8</v>
      </c>
      <c r="P1916">
        <v>75111.48</v>
      </c>
      <c r="Q1916">
        <v>0.63729999999999998</v>
      </c>
      <c r="R1916">
        <v>16</v>
      </c>
      <c r="S1916">
        <v>13535.28</v>
      </c>
      <c r="T1916">
        <v>0</v>
      </c>
      <c r="U1916">
        <v>669.68</v>
      </c>
    </row>
    <row r="1917" spans="1:21" x14ac:dyDescent="0.35">
      <c r="A1917">
        <v>2026</v>
      </c>
      <c r="B1917">
        <v>1</v>
      </c>
      <c r="C1917">
        <v>1</v>
      </c>
      <c r="D1917" s="1">
        <v>46023</v>
      </c>
      <c r="E1917" s="4" t="s">
        <v>29</v>
      </c>
      <c r="F1917" s="4" t="s">
        <v>28</v>
      </c>
      <c r="G1917" s="4" t="s">
        <v>108</v>
      </c>
      <c r="H1917">
        <v>26</v>
      </c>
      <c r="I1917">
        <v>36</v>
      </c>
      <c r="J1917">
        <v>0</v>
      </c>
      <c r="K1917">
        <v>36</v>
      </c>
      <c r="L1917">
        <v>21468.48</v>
      </c>
      <c r="M1917">
        <v>0</v>
      </c>
      <c r="N1917">
        <v>21468.48</v>
      </c>
      <c r="O1917">
        <v>7660.8</v>
      </c>
      <c r="P1917">
        <v>13807.68</v>
      </c>
      <c r="Q1917">
        <v>0.64319999999999999</v>
      </c>
      <c r="R1917">
        <v>1</v>
      </c>
      <c r="S1917">
        <v>1404.48</v>
      </c>
      <c r="T1917">
        <v>0</v>
      </c>
      <c r="U1917">
        <v>825.71</v>
      </c>
    </row>
    <row r="1918" spans="1:21" x14ac:dyDescent="0.35">
      <c r="A1918">
        <v>2026</v>
      </c>
      <c r="B1918">
        <v>1</v>
      </c>
      <c r="C1918">
        <v>1</v>
      </c>
      <c r="D1918" s="1">
        <v>46023</v>
      </c>
      <c r="E1918" s="4" t="s">
        <v>29</v>
      </c>
      <c r="F1918" s="4" t="s">
        <v>28</v>
      </c>
      <c r="G1918" s="4" t="s">
        <v>109</v>
      </c>
      <c r="H1918">
        <v>746</v>
      </c>
      <c r="I1918">
        <v>1154</v>
      </c>
      <c r="J1918">
        <v>0</v>
      </c>
      <c r="K1918">
        <v>1154</v>
      </c>
      <c r="L1918">
        <v>545776.57999999996</v>
      </c>
      <c r="M1918">
        <v>0</v>
      </c>
      <c r="N1918">
        <v>545776.57999999996</v>
      </c>
      <c r="O1918">
        <v>196858.55</v>
      </c>
      <c r="P1918">
        <v>348918.03</v>
      </c>
      <c r="Q1918">
        <v>0.63929999999999998</v>
      </c>
      <c r="R1918">
        <v>80</v>
      </c>
      <c r="S1918">
        <v>67048.28</v>
      </c>
      <c r="T1918">
        <v>0</v>
      </c>
      <c r="U1918">
        <v>731.6</v>
      </c>
    </row>
    <row r="1919" spans="1:21" x14ac:dyDescent="0.35">
      <c r="A1919">
        <v>2026</v>
      </c>
      <c r="B1919">
        <v>1</v>
      </c>
      <c r="C1919">
        <v>1</v>
      </c>
      <c r="D1919" s="1">
        <v>46023</v>
      </c>
      <c r="E1919" s="4" t="s">
        <v>29</v>
      </c>
      <c r="F1919" s="4" t="s">
        <v>24</v>
      </c>
      <c r="G1919" s="4" t="s">
        <v>107</v>
      </c>
      <c r="H1919">
        <v>5</v>
      </c>
      <c r="I1919">
        <v>7</v>
      </c>
      <c r="J1919">
        <v>0</v>
      </c>
      <c r="K1919">
        <v>7</v>
      </c>
      <c r="L1919">
        <v>6048</v>
      </c>
      <c r="M1919">
        <v>0</v>
      </c>
      <c r="N1919">
        <v>6048</v>
      </c>
      <c r="O1919">
        <v>3326.4</v>
      </c>
      <c r="P1919">
        <v>2721.6</v>
      </c>
      <c r="Q1919">
        <v>0.45</v>
      </c>
      <c r="R1919">
        <v>0</v>
      </c>
      <c r="S1919">
        <v>0</v>
      </c>
      <c r="T1919">
        <v>0</v>
      </c>
      <c r="U1919">
        <v>1209.5999999999999</v>
      </c>
    </row>
    <row r="1920" spans="1:21" x14ac:dyDescent="0.35">
      <c r="A1920">
        <v>2026</v>
      </c>
      <c r="B1920">
        <v>1</v>
      </c>
      <c r="C1920">
        <v>1</v>
      </c>
      <c r="D1920" s="1">
        <v>46023</v>
      </c>
      <c r="E1920" s="4" t="s">
        <v>29</v>
      </c>
      <c r="F1920" s="4" t="s">
        <v>24</v>
      </c>
      <c r="G1920" s="4" t="s">
        <v>108</v>
      </c>
      <c r="H1920">
        <v>14</v>
      </c>
      <c r="I1920">
        <v>21</v>
      </c>
      <c r="J1920">
        <v>0</v>
      </c>
      <c r="K1920">
        <v>21</v>
      </c>
      <c r="L1920">
        <v>15582</v>
      </c>
      <c r="M1920">
        <v>0</v>
      </c>
      <c r="N1920">
        <v>15582</v>
      </c>
      <c r="O1920">
        <v>8570.1</v>
      </c>
      <c r="P1920">
        <v>7011.9</v>
      </c>
      <c r="Q1920">
        <v>0.45</v>
      </c>
      <c r="R1920">
        <v>0</v>
      </c>
      <c r="S1920">
        <v>0</v>
      </c>
      <c r="T1920">
        <v>0</v>
      </c>
      <c r="U1920">
        <v>1113</v>
      </c>
    </row>
    <row r="1921" spans="1:21" x14ac:dyDescent="0.35">
      <c r="A1921">
        <v>2026</v>
      </c>
      <c r="B1921">
        <v>1</v>
      </c>
      <c r="C1921">
        <v>1</v>
      </c>
      <c r="D1921" s="1">
        <v>46023</v>
      </c>
      <c r="E1921" s="4" t="s">
        <v>29</v>
      </c>
      <c r="F1921" s="4" t="s">
        <v>24</v>
      </c>
      <c r="G1921" s="4" t="s">
        <v>109</v>
      </c>
      <c r="H1921">
        <v>129</v>
      </c>
      <c r="I1921">
        <v>188</v>
      </c>
      <c r="J1921">
        <v>2</v>
      </c>
      <c r="K1921">
        <v>186</v>
      </c>
      <c r="L1921">
        <v>373579.38</v>
      </c>
      <c r="M1921">
        <v>4595</v>
      </c>
      <c r="N1921">
        <v>368984.38</v>
      </c>
      <c r="O1921">
        <v>206209.3</v>
      </c>
      <c r="P1921">
        <v>162775.07999999999</v>
      </c>
      <c r="Q1921">
        <v>0.44109999999999999</v>
      </c>
      <c r="R1921">
        <v>11</v>
      </c>
      <c r="S1921">
        <v>29674.38</v>
      </c>
      <c r="T1921">
        <v>0</v>
      </c>
      <c r="U1921">
        <v>2860.34</v>
      </c>
    </row>
    <row r="1922" spans="1:21" x14ac:dyDescent="0.35">
      <c r="A1922">
        <v>2026</v>
      </c>
      <c r="B1922">
        <v>1</v>
      </c>
      <c r="C1922">
        <v>1</v>
      </c>
      <c r="D1922" s="1">
        <v>46023</v>
      </c>
      <c r="E1922" s="4" t="s">
        <v>29</v>
      </c>
      <c r="F1922" s="4" t="s">
        <v>26</v>
      </c>
      <c r="G1922" s="4" t="s">
        <v>107</v>
      </c>
      <c r="H1922">
        <v>12</v>
      </c>
      <c r="I1922">
        <v>19</v>
      </c>
      <c r="J1922">
        <v>0</v>
      </c>
      <c r="K1922">
        <v>19</v>
      </c>
      <c r="L1922">
        <v>13486.88</v>
      </c>
      <c r="M1922">
        <v>0</v>
      </c>
      <c r="N1922">
        <v>13486.88</v>
      </c>
      <c r="O1922">
        <v>8392.7999999999993</v>
      </c>
      <c r="P1922">
        <v>5094.08</v>
      </c>
      <c r="Q1922">
        <v>0.37769999999999998</v>
      </c>
      <c r="R1922">
        <v>1</v>
      </c>
      <c r="S1922">
        <v>1586.88</v>
      </c>
      <c r="T1922">
        <v>0</v>
      </c>
      <c r="U1922">
        <v>1123.9100000000001</v>
      </c>
    </row>
    <row r="1923" spans="1:21" x14ac:dyDescent="0.35">
      <c r="A1923">
        <v>2026</v>
      </c>
      <c r="B1923">
        <v>1</v>
      </c>
      <c r="C1923">
        <v>1</v>
      </c>
      <c r="D1923" s="1">
        <v>46023</v>
      </c>
      <c r="E1923" s="4" t="s">
        <v>29</v>
      </c>
      <c r="F1923" s="4" t="s">
        <v>26</v>
      </c>
      <c r="G1923" s="4" t="s">
        <v>109</v>
      </c>
      <c r="H1923">
        <v>27</v>
      </c>
      <c r="I1923">
        <v>42</v>
      </c>
      <c r="J1923">
        <v>0</v>
      </c>
      <c r="K1923">
        <v>42</v>
      </c>
      <c r="L1923">
        <v>30935</v>
      </c>
      <c r="M1923">
        <v>0</v>
      </c>
      <c r="N1923">
        <v>30935</v>
      </c>
      <c r="O1923">
        <v>20366.400000000001</v>
      </c>
      <c r="P1923">
        <v>10568.6</v>
      </c>
      <c r="Q1923">
        <v>0.34160000000000001</v>
      </c>
      <c r="R1923">
        <v>6</v>
      </c>
      <c r="S1923">
        <v>8631</v>
      </c>
      <c r="T1923">
        <v>0</v>
      </c>
      <c r="U1923">
        <v>1145.74</v>
      </c>
    </row>
    <row r="1924" spans="1:21" x14ac:dyDescent="0.35">
      <c r="A1924">
        <v>2026</v>
      </c>
      <c r="B1924">
        <v>1</v>
      </c>
      <c r="C1924">
        <v>1</v>
      </c>
      <c r="D1924" s="1">
        <v>46023</v>
      </c>
      <c r="E1924" s="4" t="s">
        <v>31</v>
      </c>
      <c r="F1924" s="4" t="s">
        <v>28</v>
      </c>
      <c r="G1924" s="4" t="s">
        <v>107</v>
      </c>
      <c r="H1924">
        <v>81</v>
      </c>
      <c r="I1924">
        <v>111</v>
      </c>
      <c r="J1924">
        <v>0</v>
      </c>
      <c r="K1924">
        <v>111</v>
      </c>
      <c r="L1924">
        <v>43500.480000000003</v>
      </c>
      <c r="M1924">
        <v>0</v>
      </c>
      <c r="N1924">
        <v>43500.480000000003</v>
      </c>
      <c r="O1924">
        <v>15390.9</v>
      </c>
      <c r="P1924">
        <v>28109.58</v>
      </c>
      <c r="Q1924">
        <v>0.6462</v>
      </c>
      <c r="R1924">
        <v>4</v>
      </c>
      <c r="S1924">
        <v>2209.48</v>
      </c>
      <c r="T1924">
        <v>0</v>
      </c>
      <c r="U1924">
        <v>537.04</v>
      </c>
    </row>
    <row r="1925" spans="1:21" x14ac:dyDescent="0.35">
      <c r="A1925">
        <v>2026</v>
      </c>
      <c r="B1925">
        <v>1</v>
      </c>
      <c r="C1925">
        <v>1</v>
      </c>
      <c r="D1925" s="1">
        <v>46023</v>
      </c>
      <c r="E1925" s="4" t="s">
        <v>31</v>
      </c>
      <c r="F1925" s="4" t="s">
        <v>28</v>
      </c>
      <c r="G1925" s="4" t="s">
        <v>108</v>
      </c>
      <c r="H1925">
        <v>270</v>
      </c>
      <c r="I1925">
        <v>411</v>
      </c>
      <c r="J1925">
        <v>0</v>
      </c>
      <c r="K1925">
        <v>411</v>
      </c>
      <c r="L1925">
        <v>158996.4</v>
      </c>
      <c r="M1925">
        <v>0</v>
      </c>
      <c r="N1925">
        <v>158996.4</v>
      </c>
      <c r="O1925">
        <v>57558.55</v>
      </c>
      <c r="P1925">
        <v>101437.85</v>
      </c>
      <c r="Q1925">
        <v>0.63800000000000001</v>
      </c>
      <c r="R1925">
        <v>31</v>
      </c>
      <c r="S1925">
        <v>22017.4</v>
      </c>
      <c r="T1925">
        <v>0</v>
      </c>
      <c r="U1925">
        <v>588.88</v>
      </c>
    </row>
    <row r="1926" spans="1:21" x14ac:dyDescent="0.35">
      <c r="A1926">
        <v>2026</v>
      </c>
      <c r="B1926">
        <v>1</v>
      </c>
      <c r="C1926">
        <v>1</v>
      </c>
      <c r="D1926" s="1">
        <v>46023</v>
      </c>
      <c r="E1926" s="4" t="s">
        <v>31</v>
      </c>
      <c r="F1926" s="4" t="s">
        <v>28</v>
      </c>
      <c r="G1926" s="4" t="s">
        <v>109</v>
      </c>
      <c r="H1926">
        <v>791</v>
      </c>
      <c r="I1926">
        <v>1238</v>
      </c>
      <c r="J1926">
        <v>0</v>
      </c>
      <c r="K1926">
        <v>1238</v>
      </c>
      <c r="L1926">
        <v>617777.04</v>
      </c>
      <c r="M1926">
        <v>0</v>
      </c>
      <c r="N1926">
        <v>617777.04</v>
      </c>
      <c r="O1926">
        <v>225380.05</v>
      </c>
      <c r="P1926">
        <v>392396.99</v>
      </c>
      <c r="Q1926">
        <v>0.63519999999999999</v>
      </c>
      <c r="R1926">
        <v>116</v>
      </c>
      <c r="S1926">
        <v>113370.18</v>
      </c>
      <c r="T1926">
        <v>0</v>
      </c>
      <c r="U1926">
        <v>781.01</v>
      </c>
    </row>
    <row r="1927" spans="1:21" x14ac:dyDescent="0.35">
      <c r="A1927">
        <v>2026</v>
      </c>
      <c r="B1927">
        <v>1</v>
      </c>
      <c r="C1927">
        <v>1</v>
      </c>
      <c r="D1927" s="1">
        <v>46023</v>
      </c>
      <c r="E1927" s="4" t="s">
        <v>31</v>
      </c>
      <c r="F1927" s="4" t="s">
        <v>35</v>
      </c>
      <c r="G1927" s="4" t="s">
        <v>109</v>
      </c>
      <c r="H1927">
        <v>1</v>
      </c>
      <c r="I1927">
        <v>1</v>
      </c>
      <c r="J1927">
        <v>0</v>
      </c>
      <c r="K1927">
        <v>1</v>
      </c>
      <c r="L1927">
        <v>532</v>
      </c>
      <c r="M1927">
        <v>0</v>
      </c>
      <c r="N1927">
        <v>532</v>
      </c>
      <c r="O1927">
        <v>106.4</v>
      </c>
      <c r="P1927">
        <v>425.6</v>
      </c>
      <c r="Q1927">
        <v>0.8</v>
      </c>
      <c r="R1927">
        <v>0</v>
      </c>
      <c r="S1927">
        <v>0</v>
      </c>
      <c r="T1927">
        <v>0</v>
      </c>
      <c r="U1927">
        <v>532</v>
      </c>
    </row>
    <row r="1928" spans="1:21" x14ac:dyDescent="0.35">
      <c r="A1928">
        <v>2026</v>
      </c>
      <c r="B1928">
        <v>1</v>
      </c>
      <c r="C1928">
        <v>1</v>
      </c>
      <c r="D1928" s="1">
        <v>46023</v>
      </c>
      <c r="E1928" s="4" t="s">
        <v>31</v>
      </c>
      <c r="F1928" s="4" t="s">
        <v>24</v>
      </c>
      <c r="G1928" s="4" t="s">
        <v>107</v>
      </c>
      <c r="H1928">
        <v>12</v>
      </c>
      <c r="I1928">
        <v>17</v>
      </c>
      <c r="J1928">
        <v>0</v>
      </c>
      <c r="K1928">
        <v>17</v>
      </c>
      <c r="L1928">
        <v>30770</v>
      </c>
      <c r="M1928">
        <v>0</v>
      </c>
      <c r="N1928">
        <v>30770</v>
      </c>
      <c r="O1928">
        <v>16923.5</v>
      </c>
      <c r="P1928">
        <v>13846.5</v>
      </c>
      <c r="Q1928">
        <v>0.45</v>
      </c>
      <c r="R1928">
        <v>0</v>
      </c>
      <c r="S1928">
        <v>0</v>
      </c>
      <c r="T1928">
        <v>0</v>
      </c>
      <c r="U1928">
        <v>2564.17</v>
      </c>
    </row>
    <row r="1929" spans="1:21" x14ac:dyDescent="0.35">
      <c r="A1929">
        <v>2026</v>
      </c>
      <c r="B1929">
        <v>1</v>
      </c>
      <c r="C1929">
        <v>1</v>
      </c>
      <c r="D1929" s="1">
        <v>46023</v>
      </c>
      <c r="E1929" s="4" t="s">
        <v>31</v>
      </c>
      <c r="F1929" s="4" t="s">
        <v>24</v>
      </c>
      <c r="G1929" s="4" t="s">
        <v>109</v>
      </c>
      <c r="H1929">
        <v>207</v>
      </c>
      <c r="I1929">
        <v>339</v>
      </c>
      <c r="J1929">
        <v>13</v>
      </c>
      <c r="K1929">
        <v>326</v>
      </c>
      <c r="L1929">
        <v>474121.31</v>
      </c>
      <c r="M1929">
        <v>15270.84</v>
      </c>
      <c r="N1929">
        <v>458850.47</v>
      </c>
      <c r="O1929">
        <v>263096.90000000002</v>
      </c>
      <c r="P1929">
        <v>195753.57</v>
      </c>
      <c r="Q1929">
        <v>0.42659999999999998</v>
      </c>
      <c r="R1929">
        <v>29</v>
      </c>
      <c r="S1929">
        <v>84964.47</v>
      </c>
      <c r="T1929">
        <v>0</v>
      </c>
      <c r="U1929">
        <v>2216.67</v>
      </c>
    </row>
    <row r="1930" spans="1:21" x14ac:dyDescent="0.35">
      <c r="A1930">
        <v>2026</v>
      </c>
      <c r="B1930">
        <v>1</v>
      </c>
      <c r="C1930">
        <v>1</v>
      </c>
      <c r="D1930" s="1">
        <v>46023</v>
      </c>
      <c r="E1930" s="4" t="s">
        <v>31</v>
      </c>
      <c r="F1930" s="4" t="s">
        <v>26</v>
      </c>
      <c r="G1930" s="4" t="s">
        <v>107</v>
      </c>
      <c r="H1930">
        <v>5</v>
      </c>
      <c r="I1930">
        <v>8</v>
      </c>
      <c r="J1930">
        <v>0</v>
      </c>
      <c r="K1930">
        <v>8</v>
      </c>
      <c r="L1930">
        <v>3968</v>
      </c>
      <c r="M1930">
        <v>0</v>
      </c>
      <c r="N1930">
        <v>3968</v>
      </c>
      <c r="O1930">
        <v>2380.8000000000002</v>
      </c>
      <c r="P1930">
        <v>1587.2</v>
      </c>
      <c r="Q1930">
        <v>0.4</v>
      </c>
      <c r="R1930">
        <v>0</v>
      </c>
      <c r="S1930">
        <v>0</v>
      </c>
      <c r="T1930">
        <v>0</v>
      </c>
      <c r="U1930">
        <v>793.6</v>
      </c>
    </row>
    <row r="1931" spans="1:21" x14ac:dyDescent="0.35">
      <c r="A1931">
        <v>2026</v>
      </c>
      <c r="B1931">
        <v>1</v>
      </c>
      <c r="C1931">
        <v>1</v>
      </c>
      <c r="D1931" s="1">
        <v>46023</v>
      </c>
      <c r="E1931" s="4" t="s">
        <v>31</v>
      </c>
      <c r="F1931" s="4" t="s">
        <v>26</v>
      </c>
      <c r="G1931" s="4" t="s">
        <v>109</v>
      </c>
      <c r="H1931">
        <v>49</v>
      </c>
      <c r="I1931">
        <v>72</v>
      </c>
      <c r="J1931">
        <v>0</v>
      </c>
      <c r="K1931">
        <v>72</v>
      </c>
      <c r="L1931">
        <v>58382.37</v>
      </c>
      <c r="M1931">
        <v>0</v>
      </c>
      <c r="N1931">
        <v>58382.37</v>
      </c>
      <c r="O1931">
        <v>35913.599999999999</v>
      </c>
      <c r="P1931">
        <v>22468.77</v>
      </c>
      <c r="Q1931">
        <v>0.38490000000000002</v>
      </c>
      <c r="R1931">
        <v>4</v>
      </c>
      <c r="S1931">
        <v>5481.37</v>
      </c>
      <c r="T1931">
        <v>0</v>
      </c>
      <c r="U1931">
        <v>1191.48</v>
      </c>
    </row>
    <row r="1932" spans="1:21" x14ac:dyDescent="0.35">
      <c r="A1932">
        <v>2026</v>
      </c>
      <c r="B1932">
        <v>1</v>
      </c>
      <c r="C1932">
        <v>1</v>
      </c>
      <c r="D1932" s="1">
        <v>46023</v>
      </c>
      <c r="E1932" s="4" t="s">
        <v>30</v>
      </c>
      <c r="F1932" s="4" t="s">
        <v>28</v>
      </c>
      <c r="G1932" s="4" t="s">
        <v>107</v>
      </c>
      <c r="H1932">
        <v>107</v>
      </c>
      <c r="I1932">
        <v>149</v>
      </c>
      <c r="J1932">
        <v>0</v>
      </c>
      <c r="K1932">
        <v>149</v>
      </c>
      <c r="L1932">
        <v>65846</v>
      </c>
      <c r="M1932">
        <v>0</v>
      </c>
      <c r="N1932">
        <v>65846</v>
      </c>
      <c r="O1932">
        <v>23519.65</v>
      </c>
      <c r="P1932">
        <v>42326.35</v>
      </c>
      <c r="Q1932">
        <v>0.64280000000000004</v>
      </c>
      <c r="R1932">
        <v>5</v>
      </c>
      <c r="S1932">
        <v>4961</v>
      </c>
      <c r="T1932">
        <v>0</v>
      </c>
      <c r="U1932">
        <v>615.38</v>
      </c>
    </row>
    <row r="1933" spans="1:21" x14ac:dyDescent="0.35">
      <c r="A1933">
        <v>2026</v>
      </c>
      <c r="B1933">
        <v>1</v>
      </c>
      <c r="C1933">
        <v>1</v>
      </c>
      <c r="D1933" s="1">
        <v>46023</v>
      </c>
      <c r="E1933" s="4" t="s">
        <v>30</v>
      </c>
      <c r="F1933" s="4" t="s">
        <v>28</v>
      </c>
      <c r="G1933" s="4" t="s">
        <v>108</v>
      </c>
      <c r="H1933">
        <v>38</v>
      </c>
      <c r="I1933">
        <v>50</v>
      </c>
      <c r="J1933">
        <v>0</v>
      </c>
      <c r="K1933">
        <v>50</v>
      </c>
      <c r="L1933">
        <v>29464.65</v>
      </c>
      <c r="M1933">
        <v>0</v>
      </c>
      <c r="N1933">
        <v>29464.65</v>
      </c>
      <c r="O1933">
        <v>10762.5</v>
      </c>
      <c r="P1933">
        <v>18702.150000000001</v>
      </c>
      <c r="Q1933">
        <v>0.63470000000000004</v>
      </c>
      <c r="R1933">
        <v>7</v>
      </c>
      <c r="S1933">
        <v>5479.65</v>
      </c>
      <c r="T1933">
        <v>0</v>
      </c>
      <c r="U1933">
        <v>775.39</v>
      </c>
    </row>
    <row r="1934" spans="1:21" x14ac:dyDescent="0.35">
      <c r="A1934">
        <v>2026</v>
      </c>
      <c r="B1934">
        <v>1</v>
      </c>
      <c r="C1934">
        <v>1</v>
      </c>
      <c r="D1934" s="1">
        <v>46023</v>
      </c>
      <c r="E1934" s="4" t="s">
        <v>30</v>
      </c>
      <c r="F1934" s="4" t="s">
        <v>28</v>
      </c>
      <c r="G1934" s="4" t="s">
        <v>109</v>
      </c>
      <c r="H1934">
        <v>670</v>
      </c>
      <c r="I1934">
        <v>1028</v>
      </c>
      <c r="J1934">
        <v>0</v>
      </c>
      <c r="K1934">
        <v>1028</v>
      </c>
      <c r="L1934">
        <v>405142.63</v>
      </c>
      <c r="M1934">
        <v>0</v>
      </c>
      <c r="N1934">
        <v>405142.63</v>
      </c>
      <c r="O1934">
        <v>146603.45000000001</v>
      </c>
      <c r="P1934">
        <v>258539.18</v>
      </c>
      <c r="Q1934">
        <v>0.6381</v>
      </c>
      <c r="R1934">
        <v>81</v>
      </c>
      <c r="S1934">
        <v>55442.79</v>
      </c>
      <c r="T1934">
        <v>0</v>
      </c>
      <c r="U1934">
        <v>604.69000000000005</v>
      </c>
    </row>
    <row r="1935" spans="1:21" x14ac:dyDescent="0.35">
      <c r="A1935">
        <v>2026</v>
      </c>
      <c r="B1935">
        <v>1</v>
      </c>
      <c r="C1935">
        <v>1</v>
      </c>
      <c r="D1935" s="1">
        <v>46023</v>
      </c>
      <c r="E1935" s="4" t="s">
        <v>30</v>
      </c>
      <c r="F1935" s="4" t="s">
        <v>24</v>
      </c>
      <c r="G1935" s="4" t="s">
        <v>107</v>
      </c>
      <c r="H1935">
        <v>60</v>
      </c>
      <c r="I1935">
        <v>83</v>
      </c>
      <c r="J1935">
        <v>1</v>
      </c>
      <c r="K1935">
        <v>82</v>
      </c>
      <c r="L1935">
        <v>160220.82999999999</v>
      </c>
      <c r="M1935">
        <v>1449</v>
      </c>
      <c r="N1935">
        <v>158771.82999999999</v>
      </c>
      <c r="O1935">
        <v>90097.7</v>
      </c>
      <c r="P1935">
        <v>68674.13</v>
      </c>
      <c r="Q1935">
        <v>0.4325</v>
      </c>
      <c r="R1935">
        <v>7</v>
      </c>
      <c r="S1935">
        <v>21363.83</v>
      </c>
      <c r="T1935">
        <v>0</v>
      </c>
      <c r="U1935">
        <v>2646.2</v>
      </c>
    </row>
    <row r="1936" spans="1:21" x14ac:dyDescent="0.35">
      <c r="A1936">
        <v>2026</v>
      </c>
      <c r="B1936">
        <v>1</v>
      </c>
      <c r="C1936">
        <v>1</v>
      </c>
      <c r="D1936" s="1">
        <v>46023</v>
      </c>
      <c r="E1936" s="4" t="s">
        <v>30</v>
      </c>
      <c r="F1936" s="4" t="s">
        <v>24</v>
      </c>
      <c r="G1936" s="4" t="s">
        <v>108</v>
      </c>
      <c r="H1936">
        <v>4</v>
      </c>
      <c r="I1936">
        <v>4</v>
      </c>
      <c r="J1936">
        <v>0</v>
      </c>
      <c r="K1936">
        <v>4</v>
      </c>
      <c r="L1936">
        <v>9636</v>
      </c>
      <c r="M1936">
        <v>0</v>
      </c>
      <c r="N1936">
        <v>9636</v>
      </c>
      <c r="O1936">
        <v>5299.8</v>
      </c>
      <c r="P1936">
        <v>4336.2</v>
      </c>
      <c r="Q1936">
        <v>0.45</v>
      </c>
      <c r="R1936">
        <v>0</v>
      </c>
      <c r="S1936">
        <v>0</v>
      </c>
      <c r="T1936">
        <v>0</v>
      </c>
      <c r="U1936">
        <v>2409</v>
      </c>
    </row>
    <row r="1937" spans="1:21" x14ac:dyDescent="0.35">
      <c r="A1937">
        <v>2026</v>
      </c>
      <c r="B1937">
        <v>1</v>
      </c>
      <c r="C1937">
        <v>1</v>
      </c>
      <c r="D1937" s="1">
        <v>46023</v>
      </c>
      <c r="E1937" s="4" t="s">
        <v>30</v>
      </c>
      <c r="F1937" s="4" t="s">
        <v>24</v>
      </c>
      <c r="G1937" s="4" t="s">
        <v>109</v>
      </c>
      <c r="H1937">
        <v>218</v>
      </c>
      <c r="I1937">
        <v>320</v>
      </c>
      <c r="J1937">
        <v>12</v>
      </c>
      <c r="K1937">
        <v>308</v>
      </c>
      <c r="L1937">
        <v>563817.12</v>
      </c>
      <c r="M1937">
        <v>22302.73</v>
      </c>
      <c r="N1937">
        <v>541514.39</v>
      </c>
      <c r="O1937">
        <v>304339.20000000001</v>
      </c>
      <c r="P1937">
        <v>237175.19</v>
      </c>
      <c r="Q1937">
        <v>0.438</v>
      </c>
      <c r="R1937">
        <v>22</v>
      </c>
      <c r="S1937">
        <v>59717.96</v>
      </c>
      <c r="T1937">
        <v>0</v>
      </c>
      <c r="U1937">
        <v>2484.0100000000002</v>
      </c>
    </row>
    <row r="1938" spans="1:21" x14ac:dyDescent="0.35">
      <c r="A1938">
        <v>2026</v>
      </c>
      <c r="B1938">
        <v>1</v>
      </c>
      <c r="C1938">
        <v>1</v>
      </c>
      <c r="D1938" s="1">
        <v>46023</v>
      </c>
      <c r="E1938" s="4" t="s">
        <v>30</v>
      </c>
      <c r="F1938" s="4" t="s">
        <v>26</v>
      </c>
      <c r="G1938" s="4" t="s">
        <v>107</v>
      </c>
      <c r="H1938">
        <v>1</v>
      </c>
      <c r="I1938">
        <v>1</v>
      </c>
      <c r="J1938">
        <v>0</v>
      </c>
      <c r="K1938">
        <v>1</v>
      </c>
      <c r="L1938">
        <v>941</v>
      </c>
      <c r="M1938">
        <v>0</v>
      </c>
      <c r="N1938">
        <v>941</v>
      </c>
      <c r="O1938">
        <v>564.6</v>
      </c>
      <c r="P1938">
        <v>376.4</v>
      </c>
      <c r="Q1938">
        <v>0.4</v>
      </c>
      <c r="R1938">
        <v>0</v>
      </c>
      <c r="S1938">
        <v>0</v>
      </c>
      <c r="T1938">
        <v>0</v>
      </c>
      <c r="U1938">
        <v>941</v>
      </c>
    </row>
    <row r="1939" spans="1:21" x14ac:dyDescent="0.35">
      <c r="A1939">
        <v>2026</v>
      </c>
      <c r="B1939">
        <v>1</v>
      </c>
      <c r="C1939">
        <v>1</v>
      </c>
      <c r="D1939" s="1">
        <v>46023</v>
      </c>
      <c r="E1939" s="4" t="s">
        <v>30</v>
      </c>
      <c r="F1939" s="4" t="s">
        <v>26</v>
      </c>
      <c r="G1939" s="4" t="s">
        <v>109</v>
      </c>
      <c r="H1939">
        <v>67</v>
      </c>
      <c r="I1939">
        <v>107</v>
      </c>
      <c r="J1939">
        <v>1</v>
      </c>
      <c r="K1939">
        <v>106</v>
      </c>
      <c r="L1939">
        <v>85127.47</v>
      </c>
      <c r="M1939">
        <v>560</v>
      </c>
      <c r="N1939">
        <v>84567.47</v>
      </c>
      <c r="O1939">
        <v>52788.6</v>
      </c>
      <c r="P1939">
        <v>31778.87</v>
      </c>
      <c r="Q1939">
        <v>0.37580000000000002</v>
      </c>
      <c r="R1939">
        <v>8</v>
      </c>
      <c r="S1939">
        <v>12201.47</v>
      </c>
      <c r="T1939">
        <v>0</v>
      </c>
      <c r="U1939">
        <v>1262.2</v>
      </c>
    </row>
    <row r="1940" spans="1:21" x14ac:dyDescent="0.35">
      <c r="A1940">
        <v>2026</v>
      </c>
      <c r="B1940">
        <v>1</v>
      </c>
      <c r="C1940">
        <v>1</v>
      </c>
      <c r="D1940" s="1">
        <v>46023</v>
      </c>
      <c r="E1940" s="4" t="s">
        <v>78</v>
      </c>
      <c r="F1940" s="4" t="s">
        <v>78</v>
      </c>
      <c r="G1940" s="4" t="s">
        <v>110</v>
      </c>
      <c r="H1940">
        <v>241</v>
      </c>
      <c r="I1940">
        <v>342</v>
      </c>
      <c r="J1940">
        <v>0</v>
      </c>
      <c r="K1940">
        <v>342</v>
      </c>
      <c r="L1940">
        <v>728973</v>
      </c>
      <c r="M1940">
        <v>0</v>
      </c>
      <c r="N1940">
        <v>728973</v>
      </c>
      <c r="O1940">
        <v>109345.95</v>
      </c>
      <c r="P1940">
        <v>619627.05000000005</v>
      </c>
      <c r="Q1940">
        <v>0.85</v>
      </c>
      <c r="R1940">
        <v>1</v>
      </c>
      <c r="S1940">
        <v>798</v>
      </c>
      <c r="T1940">
        <v>0</v>
      </c>
      <c r="U1940">
        <v>3024.78</v>
      </c>
    </row>
    <row r="1941" spans="1:21" x14ac:dyDescent="0.35">
      <c r="A1941">
        <v>2026</v>
      </c>
      <c r="B1941">
        <v>2</v>
      </c>
      <c r="C1941">
        <v>1</v>
      </c>
      <c r="D1941" s="1">
        <v>46054</v>
      </c>
      <c r="E1941" s="4" t="s">
        <v>33</v>
      </c>
      <c r="F1941" s="4" t="s">
        <v>28</v>
      </c>
      <c r="G1941" s="4" t="s">
        <v>107</v>
      </c>
      <c r="H1941">
        <v>98</v>
      </c>
      <c r="I1941">
        <v>148</v>
      </c>
      <c r="J1941">
        <v>0</v>
      </c>
      <c r="K1941">
        <v>148</v>
      </c>
      <c r="L1941">
        <v>46867.86</v>
      </c>
      <c r="M1941">
        <v>0</v>
      </c>
      <c r="N1941">
        <v>46867.86</v>
      </c>
      <c r="O1941">
        <v>17002.650000000001</v>
      </c>
      <c r="P1941">
        <v>29865.21</v>
      </c>
      <c r="Q1941">
        <v>0.63719999999999999</v>
      </c>
      <c r="R1941">
        <v>10</v>
      </c>
      <c r="S1941">
        <v>5671.86</v>
      </c>
      <c r="T1941">
        <v>0</v>
      </c>
      <c r="U1941">
        <v>478.24</v>
      </c>
    </row>
    <row r="1942" spans="1:21" x14ac:dyDescent="0.35">
      <c r="A1942">
        <v>2026</v>
      </c>
      <c r="B1942">
        <v>2</v>
      </c>
      <c r="C1942">
        <v>1</v>
      </c>
      <c r="D1942" s="1">
        <v>46054</v>
      </c>
      <c r="E1942" s="4" t="s">
        <v>33</v>
      </c>
      <c r="F1942" s="4" t="s">
        <v>28</v>
      </c>
      <c r="G1942" s="4" t="s">
        <v>108</v>
      </c>
      <c r="H1942">
        <v>44</v>
      </c>
      <c r="I1942">
        <v>63</v>
      </c>
      <c r="J1942">
        <v>0</v>
      </c>
      <c r="K1942">
        <v>63</v>
      </c>
      <c r="L1942">
        <v>44528.480000000003</v>
      </c>
      <c r="M1942">
        <v>0</v>
      </c>
      <c r="N1942">
        <v>44528.480000000003</v>
      </c>
      <c r="O1942">
        <v>15699.6</v>
      </c>
      <c r="P1942">
        <v>28828.880000000001</v>
      </c>
      <c r="Q1942">
        <v>0.64739999999999998</v>
      </c>
      <c r="R1942">
        <v>1</v>
      </c>
      <c r="S1942">
        <v>1096.48</v>
      </c>
      <c r="T1942">
        <v>0</v>
      </c>
      <c r="U1942">
        <v>1012.01</v>
      </c>
    </row>
    <row r="1943" spans="1:21" x14ac:dyDescent="0.35">
      <c r="A1943">
        <v>2026</v>
      </c>
      <c r="B1943">
        <v>2</v>
      </c>
      <c r="C1943">
        <v>1</v>
      </c>
      <c r="D1943" s="1">
        <v>46054</v>
      </c>
      <c r="E1943" s="4" t="s">
        <v>33</v>
      </c>
      <c r="F1943" s="4" t="s">
        <v>28</v>
      </c>
      <c r="G1943" s="4" t="s">
        <v>109</v>
      </c>
      <c r="H1943">
        <v>627</v>
      </c>
      <c r="I1943">
        <v>938</v>
      </c>
      <c r="J1943">
        <v>0</v>
      </c>
      <c r="K1943">
        <v>938</v>
      </c>
      <c r="L1943">
        <v>479479.85</v>
      </c>
      <c r="M1943">
        <v>0</v>
      </c>
      <c r="N1943">
        <v>479479.85</v>
      </c>
      <c r="O1943">
        <v>174592.95</v>
      </c>
      <c r="P1943">
        <v>304886.90000000002</v>
      </c>
      <c r="Q1943">
        <v>0.63590000000000002</v>
      </c>
      <c r="R1943">
        <v>72</v>
      </c>
      <c r="S1943">
        <v>74619.850000000006</v>
      </c>
      <c r="T1943">
        <v>0</v>
      </c>
      <c r="U1943">
        <v>764.72</v>
      </c>
    </row>
    <row r="1944" spans="1:21" x14ac:dyDescent="0.35">
      <c r="A1944">
        <v>2026</v>
      </c>
      <c r="B1944">
        <v>2</v>
      </c>
      <c r="C1944">
        <v>1</v>
      </c>
      <c r="D1944" s="1">
        <v>46054</v>
      </c>
      <c r="E1944" s="4" t="s">
        <v>33</v>
      </c>
      <c r="F1944" s="4" t="s">
        <v>24</v>
      </c>
      <c r="G1944" s="4" t="s">
        <v>107</v>
      </c>
      <c r="H1944">
        <v>20</v>
      </c>
      <c r="I1944">
        <v>29</v>
      </c>
      <c r="J1944">
        <v>0</v>
      </c>
      <c r="K1944">
        <v>29</v>
      </c>
      <c r="L1944">
        <v>45054.080000000002</v>
      </c>
      <c r="M1944">
        <v>0</v>
      </c>
      <c r="N1944">
        <v>45054.080000000002</v>
      </c>
      <c r="O1944">
        <v>26412.65</v>
      </c>
      <c r="P1944">
        <v>18641.43</v>
      </c>
      <c r="Q1944">
        <v>0.4138</v>
      </c>
      <c r="R1944">
        <v>3</v>
      </c>
      <c r="S1944">
        <v>9634.08</v>
      </c>
      <c r="T1944">
        <v>0</v>
      </c>
      <c r="U1944">
        <v>2252.6999999999998</v>
      </c>
    </row>
    <row r="1945" spans="1:21" x14ac:dyDescent="0.35">
      <c r="A1945">
        <v>2026</v>
      </c>
      <c r="B1945">
        <v>2</v>
      </c>
      <c r="C1945">
        <v>1</v>
      </c>
      <c r="D1945" s="1">
        <v>46054</v>
      </c>
      <c r="E1945" s="4" t="s">
        <v>33</v>
      </c>
      <c r="F1945" s="4" t="s">
        <v>24</v>
      </c>
      <c r="G1945" s="4" t="s">
        <v>109</v>
      </c>
      <c r="H1945">
        <v>134</v>
      </c>
      <c r="I1945">
        <v>204</v>
      </c>
      <c r="J1945">
        <v>5</v>
      </c>
      <c r="K1945">
        <v>199</v>
      </c>
      <c r="L1945">
        <v>323605</v>
      </c>
      <c r="M1945">
        <v>7844</v>
      </c>
      <c r="N1945">
        <v>315761</v>
      </c>
      <c r="O1945">
        <v>177713.25</v>
      </c>
      <c r="P1945">
        <v>138047.75</v>
      </c>
      <c r="Q1945">
        <v>0.43719999999999998</v>
      </c>
      <c r="R1945">
        <v>12</v>
      </c>
      <c r="S1945">
        <v>32042</v>
      </c>
      <c r="T1945">
        <v>0</v>
      </c>
      <c r="U1945">
        <v>2356.4299999999998</v>
      </c>
    </row>
    <row r="1946" spans="1:21" x14ac:dyDescent="0.35">
      <c r="A1946">
        <v>2026</v>
      </c>
      <c r="B1946">
        <v>2</v>
      </c>
      <c r="C1946">
        <v>1</v>
      </c>
      <c r="D1946" s="1">
        <v>46054</v>
      </c>
      <c r="E1946" s="4" t="s">
        <v>33</v>
      </c>
      <c r="F1946" s="4" t="s">
        <v>26</v>
      </c>
      <c r="G1946" s="4" t="s">
        <v>107</v>
      </c>
      <c r="H1946">
        <v>5</v>
      </c>
      <c r="I1946">
        <v>7</v>
      </c>
      <c r="J1946">
        <v>0</v>
      </c>
      <c r="K1946">
        <v>7</v>
      </c>
      <c r="L1946">
        <v>4298.16</v>
      </c>
      <c r="M1946">
        <v>0</v>
      </c>
      <c r="N1946">
        <v>4298.16</v>
      </c>
      <c r="O1946">
        <v>2984.4</v>
      </c>
      <c r="P1946">
        <v>1313.76</v>
      </c>
      <c r="Q1946">
        <v>0.30570000000000003</v>
      </c>
      <c r="R1946">
        <v>1</v>
      </c>
      <c r="S1946">
        <v>1372.16</v>
      </c>
      <c r="T1946">
        <v>0</v>
      </c>
      <c r="U1946">
        <v>859.63</v>
      </c>
    </row>
    <row r="1947" spans="1:21" x14ac:dyDescent="0.35">
      <c r="A1947">
        <v>2026</v>
      </c>
      <c r="B1947">
        <v>2</v>
      </c>
      <c r="C1947">
        <v>1</v>
      </c>
      <c r="D1947" s="1">
        <v>46054</v>
      </c>
      <c r="E1947" s="4" t="s">
        <v>33</v>
      </c>
      <c r="F1947" s="4" t="s">
        <v>26</v>
      </c>
      <c r="G1947" s="4" t="s">
        <v>108</v>
      </c>
      <c r="H1947">
        <v>4</v>
      </c>
      <c r="I1947">
        <v>7</v>
      </c>
      <c r="J1947">
        <v>0</v>
      </c>
      <c r="K1947">
        <v>7</v>
      </c>
      <c r="L1947">
        <v>6125</v>
      </c>
      <c r="M1947">
        <v>0</v>
      </c>
      <c r="N1947">
        <v>6125</v>
      </c>
      <c r="O1947">
        <v>3675</v>
      </c>
      <c r="P1947">
        <v>2450</v>
      </c>
      <c r="Q1947">
        <v>0.4</v>
      </c>
      <c r="R1947">
        <v>0</v>
      </c>
      <c r="S1947">
        <v>0</v>
      </c>
      <c r="T1947">
        <v>0</v>
      </c>
      <c r="U1947">
        <v>1531.25</v>
      </c>
    </row>
    <row r="1948" spans="1:21" x14ac:dyDescent="0.35">
      <c r="A1948">
        <v>2026</v>
      </c>
      <c r="B1948">
        <v>2</v>
      </c>
      <c r="C1948">
        <v>1</v>
      </c>
      <c r="D1948" s="1">
        <v>46054</v>
      </c>
      <c r="E1948" s="4" t="s">
        <v>33</v>
      </c>
      <c r="F1948" s="4" t="s">
        <v>26</v>
      </c>
      <c r="G1948" s="4" t="s">
        <v>109</v>
      </c>
      <c r="H1948">
        <v>48</v>
      </c>
      <c r="I1948">
        <v>69</v>
      </c>
      <c r="J1948">
        <v>1</v>
      </c>
      <c r="K1948">
        <v>68</v>
      </c>
      <c r="L1948">
        <v>50369.25</v>
      </c>
      <c r="M1948">
        <v>829</v>
      </c>
      <c r="N1948">
        <v>49540.25</v>
      </c>
      <c r="O1948">
        <v>31285.8</v>
      </c>
      <c r="P1948">
        <v>18254.45</v>
      </c>
      <c r="Q1948">
        <v>0.36849999999999999</v>
      </c>
      <c r="R1948">
        <v>7</v>
      </c>
      <c r="S1948">
        <v>8271.34</v>
      </c>
      <c r="T1948">
        <v>0</v>
      </c>
      <c r="U1948">
        <v>1032.0899999999999</v>
      </c>
    </row>
    <row r="1949" spans="1:21" x14ac:dyDescent="0.35">
      <c r="A1949">
        <v>2026</v>
      </c>
      <c r="B1949">
        <v>2</v>
      </c>
      <c r="C1949">
        <v>1</v>
      </c>
      <c r="D1949" s="1">
        <v>46054</v>
      </c>
      <c r="E1949" s="4" t="s">
        <v>32</v>
      </c>
      <c r="F1949" s="4" t="s">
        <v>28</v>
      </c>
      <c r="G1949" s="4" t="s">
        <v>107</v>
      </c>
      <c r="H1949">
        <v>27</v>
      </c>
      <c r="I1949">
        <v>36</v>
      </c>
      <c r="J1949">
        <v>0</v>
      </c>
      <c r="K1949">
        <v>36</v>
      </c>
      <c r="L1949">
        <v>15644.84</v>
      </c>
      <c r="M1949">
        <v>0</v>
      </c>
      <c r="N1949">
        <v>15644.84</v>
      </c>
      <c r="O1949">
        <v>5720.4</v>
      </c>
      <c r="P1949">
        <v>9924.44</v>
      </c>
      <c r="Q1949">
        <v>0.63439999999999996</v>
      </c>
      <c r="R1949">
        <v>3</v>
      </c>
      <c r="S1949">
        <v>3386.84</v>
      </c>
      <c r="T1949">
        <v>0</v>
      </c>
      <c r="U1949">
        <v>579.44000000000005</v>
      </c>
    </row>
    <row r="1950" spans="1:21" x14ac:dyDescent="0.35">
      <c r="A1950">
        <v>2026</v>
      </c>
      <c r="B1950">
        <v>2</v>
      </c>
      <c r="C1950">
        <v>1</v>
      </c>
      <c r="D1950" s="1">
        <v>46054</v>
      </c>
      <c r="E1950" s="4" t="s">
        <v>32</v>
      </c>
      <c r="F1950" s="4" t="s">
        <v>28</v>
      </c>
      <c r="G1950" s="4" t="s">
        <v>109</v>
      </c>
      <c r="H1950">
        <v>516</v>
      </c>
      <c r="I1950">
        <v>779</v>
      </c>
      <c r="J1950">
        <v>0</v>
      </c>
      <c r="K1950">
        <v>779</v>
      </c>
      <c r="L1950">
        <v>276541.31</v>
      </c>
      <c r="M1950">
        <v>0</v>
      </c>
      <c r="N1950">
        <v>276541.31</v>
      </c>
      <c r="O1950">
        <v>100165.45</v>
      </c>
      <c r="P1950">
        <v>176375.86</v>
      </c>
      <c r="Q1950">
        <v>0.63780000000000003</v>
      </c>
      <c r="R1950">
        <v>57</v>
      </c>
      <c r="S1950">
        <v>38465.31</v>
      </c>
      <c r="T1950">
        <v>0</v>
      </c>
      <c r="U1950">
        <v>535.92999999999995</v>
      </c>
    </row>
    <row r="1951" spans="1:21" x14ac:dyDescent="0.35">
      <c r="A1951">
        <v>2026</v>
      </c>
      <c r="B1951">
        <v>2</v>
      </c>
      <c r="C1951">
        <v>1</v>
      </c>
      <c r="D1951" s="1">
        <v>46054</v>
      </c>
      <c r="E1951" s="4" t="s">
        <v>32</v>
      </c>
      <c r="F1951" s="4" t="s">
        <v>24</v>
      </c>
      <c r="G1951" s="4" t="s">
        <v>107</v>
      </c>
      <c r="H1951">
        <v>40</v>
      </c>
      <c r="I1951">
        <v>61</v>
      </c>
      <c r="J1951">
        <v>1</v>
      </c>
      <c r="K1951">
        <v>60</v>
      </c>
      <c r="L1951">
        <v>92794.02</v>
      </c>
      <c r="M1951">
        <v>2346</v>
      </c>
      <c r="N1951">
        <v>90448.02</v>
      </c>
      <c r="O1951">
        <v>50729.25</v>
      </c>
      <c r="P1951">
        <v>39718.769999999997</v>
      </c>
      <c r="Q1951">
        <v>0.43909999999999999</v>
      </c>
      <c r="R1951">
        <v>3</v>
      </c>
      <c r="S1951">
        <v>6130.02</v>
      </c>
      <c r="T1951">
        <v>0</v>
      </c>
      <c r="U1951">
        <v>2261.1999999999998</v>
      </c>
    </row>
    <row r="1952" spans="1:21" x14ac:dyDescent="0.35">
      <c r="A1952">
        <v>2026</v>
      </c>
      <c r="B1952">
        <v>2</v>
      </c>
      <c r="C1952">
        <v>1</v>
      </c>
      <c r="D1952" s="1">
        <v>46054</v>
      </c>
      <c r="E1952" s="4" t="s">
        <v>32</v>
      </c>
      <c r="F1952" s="4" t="s">
        <v>24</v>
      </c>
      <c r="G1952" s="4" t="s">
        <v>109</v>
      </c>
      <c r="H1952">
        <v>177</v>
      </c>
      <c r="I1952">
        <v>246</v>
      </c>
      <c r="J1952">
        <v>4</v>
      </c>
      <c r="K1952">
        <v>242</v>
      </c>
      <c r="L1952">
        <v>318507.8</v>
      </c>
      <c r="M1952">
        <v>5346</v>
      </c>
      <c r="N1952">
        <v>313161.8</v>
      </c>
      <c r="O1952">
        <v>176090.2</v>
      </c>
      <c r="P1952">
        <v>137071.6</v>
      </c>
      <c r="Q1952">
        <v>0.43769999999999998</v>
      </c>
      <c r="R1952">
        <v>16</v>
      </c>
      <c r="S1952">
        <v>25430.67</v>
      </c>
      <c r="T1952">
        <v>0</v>
      </c>
      <c r="U1952">
        <v>1769.28</v>
      </c>
    </row>
    <row r="1953" spans="1:21" x14ac:dyDescent="0.35">
      <c r="A1953">
        <v>2026</v>
      </c>
      <c r="B1953">
        <v>2</v>
      </c>
      <c r="C1953">
        <v>1</v>
      </c>
      <c r="D1953" s="1">
        <v>46054</v>
      </c>
      <c r="E1953" s="4" t="s">
        <v>32</v>
      </c>
      <c r="F1953" s="4" t="s">
        <v>26</v>
      </c>
      <c r="G1953" s="4" t="s">
        <v>108</v>
      </c>
      <c r="H1953">
        <v>12</v>
      </c>
      <c r="I1953">
        <v>20</v>
      </c>
      <c r="J1953">
        <v>0</v>
      </c>
      <c r="K1953">
        <v>20</v>
      </c>
      <c r="L1953">
        <v>5927.5</v>
      </c>
      <c r="M1953">
        <v>0</v>
      </c>
      <c r="N1953">
        <v>5927.5</v>
      </c>
      <c r="O1953">
        <v>3915.6</v>
      </c>
      <c r="P1953">
        <v>2011.9</v>
      </c>
      <c r="Q1953">
        <v>0.33939999999999998</v>
      </c>
      <c r="R1953">
        <v>2</v>
      </c>
      <c r="S1953">
        <v>1291.5</v>
      </c>
      <c r="T1953">
        <v>0</v>
      </c>
      <c r="U1953">
        <v>493.96</v>
      </c>
    </row>
    <row r="1954" spans="1:21" x14ac:dyDescent="0.35">
      <c r="A1954">
        <v>2026</v>
      </c>
      <c r="B1954">
        <v>2</v>
      </c>
      <c r="C1954">
        <v>1</v>
      </c>
      <c r="D1954" s="1">
        <v>46054</v>
      </c>
      <c r="E1954" s="4" t="s">
        <v>32</v>
      </c>
      <c r="F1954" s="4" t="s">
        <v>26</v>
      </c>
      <c r="G1954" s="4" t="s">
        <v>109</v>
      </c>
      <c r="H1954">
        <v>51</v>
      </c>
      <c r="I1954">
        <v>79</v>
      </c>
      <c r="J1954">
        <v>1</v>
      </c>
      <c r="K1954">
        <v>78</v>
      </c>
      <c r="L1954">
        <v>56444.12</v>
      </c>
      <c r="M1954">
        <v>958</v>
      </c>
      <c r="N1954">
        <v>55486.12</v>
      </c>
      <c r="O1954">
        <v>33982.800000000003</v>
      </c>
      <c r="P1954">
        <v>21503.32</v>
      </c>
      <c r="Q1954">
        <v>0.38750000000000001</v>
      </c>
      <c r="R1954">
        <v>6</v>
      </c>
      <c r="S1954">
        <v>5690.12</v>
      </c>
      <c r="T1954">
        <v>0</v>
      </c>
      <c r="U1954">
        <v>1087.96</v>
      </c>
    </row>
    <row r="1955" spans="1:21" x14ac:dyDescent="0.35">
      <c r="A1955">
        <v>2026</v>
      </c>
      <c r="B1955">
        <v>2</v>
      </c>
      <c r="C1955">
        <v>1</v>
      </c>
      <c r="D1955" s="1">
        <v>46054</v>
      </c>
      <c r="E1955" s="4" t="s">
        <v>27</v>
      </c>
      <c r="F1955" s="4" t="s">
        <v>28</v>
      </c>
      <c r="G1955" s="4" t="s">
        <v>107</v>
      </c>
      <c r="H1955">
        <v>262</v>
      </c>
      <c r="I1955">
        <v>405</v>
      </c>
      <c r="J1955">
        <v>0</v>
      </c>
      <c r="K1955">
        <v>405</v>
      </c>
      <c r="L1955">
        <v>181628.43</v>
      </c>
      <c r="M1955">
        <v>0</v>
      </c>
      <c r="N1955">
        <v>181628.43</v>
      </c>
      <c r="O1955">
        <v>65302.65</v>
      </c>
      <c r="P1955">
        <v>116325.78</v>
      </c>
      <c r="Q1955">
        <v>0.64049999999999996</v>
      </c>
      <c r="R1955">
        <v>32</v>
      </c>
      <c r="S1955">
        <v>23247.46</v>
      </c>
      <c r="T1955">
        <v>0</v>
      </c>
      <c r="U1955">
        <v>693.24</v>
      </c>
    </row>
    <row r="1956" spans="1:21" x14ac:dyDescent="0.35">
      <c r="A1956">
        <v>2026</v>
      </c>
      <c r="B1956">
        <v>2</v>
      </c>
      <c r="C1956">
        <v>1</v>
      </c>
      <c r="D1956" s="1">
        <v>46054</v>
      </c>
      <c r="E1956" s="4" t="s">
        <v>27</v>
      </c>
      <c r="F1956" s="4" t="s">
        <v>28</v>
      </c>
      <c r="G1956" s="4" t="s">
        <v>109</v>
      </c>
      <c r="H1956">
        <v>749</v>
      </c>
      <c r="I1956">
        <v>1155</v>
      </c>
      <c r="J1956">
        <v>0</v>
      </c>
      <c r="K1956">
        <v>1155</v>
      </c>
      <c r="L1956">
        <v>618525.52</v>
      </c>
      <c r="M1956">
        <v>0</v>
      </c>
      <c r="N1956">
        <v>618525.52</v>
      </c>
      <c r="O1956">
        <v>223696.55</v>
      </c>
      <c r="P1956">
        <v>394828.97</v>
      </c>
      <c r="Q1956">
        <v>0.63829999999999998</v>
      </c>
      <c r="R1956">
        <v>91</v>
      </c>
      <c r="S1956">
        <v>86227.11</v>
      </c>
      <c r="T1956">
        <v>0</v>
      </c>
      <c r="U1956">
        <v>825.8</v>
      </c>
    </row>
    <row r="1957" spans="1:21" x14ac:dyDescent="0.35">
      <c r="A1957">
        <v>2026</v>
      </c>
      <c r="B1957">
        <v>2</v>
      </c>
      <c r="C1957">
        <v>1</v>
      </c>
      <c r="D1957" s="1">
        <v>46054</v>
      </c>
      <c r="E1957" s="4" t="s">
        <v>27</v>
      </c>
      <c r="F1957" s="4" t="s">
        <v>24</v>
      </c>
      <c r="G1957" s="4" t="s">
        <v>107</v>
      </c>
      <c r="H1957">
        <v>52</v>
      </c>
      <c r="I1957">
        <v>71</v>
      </c>
      <c r="J1957">
        <v>3</v>
      </c>
      <c r="K1957">
        <v>68</v>
      </c>
      <c r="L1957">
        <v>122600.73</v>
      </c>
      <c r="M1957">
        <v>6380</v>
      </c>
      <c r="N1957">
        <v>116220.73</v>
      </c>
      <c r="O1957">
        <v>65930.7</v>
      </c>
      <c r="P1957">
        <v>50290.03</v>
      </c>
      <c r="Q1957">
        <v>0.43269999999999997</v>
      </c>
      <c r="R1957">
        <v>5</v>
      </c>
      <c r="S1957">
        <v>11921.73</v>
      </c>
      <c r="T1957">
        <v>0</v>
      </c>
      <c r="U1957">
        <v>2235.0100000000002</v>
      </c>
    </row>
    <row r="1958" spans="1:21" x14ac:dyDescent="0.35">
      <c r="A1958">
        <v>2026</v>
      </c>
      <c r="B1958">
        <v>2</v>
      </c>
      <c r="C1958">
        <v>1</v>
      </c>
      <c r="D1958" s="1">
        <v>46054</v>
      </c>
      <c r="E1958" s="4" t="s">
        <v>27</v>
      </c>
      <c r="F1958" s="4" t="s">
        <v>24</v>
      </c>
      <c r="G1958" s="4" t="s">
        <v>109</v>
      </c>
      <c r="H1958">
        <v>243</v>
      </c>
      <c r="I1958">
        <v>364</v>
      </c>
      <c r="J1958">
        <v>10</v>
      </c>
      <c r="K1958">
        <v>354</v>
      </c>
      <c r="L1958">
        <v>596975.93999999994</v>
      </c>
      <c r="M1958">
        <v>14608.32</v>
      </c>
      <c r="N1958">
        <v>582367.62</v>
      </c>
      <c r="O1958">
        <v>332226.95</v>
      </c>
      <c r="P1958">
        <v>250140.67</v>
      </c>
      <c r="Q1958">
        <v>0.42949999999999999</v>
      </c>
      <c r="R1958">
        <v>27</v>
      </c>
      <c r="S1958">
        <v>77055.62</v>
      </c>
      <c r="T1958">
        <v>0</v>
      </c>
      <c r="U1958">
        <v>2396.5700000000002</v>
      </c>
    </row>
    <row r="1959" spans="1:21" x14ac:dyDescent="0.35">
      <c r="A1959">
        <v>2026</v>
      </c>
      <c r="B1959">
        <v>2</v>
      </c>
      <c r="C1959">
        <v>1</v>
      </c>
      <c r="D1959" s="1">
        <v>46054</v>
      </c>
      <c r="E1959" s="4" t="s">
        <v>27</v>
      </c>
      <c r="F1959" s="4" t="s">
        <v>26</v>
      </c>
      <c r="G1959" s="4" t="s">
        <v>107</v>
      </c>
      <c r="H1959">
        <v>8</v>
      </c>
      <c r="I1959">
        <v>11</v>
      </c>
      <c r="J1959">
        <v>0</v>
      </c>
      <c r="K1959">
        <v>11</v>
      </c>
      <c r="L1959">
        <v>10764.3</v>
      </c>
      <c r="M1959">
        <v>0</v>
      </c>
      <c r="N1959">
        <v>10764.3</v>
      </c>
      <c r="O1959">
        <v>7326</v>
      </c>
      <c r="P1959">
        <v>3438.3</v>
      </c>
      <c r="Q1959">
        <v>0.31940000000000002</v>
      </c>
      <c r="R1959">
        <v>2</v>
      </c>
      <c r="S1959">
        <v>4479.3</v>
      </c>
      <c r="T1959">
        <v>0</v>
      </c>
      <c r="U1959">
        <v>1345.54</v>
      </c>
    </row>
    <row r="1960" spans="1:21" x14ac:dyDescent="0.35">
      <c r="A1960">
        <v>2026</v>
      </c>
      <c r="B1960">
        <v>2</v>
      </c>
      <c r="C1960">
        <v>1</v>
      </c>
      <c r="D1960" s="1">
        <v>46054</v>
      </c>
      <c r="E1960" s="4" t="s">
        <v>27</v>
      </c>
      <c r="F1960" s="4" t="s">
        <v>26</v>
      </c>
      <c r="G1960" s="4" t="s">
        <v>109</v>
      </c>
      <c r="H1960">
        <v>39</v>
      </c>
      <c r="I1960">
        <v>66</v>
      </c>
      <c r="J1960">
        <v>1</v>
      </c>
      <c r="K1960">
        <v>65</v>
      </c>
      <c r="L1960">
        <v>37318.39</v>
      </c>
      <c r="M1960">
        <v>372</v>
      </c>
      <c r="N1960">
        <v>36946.39</v>
      </c>
      <c r="O1960">
        <v>23758.2</v>
      </c>
      <c r="P1960">
        <v>13188.19</v>
      </c>
      <c r="Q1960">
        <v>0.35699999999999998</v>
      </c>
      <c r="R1960">
        <v>13</v>
      </c>
      <c r="S1960">
        <v>12223.39</v>
      </c>
      <c r="T1960">
        <v>0</v>
      </c>
      <c r="U1960">
        <v>947.34</v>
      </c>
    </row>
    <row r="1961" spans="1:21" x14ac:dyDescent="0.35">
      <c r="A1961">
        <v>2026</v>
      </c>
      <c r="B1961">
        <v>2</v>
      </c>
      <c r="C1961">
        <v>1</v>
      </c>
      <c r="D1961" s="1">
        <v>46054</v>
      </c>
      <c r="E1961" s="4" t="s">
        <v>34</v>
      </c>
      <c r="F1961" s="4" t="s">
        <v>28</v>
      </c>
      <c r="G1961" s="4" t="s">
        <v>107</v>
      </c>
      <c r="H1961">
        <v>204</v>
      </c>
      <c r="I1961">
        <v>291</v>
      </c>
      <c r="J1961">
        <v>0</v>
      </c>
      <c r="K1961">
        <v>291</v>
      </c>
      <c r="L1961">
        <v>192395.18</v>
      </c>
      <c r="M1961">
        <v>0</v>
      </c>
      <c r="N1961">
        <v>192395.18</v>
      </c>
      <c r="O1961">
        <v>69849.5</v>
      </c>
      <c r="P1961">
        <v>122545.68</v>
      </c>
      <c r="Q1961">
        <v>0.63690000000000002</v>
      </c>
      <c r="R1961">
        <v>24</v>
      </c>
      <c r="S1961">
        <v>27975.18</v>
      </c>
      <c r="T1961">
        <v>0</v>
      </c>
      <c r="U1961">
        <v>943.11</v>
      </c>
    </row>
    <row r="1962" spans="1:21" x14ac:dyDescent="0.35">
      <c r="A1962">
        <v>2026</v>
      </c>
      <c r="B1962">
        <v>2</v>
      </c>
      <c r="C1962">
        <v>1</v>
      </c>
      <c r="D1962" s="1">
        <v>46054</v>
      </c>
      <c r="E1962" s="4" t="s">
        <v>34</v>
      </c>
      <c r="F1962" s="4" t="s">
        <v>28</v>
      </c>
      <c r="G1962" s="4" t="s">
        <v>108</v>
      </c>
      <c r="H1962">
        <v>47</v>
      </c>
      <c r="I1962">
        <v>70</v>
      </c>
      <c r="J1962">
        <v>0</v>
      </c>
      <c r="K1962">
        <v>70</v>
      </c>
      <c r="L1962">
        <v>29249.16</v>
      </c>
      <c r="M1962">
        <v>0</v>
      </c>
      <c r="N1962">
        <v>29249.16</v>
      </c>
      <c r="O1962">
        <v>10437</v>
      </c>
      <c r="P1962">
        <v>18812.16</v>
      </c>
      <c r="Q1962">
        <v>0.64319999999999999</v>
      </c>
      <c r="R1962">
        <v>3</v>
      </c>
      <c r="S1962">
        <v>2837.16</v>
      </c>
      <c r="T1962">
        <v>0</v>
      </c>
      <c r="U1962">
        <v>622.32000000000005</v>
      </c>
    </row>
    <row r="1963" spans="1:21" x14ac:dyDescent="0.35">
      <c r="A1963">
        <v>2026</v>
      </c>
      <c r="B1963">
        <v>2</v>
      </c>
      <c r="C1963">
        <v>1</v>
      </c>
      <c r="D1963" s="1">
        <v>46054</v>
      </c>
      <c r="E1963" s="4" t="s">
        <v>34</v>
      </c>
      <c r="F1963" s="4" t="s">
        <v>28</v>
      </c>
      <c r="G1963" s="4" t="s">
        <v>109</v>
      </c>
      <c r="H1963">
        <v>639</v>
      </c>
      <c r="I1963">
        <v>991</v>
      </c>
      <c r="J1963">
        <v>0</v>
      </c>
      <c r="K1963">
        <v>991</v>
      </c>
      <c r="L1963">
        <v>487065.78</v>
      </c>
      <c r="M1963">
        <v>0</v>
      </c>
      <c r="N1963">
        <v>487065.78</v>
      </c>
      <c r="O1963">
        <v>176535.1</v>
      </c>
      <c r="P1963">
        <v>310530.68</v>
      </c>
      <c r="Q1963">
        <v>0.63759999999999994</v>
      </c>
      <c r="R1963">
        <v>86</v>
      </c>
      <c r="S1963">
        <v>78274.490000000005</v>
      </c>
      <c r="T1963">
        <v>0</v>
      </c>
      <c r="U1963">
        <v>762.23</v>
      </c>
    </row>
    <row r="1964" spans="1:21" x14ac:dyDescent="0.35">
      <c r="A1964">
        <v>2026</v>
      </c>
      <c r="B1964">
        <v>2</v>
      </c>
      <c r="C1964">
        <v>1</v>
      </c>
      <c r="D1964" s="1">
        <v>46054</v>
      </c>
      <c r="E1964" s="4" t="s">
        <v>34</v>
      </c>
      <c r="F1964" s="4" t="s">
        <v>24</v>
      </c>
      <c r="G1964" s="4" t="s">
        <v>107</v>
      </c>
      <c r="H1964">
        <v>93</v>
      </c>
      <c r="I1964">
        <v>152</v>
      </c>
      <c r="J1964">
        <v>9</v>
      </c>
      <c r="K1964">
        <v>143</v>
      </c>
      <c r="L1964">
        <v>257550.31</v>
      </c>
      <c r="M1964">
        <v>18096.79</v>
      </c>
      <c r="N1964">
        <v>239453.52</v>
      </c>
      <c r="O1964">
        <v>138974</v>
      </c>
      <c r="P1964">
        <v>100479.52</v>
      </c>
      <c r="Q1964">
        <v>0.41959999999999997</v>
      </c>
      <c r="R1964">
        <v>15</v>
      </c>
      <c r="S1964">
        <v>48646.52</v>
      </c>
      <c r="T1964">
        <v>0</v>
      </c>
      <c r="U1964">
        <v>2574.77</v>
      </c>
    </row>
    <row r="1965" spans="1:21" x14ac:dyDescent="0.35">
      <c r="A1965">
        <v>2026</v>
      </c>
      <c r="B1965">
        <v>2</v>
      </c>
      <c r="C1965">
        <v>1</v>
      </c>
      <c r="D1965" s="1">
        <v>46054</v>
      </c>
      <c r="E1965" s="4" t="s">
        <v>34</v>
      </c>
      <c r="F1965" s="4" t="s">
        <v>24</v>
      </c>
      <c r="G1965" s="4" t="s">
        <v>108</v>
      </c>
      <c r="H1965">
        <v>17</v>
      </c>
      <c r="I1965">
        <v>23</v>
      </c>
      <c r="J1965">
        <v>0</v>
      </c>
      <c r="K1965">
        <v>23</v>
      </c>
      <c r="L1965">
        <v>30889.599999999999</v>
      </c>
      <c r="M1965">
        <v>0</v>
      </c>
      <c r="N1965">
        <v>30889.599999999999</v>
      </c>
      <c r="O1965">
        <v>17444.349999999999</v>
      </c>
      <c r="P1965">
        <v>13445.25</v>
      </c>
      <c r="Q1965">
        <v>0.43530000000000002</v>
      </c>
      <c r="R1965">
        <v>2</v>
      </c>
      <c r="S1965">
        <v>4688.6000000000004</v>
      </c>
      <c r="T1965">
        <v>0</v>
      </c>
      <c r="U1965">
        <v>1817.04</v>
      </c>
    </row>
    <row r="1966" spans="1:21" x14ac:dyDescent="0.35">
      <c r="A1966">
        <v>2026</v>
      </c>
      <c r="B1966">
        <v>2</v>
      </c>
      <c r="C1966">
        <v>1</v>
      </c>
      <c r="D1966" s="1">
        <v>46054</v>
      </c>
      <c r="E1966" s="4" t="s">
        <v>34</v>
      </c>
      <c r="F1966" s="4" t="s">
        <v>24</v>
      </c>
      <c r="G1966" s="4" t="s">
        <v>109</v>
      </c>
      <c r="H1966">
        <v>207</v>
      </c>
      <c r="I1966">
        <v>320</v>
      </c>
      <c r="J1966">
        <v>13</v>
      </c>
      <c r="K1966">
        <v>307</v>
      </c>
      <c r="L1966">
        <v>517635.08</v>
      </c>
      <c r="M1966">
        <v>20020</v>
      </c>
      <c r="N1966">
        <v>497615.08</v>
      </c>
      <c r="O1966">
        <v>284658</v>
      </c>
      <c r="P1966">
        <v>212957.08</v>
      </c>
      <c r="Q1966">
        <v>0.42799999999999999</v>
      </c>
      <c r="R1966">
        <v>26</v>
      </c>
      <c r="S1966">
        <v>82854.31</v>
      </c>
      <c r="T1966">
        <v>0</v>
      </c>
      <c r="U1966">
        <v>2403.94</v>
      </c>
    </row>
    <row r="1967" spans="1:21" x14ac:dyDescent="0.35">
      <c r="A1967">
        <v>2026</v>
      </c>
      <c r="B1967">
        <v>2</v>
      </c>
      <c r="C1967">
        <v>1</v>
      </c>
      <c r="D1967" s="1">
        <v>46054</v>
      </c>
      <c r="E1967" s="4" t="s">
        <v>34</v>
      </c>
      <c r="F1967" s="4" t="s">
        <v>26</v>
      </c>
      <c r="G1967" s="4" t="s">
        <v>107</v>
      </c>
      <c r="H1967">
        <v>8</v>
      </c>
      <c r="I1967">
        <v>15</v>
      </c>
      <c r="J1967">
        <v>0</v>
      </c>
      <c r="K1967">
        <v>15</v>
      </c>
      <c r="L1967">
        <v>8377.6</v>
      </c>
      <c r="M1967">
        <v>0</v>
      </c>
      <c r="N1967">
        <v>8377.6</v>
      </c>
      <c r="O1967">
        <v>5431.2</v>
      </c>
      <c r="P1967">
        <v>2946.4</v>
      </c>
      <c r="Q1967">
        <v>0.35170000000000001</v>
      </c>
      <c r="R1967">
        <v>2</v>
      </c>
      <c r="S1967">
        <v>3229.6</v>
      </c>
      <c r="T1967">
        <v>0</v>
      </c>
      <c r="U1967">
        <v>1047.2</v>
      </c>
    </row>
    <row r="1968" spans="1:21" x14ac:dyDescent="0.35">
      <c r="A1968">
        <v>2026</v>
      </c>
      <c r="B1968">
        <v>2</v>
      </c>
      <c r="C1968">
        <v>1</v>
      </c>
      <c r="D1968" s="1">
        <v>46054</v>
      </c>
      <c r="E1968" s="4" t="s">
        <v>34</v>
      </c>
      <c r="F1968" s="4" t="s">
        <v>26</v>
      </c>
      <c r="G1968" s="4" t="s">
        <v>108</v>
      </c>
      <c r="H1968">
        <v>3</v>
      </c>
      <c r="I1968">
        <v>3</v>
      </c>
      <c r="J1968">
        <v>0</v>
      </c>
      <c r="K1968">
        <v>3</v>
      </c>
      <c r="L1968">
        <v>1098</v>
      </c>
      <c r="M1968">
        <v>0</v>
      </c>
      <c r="N1968">
        <v>1098</v>
      </c>
      <c r="O1968">
        <v>658.8</v>
      </c>
      <c r="P1968">
        <v>439.2</v>
      </c>
      <c r="Q1968">
        <v>0.4</v>
      </c>
      <c r="R1968">
        <v>0</v>
      </c>
      <c r="S1968">
        <v>0</v>
      </c>
      <c r="T1968">
        <v>0</v>
      </c>
      <c r="U1968">
        <v>366</v>
      </c>
    </row>
    <row r="1969" spans="1:21" x14ac:dyDescent="0.35">
      <c r="A1969">
        <v>2026</v>
      </c>
      <c r="B1969">
        <v>2</v>
      </c>
      <c r="C1969">
        <v>1</v>
      </c>
      <c r="D1969" s="1">
        <v>46054</v>
      </c>
      <c r="E1969" s="4" t="s">
        <v>34</v>
      </c>
      <c r="F1969" s="4" t="s">
        <v>26</v>
      </c>
      <c r="G1969" s="4" t="s">
        <v>109</v>
      </c>
      <c r="H1969">
        <v>38</v>
      </c>
      <c r="I1969">
        <v>58</v>
      </c>
      <c r="J1969">
        <v>3</v>
      </c>
      <c r="K1969">
        <v>55</v>
      </c>
      <c r="L1969">
        <v>41160.1</v>
      </c>
      <c r="M1969">
        <v>2637</v>
      </c>
      <c r="N1969">
        <v>38523.1</v>
      </c>
      <c r="O1969">
        <v>23972.400000000001</v>
      </c>
      <c r="P1969">
        <v>14550.7</v>
      </c>
      <c r="Q1969">
        <v>0.37769999999999998</v>
      </c>
      <c r="R1969">
        <v>4</v>
      </c>
      <c r="S1969">
        <v>6402.1</v>
      </c>
      <c r="T1969">
        <v>0</v>
      </c>
      <c r="U1969">
        <v>1013.77</v>
      </c>
    </row>
    <row r="1970" spans="1:21" x14ac:dyDescent="0.35">
      <c r="A1970">
        <v>2026</v>
      </c>
      <c r="B1970">
        <v>2</v>
      </c>
      <c r="C1970">
        <v>1</v>
      </c>
      <c r="D1970" s="1">
        <v>46054</v>
      </c>
      <c r="E1970" s="4" t="s">
        <v>36</v>
      </c>
      <c r="F1970" s="4" t="s">
        <v>28</v>
      </c>
      <c r="G1970" s="4" t="s">
        <v>107</v>
      </c>
      <c r="H1970">
        <v>77</v>
      </c>
      <c r="I1970">
        <v>111</v>
      </c>
      <c r="J1970">
        <v>0</v>
      </c>
      <c r="K1970">
        <v>111</v>
      </c>
      <c r="L1970">
        <v>70099.91</v>
      </c>
      <c r="M1970">
        <v>0</v>
      </c>
      <c r="N1970">
        <v>70099.91</v>
      </c>
      <c r="O1970">
        <v>25365.9</v>
      </c>
      <c r="P1970">
        <v>44734.01</v>
      </c>
      <c r="Q1970">
        <v>0.6381</v>
      </c>
      <c r="R1970">
        <v>10</v>
      </c>
      <c r="S1970">
        <v>8488.91</v>
      </c>
      <c r="T1970">
        <v>0</v>
      </c>
      <c r="U1970">
        <v>910.39</v>
      </c>
    </row>
    <row r="1971" spans="1:21" x14ac:dyDescent="0.35">
      <c r="A1971">
        <v>2026</v>
      </c>
      <c r="B1971">
        <v>2</v>
      </c>
      <c r="C1971">
        <v>1</v>
      </c>
      <c r="D1971" s="1">
        <v>46054</v>
      </c>
      <c r="E1971" s="4" t="s">
        <v>36</v>
      </c>
      <c r="F1971" s="4" t="s">
        <v>28</v>
      </c>
      <c r="G1971" s="4" t="s">
        <v>108</v>
      </c>
      <c r="H1971">
        <v>164</v>
      </c>
      <c r="I1971">
        <v>249</v>
      </c>
      <c r="J1971">
        <v>0</v>
      </c>
      <c r="K1971">
        <v>249</v>
      </c>
      <c r="L1971">
        <v>79848.92</v>
      </c>
      <c r="M1971">
        <v>0</v>
      </c>
      <c r="N1971">
        <v>79848.92</v>
      </c>
      <c r="O1971">
        <v>29335.95</v>
      </c>
      <c r="P1971">
        <v>50512.97</v>
      </c>
      <c r="Q1971">
        <v>0.63260000000000005</v>
      </c>
      <c r="R1971">
        <v>21</v>
      </c>
      <c r="S1971">
        <v>13403.92</v>
      </c>
      <c r="T1971">
        <v>0</v>
      </c>
      <c r="U1971">
        <v>486.88</v>
      </c>
    </row>
    <row r="1972" spans="1:21" x14ac:dyDescent="0.35">
      <c r="A1972">
        <v>2026</v>
      </c>
      <c r="B1972">
        <v>2</v>
      </c>
      <c r="C1972">
        <v>1</v>
      </c>
      <c r="D1972" s="1">
        <v>46054</v>
      </c>
      <c r="E1972" s="4" t="s">
        <v>36</v>
      </c>
      <c r="F1972" s="4" t="s">
        <v>28</v>
      </c>
      <c r="G1972" s="4" t="s">
        <v>109</v>
      </c>
      <c r="H1972">
        <v>700</v>
      </c>
      <c r="I1972">
        <v>1055</v>
      </c>
      <c r="J1972">
        <v>0</v>
      </c>
      <c r="K1972">
        <v>1055</v>
      </c>
      <c r="L1972">
        <v>502957.34</v>
      </c>
      <c r="M1972">
        <v>0</v>
      </c>
      <c r="N1972">
        <v>502957.34</v>
      </c>
      <c r="O1972">
        <v>181010.9</v>
      </c>
      <c r="P1972">
        <v>321946.44</v>
      </c>
      <c r="Q1972">
        <v>0.6401</v>
      </c>
      <c r="R1972">
        <v>80</v>
      </c>
      <c r="S1972">
        <v>67967.42</v>
      </c>
      <c r="T1972">
        <v>0</v>
      </c>
      <c r="U1972">
        <v>718.51</v>
      </c>
    </row>
    <row r="1973" spans="1:21" x14ac:dyDescent="0.35">
      <c r="A1973">
        <v>2026</v>
      </c>
      <c r="B1973">
        <v>2</v>
      </c>
      <c r="C1973">
        <v>1</v>
      </c>
      <c r="D1973" s="1">
        <v>46054</v>
      </c>
      <c r="E1973" s="4" t="s">
        <v>36</v>
      </c>
      <c r="F1973" s="4" t="s">
        <v>24</v>
      </c>
      <c r="G1973" s="4" t="s">
        <v>107</v>
      </c>
      <c r="H1973">
        <v>52</v>
      </c>
      <c r="I1973">
        <v>71</v>
      </c>
      <c r="J1973">
        <v>2</v>
      </c>
      <c r="K1973">
        <v>69</v>
      </c>
      <c r="L1973">
        <v>86686.73</v>
      </c>
      <c r="M1973">
        <v>1714</v>
      </c>
      <c r="N1973">
        <v>84972.73</v>
      </c>
      <c r="O1973">
        <v>48381.3</v>
      </c>
      <c r="P1973">
        <v>36591.43</v>
      </c>
      <c r="Q1973">
        <v>0.43059999999999998</v>
      </c>
      <c r="R1973">
        <v>6</v>
      </c>
      <c r="S1973">
        <v>13067.73</v>
      </c>
      <c r="T1973">
        <v>0</v>
      </c>
      <c r="U1973">
        <v>1634.09</v>
      </c>
    </row>
    <row r="1974" spans="1:21" x14ac:dyDescent="0.35">
      <c r="A1974">
        <v>2026</v>
      </c>
      <c r="B1974">
        <v>2</v>
      </c>
      <c r="C1974">
        <v>1</v>
      </c>
      <c r="D1974" s="1">
        <v>46054</v>
      </c>
      <c r="E1974" s="4" t="s">
        <v>36</v>
      </c>
      <c r="F1974" s="4" t="s">
        <v>24</v>
      </c>
      <c r="G1974" s="4" t="s">
        <v>108</v>
      </c>
      <c r="H1974">
        <v>31</v>
      </c>
      <c r="I1974">
        <v>50</v>
      </c>
      <c r="J1974">
        <v>4</v>
      </c>
      <c r="K1974">
        <v>46</v>
      </c>
      <c r="L1974">
        <v>83959.28</v>
      </c>
      <c r="M1974">
        <v>7824</v>
      </c>
      <c r="N1974">
        <v>76135.28</v>
      </c>
      <c r="O1974">
        <v>43808.6</v>
      </c>
      <c r="P1974">
        <v>32326.68</v>
      </c>
      <c r="Q1974">
        <v>0.42459999999999998</v>
      </c>
      <c r="R1974">
        <v>4</v>
      </c>
      <c r="S1974">
        <v>14263.28</v>
      </c>
      <c r="T1974">
        <v>0</v>
      </c>
      <c r="U1974">
        <v>2455.98</v>
      </c>
    </row>
    <row r="1975" spans="1:21" x14ac:dyDescent="0.35">
      <c r="A1975">
        <v>2026</v>
      </c>
      <c r="B1975">
        <v>2</v>
      </c>
      <c r="C1975">
        <v>1</v>
      </c>
      <c r="D1975" s="1">
        <v>46054</v>
      </c>
      <c r="E1975" s="4" t="s">
        <v>36</v>
      </c>
      <c r="F1975" s="4" t="s">
        <v>24</v>
      </c>
      <c r="G1975" s="4" t="s">
        <v>109</v>
      </c>
      <c r="H1975">
        <v>117</v>
      </c>
      <c r="I1975">
        <v>187</v>
      </c>
      <c r="J1975">
        <v>3</v>
      </c>
      <c r="K1975">
        <v>184</v>
      </c>
      <c r="L1975">
        <v>292762.53000000003</v>
      </c>
      <c r="M1975">
        <v>4453.5600000000004</v>
      </c>
      <c r="N1975">
        <v>288308.96999999997</v>
      </c>
      <c r="O1975">
        <v>163182.79999999999</v>
      </c>
      <c r="P1975">
        <v>125126.17</v>
      </c>
      <c r="Q1975">
        <v>0.434</v>
      </c>
      <c r="R1975">
        <v>11</v>
      </c>
      <c r="S1975">
        <v>33894.97</v>
      </c>
      <c r="T1975">
        <v>0</v>
      </c>
      <c r="U1975">
        <v>2464.1799999999998</v>
      </c>
    </row>
    <row r="1976" spans="1:21" x14ac:dyDescent="0.35">
      <c r="A1976">
        <v>2026</v>
      </c>
      <c r="B1976">
        <v>2</v>
      </c>
      <c r="C1976">
        <v>1</v>
      </c>
      <c r="D1976" s="1">
        <v>46054</v>
      </c>
      <c r="E1976" s="4" t="s">
        <v>36</v>
      </c>
      <c r="F1976" s="4" t="s">
        <v>26</v>
      </c>
      <c r="G1976" s="4" t="s">
        <v>107</v>
      </c>
      <c r="H1976">
        <v>7</v>
      </c>
      <c r="I1976">
        <v>11</v>
      </c>
      <c r="J1976">
        <v>0</v>
      </c>
      <c r="K1976">
        <v>11</v>
      </c>
      <c r="L1976">
        <v>6938.58</v>
      </c>
      <c r="M1976">
        <v>0</v>
      </c>
      <c r="N1976">
        <v>6938.58</v>
      </c>
      <c r="O1976">
        <v>4213.8</v>
      </c>
      <c r="P1976">
        <v>2724.78</v>
      </c>
      <c r="Q1976">
        <v>0.39269999999999999</v>
      </c>
      <c r="R1976">
        <v>1</v>
      </c>
      <c r="S1976">
        <v>384.58</v>
      </c>
      <c r="T1976">
        <v>0</v>
      </c>
      <c r="U1976">
        <v>991.23</v>
      </c>
    </row>
    <row r="1977" spans="1:21" x14ac:dyDescent="0.35">
      <c r="A1977">
        <v>2026</v>
      </c>
      <c r="B1977">
        <v>2</v>
      </c>
      <c r="C1977">
        <v>1</v>
      </c>
      <c r="D1977" s="1">
        <v>46054</v>
      </c>
      <c r="E1977" s="4" t="s">
        <v>36</v>
      </c>
      <c r="F1977" s="4" t="s">
        <v>26</v>
      </c>
      <c r="G1977" s="4" t="s">
        <v>109</v>
      </c>
      <c r="H1977">
        <v>53</v>
      </c>
      <c r="I1977">
        <v>77</v>
      </c>
      <c r="J1977">
        <v>0</v>
      </c>
      <c r="K1977">
        <v>77</v>
      </c>
      <c r="L1977">
        <v>58438.69</v>
      </c>
      <c r="M1977">
        <v>0</v>
      </c>
      <c r="N1977">
        <v>58438.69</v>
      </c>
      <c r="O1977">
        <v>36472.199999999997</v>
      </c>
      <c r="P1977">
        <v>21966.49</v>
      </c>
      <c r="Q1977">
        <v>0.37590000000000001</v>
      </c>
      <c r="R1977">
        <v>4</v>
      </c>
      <c r="S1977">
        <v>7245.69</v>
      </c>
      <c r="T1977">
        <v>0</v>
      </c>
      <c r="U1977">
        <v>1102.6199999999999</v>
      </c>
    </row>
    <row r="1978" spans="1:21" x14ac:dyDescent="0.35">
      <c r="A1978">
        <v>2026</v>
      </c>
      <c r="B1978">
        <v>2</v>
      </c>
      <c r="C1978">
        <v>1</v>
      </c>
      <c r="D1978" s="1">
        <v>46054</v>
      </c>
      <c r="E1978" s="4" t="s">
        <v>23</v>
      </c>
      <c r="F1978" s="4" t="s">
        <v>28</v>
      </c>
      <c r="G1978" s="4" t="s">
        <v>107</v>
      </c>
      <c r="H1978">
        <v>115</v>
      </c>
      <c r="I1978">
        <v>164</v>
      </c>
      <c r="J1978">
        <v>0</v>
      </c>
      <c r="K1978">
        <v>164</v>
      </c>
      <c r="L1978">
        <v>54208.44</v>
      </c>
      <c r="M1978">
        <v>0</v>
      </c>
      <c r="N1978">
        <v>54208.44</v>
      </c>
      <c r="O1978">
        <v>19401.2</v>
      </c>
      <c r="P1978">
        <v>34807.24</v>
      </c>
      <c r="Q1978">
        <v>0.6421</v>
      </c>
      <c r="R1978">
        <v>12</v>
      </c>
      <c r="S1978">
        <v>5198.4399999999996</v>
      </c>
      <c r="T1978">
        <v>0</v>
      </c>
      <c r="U1978">
        <v>471.38</v>
      </c>
    </row>
    <row r="1979" spans="1:21" x14ac:dyDescent="0.35">
      <c r="A1979">
        <v>2026</v>
      </c>
      <c r="B1979">
        <v>2</v>
      </c>
      <c r="C1979">
        <v>1</v>
      </c>
      <c r="D1979" s="1">
        <v>46054</v>
      </c>
      <c r="E1979" s="4" t="s">
        <v>23</v>
      </c>
      <c r="F1979" s="4" t="s">
        <v>28</v>
      </c>
      <c r="G1979" s="4" t="s">
        <v>108</v>
      </c>
      <c r="H1979">
        <v>41</v>
      </c>
      <c r="I1979">
        <v>53</v>
      </c>
      <c r="J1979">
        <v>0</v>
      </c>
      <c r="K1979">
        <v>53</v>
      </c>
      <c r="L1979">
        <v>36591.15</v>
      </c>
      <c r="M1979">
        <v>0</v>
      </c>
      <c r="N1979">
        <v>36591.15</v>
      </c>
      <c r="O1979">
        <v>13040.65</v>
      </c>
      <c r="P1979">
        <v>23550.5</v>
      </c>
      <c r="Q1979">
        <v>0.64359999999999995</v>
      </c>
      <c r="R1979">
        <v>2</v>
      </c>
      <c r="S1979">
        <v>2144.15</v>
      </c>
      <c r="T1979">
        <v>0</v>
      </c>
      <c r="U1979">
        <v>892.47</v>
      </c>
    </row>
    <row r="1980" spans="1:21" x14ac:dyDescent="0.35">
      <c r="A1980">
        <v>2026</v>
      </c>
      <c r="B1980">
        <v>2</v>
      </c>
      <c r="C1980">
        <v>1</v>
      </c>
      <c r="D1980" s="1">
        <v>46054</v>
      </c>
      <c r="E1980" s="4" t="s">
        <v>23</v>
      </c>
      <c r="F1980" s="4" t="s">
        <v>28</v>
      </c>
      <c r="G1980" s="4" t="s">
        <v>109</v>
      </c>
      <c r="H1980">
        <v>608</v>
      </c>
      <c r="I1980">
        <v>932</v>
      </c>
      <c r="J1980">
        <v>0</v>
      </c>
      <c r="K1980">
        <v>932</v>
      </c>
      <c r="L1980">
        <v>439802.22</v>
      </c>
      <c r="M1980">
        <v>0</v>
      </c>
      <c r="N1980">
        <v>439802.22</v>
      </c>
      <c r="O1980">
        <v>158937.79999999999</v>
      </c>
      <c r="P1980">
        <v>280864.42</v>
      </c>
      <c r="Q1980">
        <v>0.63859999999999995</v>
      </c>
      <c r="R1980">
        <v>60</v>
      </c>
      <c r="S1980">
        <v>55235.38</v>
      </c>
      <c r="T1980">
        <v>0</v>
      </c>
      <c r="U1980">
        <v>723.36</v>
      </c>
    </row>
    <row r="1981" spans="1:21" x14ac:dyDescent="0.35">
      <c r="A1981">
        <v>2026</v>
      </c>
      <c r="B1981">
        <v>2</v>
      </c>
      <c r="C1981">
        <v>1</v>
      </c>
      <c r="D1981" s="1">
        <v>46054</v>
      </c>
      <c r="E1981" s="4" t="s">
        <v>23</v>
      </c>
      <c r="F1981" s="4" t="s">
        <v>35</v>
      </c>
      <c r="G1981" s="4" t="s">
        <v>109</v>
      </c>
      <c r="H1981">
        <v>1</v>
      </c>
      <c r="I1981">
        <v>1</v>
      </c>
      <c r="J1981">
        <v>0</v>
      </c>
      <c r="K1981">
        <v>1</v>
      </c>
      <c r="L1981">
        <v>486</v>
      </c>
      <c r="M1981">
        <v>0</v>
      </c>
      <c r="N1981">
        <v>486</v>
      </c>
      <c r="O1981">
        <v>97.2</v>
      </c>
      <c r="P1981">
        <v>388.8</v>
      </c>
      <c r="Q1981">
        <v>0.8</v>
      </c>
      <c r="R1981">
        <v>0</v>
      </c>
      <c r="S1981">
        <v>0</v>
      </c>
      <c r="T1981">
        <v>0</v>
      </c>
      <c r="U1981">
        <v>486</v>
      </c>
    </row>
    <row r="1982" spans="1:21" x14ac:dyDescent="0.35">
      <c r="A1982">
        <v>2026</v>
      </c>
      <c r="B1982">
        <v>2</v>
      </c>
      <c r="C1982">
        <v>1</v>
      </c>
      <c r="D1982" s="1">
        <v>46054</v>
      </c>
      <c r="E1982" s="4" t="s">
        <v>23</v>
      </c>
      <c r="F1982" s="4" t="s">
        <v>24</v>
      </c>
      <c r="G1982" s="4" t="s">
        <v>107</v>
      </c>
      <c r="H1982">
        <v>54</v>
      </c>
      <c r="I1982">
        <v>78</v>
      </c>
      <c r="J1982">
        <v>1</v>
      </c>
      <c r="K1982">
        <v>77</v>
      </c>
      <c r="L1982">
        <v>133469.09</v>
      </c>
      <c r="M1982">
        <v>1271</v>
      </c>
      <c r="N1982">
        <v>132198.09</v>
      </c>
      <c r="O1982">
        <v>77203.5</v>
      </c>
      <c r="P1982">
        <v>54994.59</v>
      </c>
      <c r="Q1982">
        <v>0.41599999999999998</v>
      </c>
      <c r="R1982">
        <v>6</v>
      </c>
      <c r="S1982">
        <v>30020.09</v>
      </c>
      <c r="T1982">
        <v>0</v>
      </c>
      <c r="U1982">
        <v>2448.11</v>
      </c>
    </row>
    <row r="1983" spans="1:21" x14ac:dyDescent="0.35">
      <c r="A1983">
        <v>2026</v>
      </c>
      <c r="B1983">
        <v>2</v>
      </c>
      <c r="C1983">
        <v>1</v>
      </c>
      <c r="D1983" s="1">
        <v>46054</v>
      </c>
      <c r="E1983" s="4" t="s">
        <v>23</v>
      </c>
      <c r="F1983" s="4" t="s">
        <v>24</v>
      </c>
      <c r="G1983" s="4" t="s">
        <v>109</v>
      </c>
      <c r="H1983">
        <v>121</v>
      </c>
      <c r="I1983">
        <v>171</v>
      </c>
      <c r="J1983">
        <v>7</v>
      </c>
      <c r="K1983">
        <v>164</v>
      </c>
      <c r="L1983">
        <v>204781.94</v>
      </c>
      <c r="M1983">
        <v>8841</v>
      </c>
      <c r="N1983">
        <v>195940.94</v>
      </c>
      <c r="O1983">
        <v>110737.55</v>
      </c>
      <c r="P1983">
        <v>85203.39</v>
      </c>
      <c r="Q1983">
        <v>0.43480000000000002</v>
      </c>
      <c r="R1983">
        <v>6</v>
      </c>
      <c r="S1983">
        <v>16935.47</v>
      </c>
      <c r="T1983">
        <v>0</v>
      </c>
      <c r="U1983">
        <v>1619.35</v>
      </c>
    </row>
    <row r="1984" spans="1:21" x14ac:dyDescent="0.35">
      <c r="A1984">
        <v>2026</v>
      </c>
      <c r="B1984">
        <v>2</v>
      </c>
      <c r="C1984">
        <v>1</v>
      </c>
      <c r="D1984" s="1">
        <v>46054</v>
      </c>
      <c r="E1984" s="4" t="s">
        <v>23</v>
      </c>
      <c r="F1984" s="4" t="s">
        <v>26</v>
      </c>
      <c r="G1984" s="4" t="s">
        <v>107</v>
      </c>
      <c r="H1984">
        <v>15</v>
      </c>
      <c r="I1984">
        <v>22</v>
      </c>
      <c r="J1984">
        <v>0</v>
      </c>
      <c r="K1984">
        <v>22</v>
      </c>
      <c r="L1984">
        <v>12131.32</v>
      </c>
      <c r="M1984">
        <v>0</v>
      </c>
      <c r="N1984">
        <v>12131.32</v>
      </c>
      <c r="O1984">
        <v>7729.8</v>
      </c>
      <c r="P1984">
        <v>4401.5200000000004</v>
      </c>
      <c r="Q1984">
        <v>0.36280000000000001</v>
      </c>
      <c r="R1984">
        <v>2</v>
      </c>
      <c r="S1984">
        <v>1558.32</v>
      </c>
      <c r="T1984">
        <v>0</v>
      </c>
      <c r="U1984">
        <v>808.75</v>
      </c>
    </row>
    <row r="1985" spans="1:21" x14ac:dyDescent="0.35">
      <c r="A1985">
        <v>2026</v>
      </c>
      <c r="B1985">
        <v>2</v>
      </c>
      <c r="C1985">
        <v>1</v>
      </c>
      <c r="D1985" s="1">
        <v>46054</v>
      </c>
      <c r="E1985" s="4" t="s">
        <v>23</v>
      </c>
      <c r="F1985" s="4" t="s">
        <v>26</v>
      </c>
      <c r="G1985" s="4" t="s">
        <v>109</v>
      </c>
      <c r="H1985">
        <v>29</v>
      </c>
      <c r="I1985">
        <v>37</v>
      </c>
      <c r="J1985">
        <v>3</v>
      </c>
      <c r="K1985">
        <v>34</v>
      </c>
      <c r="L1985">
        <v>23105.37</v>
      </c>
      <c r="M1985">
        <v>1995</v>
      </c>
      <c r="N1985">
        <v>21110.37</v>
      </c>
      <c r="O1985">
        <v>12864</v>
      </c>
      <c r="P1985">
        <v>8246.3700000000008</v>
      </c>
      <c r="Q1985">
        <v>0.3906</v>
      </c>
      <c r="R1985">
        <v>2</v>
      </c>
      <c r="S1985">
        <v>2479.37</v>
      </c>
      <c r="T1985">
        <v>0</v>
      </c>
      <c r="U1985">
        <v>727.94</v>
      </c>
    </row>
    <row r="1986" spans="1:21" x14ac:dyDescent="0.35">
      <c r="A1986">
        <v>2026</v>
      </c>
      <c r="B1986">
        <v>2</v>
      </c>
      <c r="C1986">
        <v>1</v>
      </c>
      <c r="D1986" s="1">
        <v>46054</v>
      </c>
      <c r="E1986" s="4" t="s">
        <v>25</v>
      </c>
      <c r="F1986" s="4" t="s">
        <v>28</v>
      </c>
      <c r="G1986" s="4" t="s">
        <v>107</v>
      </c>
      <c r="H1986">
        <v>30</v>
      </c>
      <c r="I1986">
        <v>44</v>
      </c>
      <c r="J1986">
        <v>0</v>
      </c>
      <c r="K1986">
        <v>44</v>
      </c>
      <c r="L1986">
        <v>21122.5</v>
      </c>
      <c r="M1986">
        <v>0</v>
      </c>
      <c r="N1986">
        <v>21122.5</v>
      </c>
      <c r="O1986">
        <v>7653.8</v>
      </c>
      <c r="P1986">
        <v>13468.7</v>
      </c>
      <c r="Q1986">
        <v>0.63759999999999994</v>
      </c>
      <c r="R1986">
        <v>3</v>
      </c>
      <c r="S1986">
        <v>3230.5</v>
      </c>
      <c r="T1986">
        <v>0</v>
      </c>
      <c r="U1986">
        <v>704.08</v>
      </c>
    </row>
    <row r="1987" spans="1:21" x14ac:dyDescent="0.35">
      <c r="A1987">
        <v>2026</v>
      </c>
      <c r="B1987">
        <v>2</v>
      </c>
      <c r="C1987">
        <v>1</v>
      </c>
      <c r="D1987" s="1">
        <v>46054</v>
      </c>
      <c r="E1987" s="4" t="s">
        <v>25</v>
      </c>
      <c r="F1987" s="4" t="s">
        <v>28</v>
      </c>
      <c r="G1987" s="4" t="s">
        <v>109</v>
      </c>
      <c r="H1987">
        <v>647</v>
      </c>
      <c r="I1987">
        <v>962</v>
      </c>
      <c r="J1987">
        <v>0</v>
      </c>
      <c r="K1987">
        <v>962</v>
      </c>
      <c r="L1987">
        <v>509371.66</v>
      </c>
      <c r="M1987">
        <v>0</v>
      </c>
      <c r="N1987">
        <v>509371.66</v>
      </c>
      <c r="O1987">
        <v>183715</v>
      </c>
      <c r="P1987">
        <v>325656.65999999997</v>
      </c>
      <c r="Q1987">
        <v>0.63929999999999998</v>
      </c>
      <c r="R1987">
        <v>61</v>
      </c>
      <c r="S1987">
        <v>62734.66</v>
      </c>
      <c r="T1987">
        <v>0</v>
      </c>
      <c r="U1987">
        <v>787.28</v>
      </c>
    </row>
    <row r="1988" spans="1:21" x14ac:dyDescent="0.35">
      <c r="A1988">
        <v>2026</v>
      </c>
      <c r="B1988">
        <v>2</v>
      </c>
      <c r="C1988">
        <v>1</v>
      </c>
      <c r="D1988" s="1">
        <v>46054</v>
      </c>
      <c r="E1988" s="4" t="s">
        <v>25</v>
      </c>
      <c r="F1988" s="4" t="s">
        <v>24</v>
      </c>
      <c r="G1988" s="4" t="s">
        <v>107</v>
      </c>
      <c r="H1988">
        <v>27</v>
      </c>
      <c r="I1988">
        <v>45</v>
      </c>
      <c r="J1988">
        <v>1</v>
      </c>
      <c r="K1988">
        <v>44</v>
      </c>
      <c r="L1988">
        <v>83766.429999999993</v>
      </c>
      <c r="M1988">
        <v>1584</v>
      </c>
      <c r="N1988">
        <v>82182.429999999993</v>
      </c>
      <c r="O1988">
        <v>46661.45</v>
      </c>
      <c r="P1988">
        <v>35520.980000000003</v>
      </c>
      <c r="Q1988">
        <v>0.43219999999999997</v>
      </c>
      <c r="R1988">
        <v>3</v>
      </c>
      <c r="S1988">
        <v>13238.43</v>
      </c>
      <c r="T1988">
        <v>0</v>
      </c>
      <c r="U1988">
        <v>3043.79</v>
      </c>
    </row>
    <row r="1989" spans="1:21" x14ac:dyDescent="0.35">
      <c r="A1989">
        <v>2026</v>
      </c>
      <c r="B1989">
        <v>2</v>
      </c>
      <c r="C1989">
        <v>1</v>
      </c>
      <c r="D1989" s="1">
        <v>46054</v>
      </c>
      <c r="E1989" s="4" t="s">
        <v>25</v>
      </c>
      <c r="F1989" s="4" t="s">
        <v>24</v>
      </c>
      <c r="G1989" s="4" t="s">
        <v>109</v>
      </c>
      <c r="H1989">
        <v>183</v>
      </c>
      <c r="I1989">
        <v>273</v>
      </c>
      <c r="J1989">
        <v>8</v>
      </c>
      <c r="K1989">
        <v>265</v>
      </c>
      <c r="L1989">
        <v>412020.31</v>
      </c>
      <c r="M1989">
        <v>13868.68</v>
      </c>
      <c r="N1989">
        <v>398151.63</v>
      </c>
      <c r="O1989">
        <v>226824.95</v>
      </c>
      <c r="P1989">
        <v>171326.68</v>
      </c>
      <c r="Q1989">
        <v>0.43030000000000002</v>
      </c>
      <c r="R1989">
        <v>23</v>
      </c>
      <c r="S1989">
        <v>67007.63</v>
      </c>
      <c r="T1989">
        <v>0</v>
      </c>
      <c r="U1989">
        <v>2175.69</v>
      </c>
    </row>
    <row r="1990" spans="1:21" x14ac:dyDescent="0.35">
      <c r="A1990">
        <v>2026</v>
      </c>
      <c r="B1990">
        <v>2</v>
      </c>
      <c r="C1990">
        <v>1</v>
      </c>
      <c r="D1990" s="1">
        <v>46054</v>
      </c>
      <c r="E1990" s="4" t="s">
        <v>25</v>
      </c>
      <c r="F1990" s="4" t="s">
        <v>26</v>
      </c>
      <c r="G1990" s="4" t="s">
        <v>107</v>
      </c>
      <c r="H1990">
        <v>16</v>
      </c>
      <c r="I1990">
        <v>22</v>
      </c>
      <c r="J1990">
        <v>0</v>
      </c>
      <c r="K1990">
        <v>22</v>
      </c>
      <c r="L1990">
        <v>19930.32</v>
      </c>
      <c r="M1990">
        <v>0</v>
      </c>
      <c r="N1990">
        <v>19930.32</v>
      </c>
      <c r="O1990">
        <v>12492</v>
      </c>
      <c r="P1990">
        <v>7438.32</v>
      </c>
      <c r="Q1990">
        <v>0.37319999999999998</v>
      </c>
      <c r="R1990">
        <v>4</v>
      </c>
      <c r="S1990">
        <v>5173.32</v>
      </c>
      <c r="T1990">
        <v>0</v>
      </c>
      <c r="U1990">
        <v>1245.6500000000001</v>
      </c>
    </row>
    <row r="1991" spans="1:21" x14ac:dyDescent="0.35">
      <c r="A1991">
        <v>2026</v>
      </c>
      <c r="B1991">
        <v>2</v>
      </c>
      <c r="C1991">
        <v>1</v>
      </c>
      <c r="D1991" s="1">
        <v>46054</v>
      </c>
      <c r="E1991" s="4" t="s">
        <v>25</v>
      </c>
      <c r="F1991" s="4" t="s">
        <v>26</v>
      </c>
      <c r="G1991" s="4" t="s">
        <v>109</v>
      </c>
      <c r="H1991">
        <v>46</v>
      </c>
      <c r="I1991">
        <v>68</v>
      </c>
      <c r="J1991">
        <v>1</v>
      </c>
      <c r="K1991">
        <v>67</v>
      </c>
      <c r="L1991">
        <v>46899.24</v>
      </c>
      <c r="M1991">
        <v>490.68</v>
      </c>
      <c r="N1991">
        <v>46408.56</v>
      </c>
      <c r="O1991">
        <v>28395.599999999999</v>
      </c>
      <c r="P1991">
        <v>18012.96</v>
      </c>
      <c r="Q1991">
        <v>0.3881</v>
      </c>
      <c r="R1991">
        <v>6</v>
      </c>
      <c r="S1991">
        <v>4041.56</v>
      </c>
      <c r="T1991">
        <v>0</v>
      </c>
      <c r="U1991">
        <v>1008.88</v>
      </c>
    </row>
    <row r="1992" spans="1:21" x14ac:dyDescent="0.35">
      <c r="A1992">
        <v>2026</v>
      </c>
      <c r="B1992">
        <v>2</v>
      </c>
      <c r="C1992">
        <v>1</v>
      </c>
      <c r="D1992" s="1">
        <v>46054</v>
      </c>
      <c r="E1992" s="4" t="s">
        <v>29</v>
      </c>
      <c r="F1992" s="4" t="s">
        <v>28</v>
      </c>
      <c r="G1992" s="4" t="s">
        <v>107</v>
      </c>
      <c r="H1992">
        <v>205</v>
      </c>
      <c r="I1992">
        <v>301</v>
      </c>
      <c r="J1992">
        <v>0</v>
      </c>
      <c r="K1992">
        <v>301</v>
      </c>
      <c r="L1992">
        <v>145926.96</v>
      </c>
      <c r="M1992">
        <v>0</v>
      </c>
      <c r="N1992">
        <v>145926.96</v>
      </c>
      <c r="O1992">
        <v>52613.4</v>
      </c>
      <c r="P1992">
        <v>93313.56</v>
      </c>
      <c r="Q1992">
        <v>0.63949999999999996</v>
      </c>
      <c r="R1992">
        <v>22</v>
      </c>
      <c r="S1992">
        <v>18203.88</v>
      </c>
      <c r="T1992">
        <v>0</v>
      </c>
      <c r="U1992">
        <v>711.84</v>
      </c>
    </row>
    <row r="1993" spans="1:21" x14ac:dyDescent="0.35">
      <c r="A1993">
        <v>2026</v>
      </c>
      <c r="B1993">
        <v>2</v>
      </c>
      <c r="C1993">
        <v>1</v>
      </c>
      <c r="D1993" s="1">
        <v>46054</v>
      </c>
      <c r="E1993" s="4" t="s">
        <v>29</v>
      </c>
      <c r="F1993" s="4" t="s">
        <v>28</v>
      </c>
      <c r="G1993" s="4" t="s">
        <v>108</v>
      </c>
      <c r="H1993">
        <v>26</v>
      </c>
      <c r="I1993">
        <v>48</v>
      </c>
      <c r="J1993">
        <v>0</v>
      </c>
      <c r="K1993">
        <v>48</v>
      </c>
      <c r="L1993">
        <v>26976.959999999999</v>
      </c>
      <c r="M1993">
        <v>0</v>
      </c>
      <c r="N1993">
        <v>26976.959999999999</v>
      </c>
      <c r="O1993">
        <v>10214.4</v>
      </c>
      <c r="P1993">
        <v>16762.560000000001</v>
      </c>
      <c r="Q1993">
        <v>0.62139999999999995</v>
      </c>
      <c r="R1993">
        <v>5</v>
      </c>
      <c r="S1993">
        <v>9344.9599999999991</v>
      </c>
      <c r="T1993">
        <v>0</v>
      </c>
      <c r="U1993">
        <v>1037.58</v>
      </c>
    </row>
    <row r="1994" spans="1:21" x14ac:dyDescent="0.35">
      <c r="A1994">
        <v>2026</v>
      </c>
      <c r="B1994">
        <v>2</v>
      </c>
      <c r="C1994">
        <v>1</v>
      </c>
      <c r="D1994" s="1">
        <v>46054</v>
      </c>
      <c r="E1994" s="4" t="s">
        <v>29</v>
      </c>
      <c r="F1994" s="4" t="s">
        <v>28</v>
      </c>
      <c r="G1994" s="4" t="s">
        <v>109</v>
      </c>
      <c r="H1994">
        <v>888</v>
      </c>
      <c r="I1994">
        <v>1329</v>
      </c>
      <c r="J1994">
        <v>0</v>
      </c>
      <c r="K1994">
        <v>1329</v>
      </c>
      <c r="L1994">
        <v>643583.71</v>
      </c>
      <c r="M1994">
        <v>0</v>
      </c>
      <c r="N1994">
        <v>643583.71</v>
      </c>
      <c r="O1994">
        <v>232586.2</v>
      </c>
      <c r="P1994">
        <v>410997.51</v>
      </c>
      <c r="Q1994">
        <v>0.63859999999999995</v>
      </c>
      <c r="R1994">
        <v>111</v>
      </c>
      <c r="S1994">
        <v>93105.11</v>
      </c>
      <c r="T1994">
        <v>0</v>
      </c>
      <c r="U1994">
        <v>724.76</v>
      </c>
    </row>
    <row r="1995" spans="1:21" x14ac:dyDescent="0.35">
      <c r="A1995">
        <v>2026</v>
      </c>
      <c r="B1995">
        <v>2</v>
      </c>
      <c r="C1995">
        <v>1</v>
      </c>
      <c r="D1995" s="1">
        <v>46054</v>
      </c>
      <c r="E1995" s="4" t="s">
        <v>29</v>
      </c>
      <c r="F1995" s="4" t="s">
        <v>24</v>
      </c>
      <c r="G1995" s="4" t="s">
        <v>107</v>
      </c>
      <c r="H1995">
        <v>4</v>
      </c>
      <c r="I1995">
        <v>5</v>
      </c>
      <c r="J1995">
        <v>0</v>
      </c>
      <c r="K1995">
        <v>5</v>
      </c>
      <c r="L1995">
        <v>4320</v>
      </c>
      <c r="M1995">
        <v>0</v>
      </c>
      <c r="N1995">
        <v>4320</v>
      </c>
      <c r="O1995">
        <v>2376</v>
      </c>
      <c r="P1995">
        <v>1944</v>
      </c>
      <c r="Q1995">
        <v>0.45</v>
      </c>
      <c r="R1995">
        <v>0</v>
      </c>
      <c r="S1995">
        <v>0</v>
      </c>
      <c r="T1995">
        <v>0</v>
      </c>
      <c r="U1995">
        <v>1080</v>
      </c>
    </row>
    <row r="1996" spans="1:21" x14ac:dyDescent="0.35">
      <c r="A1996">
        <v>2026</v>
      </c>
      <c r="B1996">
        <v>2</v>
      </c>
      <c r="C1996">
        <v>1</v>
      </c>
      <c r="D1996" s="1">
        <v>46054</v>
      </c>
      <c r="E1996" s="4" t="s">
        <v>29</v>
      </c>
      <c r="F1996" s="4" t="s">
        <v>24</v>
      </c>
      <c r="G1996" s="4" t="s">
        <v>108</v>
      </c>
      <c r="H1996">
        <v>13</v>
      </c>
      <c r="I1996">
        <v>17</v>
      </c>
      <c r="J1996">
        <v>0</v>
      </c>
      <c r="K1996">
        <v>17</v>
      </c>
      <c r="L1996">
        <v>12614</v>
      </c>
      <c r="M1996">
        <v>0</v>
      </c>
      <c r="N1996">
        <v>12614</v>
      </c>
      <c r="O1996">
        <v>6937.7</v>
      </c>
      <c r="P1996">
        <v>5676.3</v>
      </c>
      <c r="Q1996">
        <v>0.45</v>
      </c>
      <c r="R1996">
        <v>0</v>
      </c>
      <c r="S1996">
        <v>0</v>
      </c>
      <c r="T1996">
        <v>0</v>
      </c>
      <c r="U1996">
        <v>970.31</v>
      </c>
    </row>
    <row r="1997" spans="1:21" x14ac:dyDescent="0.35">
      <c r="A1997">
        <v>2026</v>
      </c>
      <c r="B1997">
        <v>2</v>
      </c>
      <c r="C1997">
        <v>1</v>
      </c>
      <c r="D1997" s="1">
        <v>46054</v>
      </c>
      <c r="E1997" s="4" t="s">
        <v>29</v>
      </c>
      <c r="F1997" s="4" t="s">
        <v>24</v>
      </c>
      <c r="G1997" s="4" t="s">
        <v>109</v>
      </c>
      <c r="H1997">
        <v>148</v>
      </c>
      <c r="I1997">
        <v>214</v>
      </c>
      <c r="J1997">
        <v>8</v>
      </c>
      <c r="K1997">
        <v>206</v>
      </c>
      <c r="L1997">
        <v>445191.55</v>
      </c>
      <c r="M1997">
        <v>18151</v>
      </c>
      <c r="N1997">
        <v>427040.55</v>
      </c>
      <c r="O1997">
        <v>243518.55</v>
      </c>
      <c r="P1997">
        <v>183522</v>
      </c>
      <c r="Q1997">
        <v>0.42980000000000002</v>
      </c>
      <c r="R1997">
        <v>14</v>
      </c>
      <c r="S1997">
        <v>54281.25</v>
      </c>
      <c r="T1997">
        <v>0</v>
      </c>
      <c r="U1997">
        <v>2885.41</v>
      </c>
    </row>
    <row r="1998" spans="1:21" x14ac:dyDescent="0.35">
      <c r="A1998">
        <v>2026</v>
      </c>
      <c r="B1998">
        <v>2</v>
      </c>
      <c r="C1998">
        <v>1</v>
      </c>
      <c r="D1998" s="1">
        <v>46054</v>
      </c>
      <c r="E1998" s="4" t="s">
        <v>29</v>
      </c>
      <c r="F1998" s="4" t="s">
        <v>26</v>
      </c>
      <c r="G1998" s="4" t="s">
        <v>107</v>
      </c>
      <c r="H1998">
        <v>13</v>
      </c>
      <c r="I1998">
        <v>18</v>
      </c>
      <c r="J1998">
        <v>0</v>
      </c>
      <c r="K1998">
        <v>18</v>
      </c>
      <c r="L1998">
        <v>8467.08</v>
      </c>
      <c r="M1998">
        <v>0</v>
      </c>
      <c r="N1998">
        <v>8467.08</v>
      </c>
      <c r="O1998">
        <v>5184.6000000000004</v>
      </c>
      <c r="P1998">
        <v>3282.48</v>
      </c>
      <c r="Q1998">
        <v>0.38769999999999999</v>
      </c>
      <c r="R1998">
        <v>1</v>
      </c>
      <c r="S1998">
        <v>913.08</v>
      </c>
      <c r="T1998">
        <v>0</v>
      </c>
      <c r="U1998">
        <v>651.30999999999995</v>
      </c>
    </row>
    <row r="1999" spans="1:21" x14ac:dyDescent="0.35">
      <c r="A1999">
        <v>2026</v>
      </c>
      <c r="B1999">
        <v>2</v>
      </c>
      <c r="C1999">
        <v>1</v>
      </c>
      <c r="D1999" s="1">
        <v>46054</v>
      </c>
      <c r="E1999" s="4" t="s">
        <v>29</v>
      </c>
      <c r="F1999" s="4" t="s">
        <v>26</v>
      </c>
      <c r="G1999" s="4" t="s">
        <v>109</v>
      </c>
      <c r="H1999">
        <v>38</v>
      </c>
      <c r="I1999">
        <v>57</v>
      </c>
      <c r="J1999">
        <v>1</v>
      </c>
      <c r="K1999">
        <v>56</v>
      </c>
      <c r="L1999">
        <v>47395.16</v>
      </c>
      <c r="M1999">
        <v>1109</v>
      </c>
      <c r="N1999">
        <v>46286.16</v>
      </c>
      <c r="O1999">
        <v>28245</v>
      </c>
      <c r="P1999">
        <v>18041.16</v>
      </c>
      <c r="Q1999">
        <v>0.38979999999999998</v>
      </c>
      <c r="R1999">
        <v>3</v>
      </c>
      <c r="S1999">
        <v>3070.16</v>
      </c>
      <c r="T1999">
        <v>0</v>
      </c>
      <c r="U1999">
        <v>1218.06</v>
      </c>
    </row>
    <row r="2000" spans="1:21" x14ac:dyDescent="0.35">
      <c r="A2000">
        <v>2026</v>
      </c>
      <c r="B2000">
        <v>2</v>
      </c>
      <c r="C2000">
        <v>1</v>
      </c>
      <c r="D2000" s="1">
        <v>46054</v>
      </c>
      <c r="E2000" s="4" t="s">
        <v>31</v>
      </c>
      <c r="F2000" s="4" t="s">
        <v>28</v>
      </c>
      <c r="G2000" s="4" t="s">
        <v>107</v>
      </c>
      <c r="H2000">
        <v>64</v>
      </c>
      <c r="I2000">
        <v>94</v>
      </c>
      <c r="J2000">
        <v>0</v>
      </c>
      <c r="K2000">
        <v>94</v>
      </c>
      <c r="L2000">
        <v>36103.82</v>
      </c>
      <c r="M2000">
        <v>0</v>
      </c>
      <c r="N2000">
        <v>36103.82</v>
      </c>
      <c r="O2000">
        <v>13323.1</v>
      </c>
      <c r="P2000">
        <v>22780.720000000001</v>
      </c>
      <c r="Q2000">
        <v>0.63100000000000001</v>
      </c>
      <c r="R2000">
        <v>8</v>
      </c>
      <c r="S2000">
        <v>7121.82</v>
      </c>
      <c r="T2000">
        <v>0</v>
      </c>
      <c r="U2000">
        <v>564.12</v>
      </c>
    </row>
    <row r="2001" spans="1:21" x14ac:dyDescent="0.35">
      <c r="A2001">
        <v>2026</v>
      </c>
      <c r="B2001">
        <v>2</v>
      </c>
      <c r="C2001">
        <v>1</v>
      </c>
      <c r="D2001" s="1">
        <v>46054</v>
      </c>
      <c r="E2001" s="4" t="s">
        <v>31</v>
      </c>
      <c r="F2001" s="4" t="s">
        <v>28</v>
      </c>
      <c r="G2001" s="4" t="s">
        <v>108</v>
      </c>
      <c r="H2001">
        <v>263</v>
      </c>
      <c r="I2001">
        <v>388</v>
      </c>
      <c r="J2001">
        <v>0</v>
      </c>
      <c r="K2001">
        <v>388</v>
      </c>
      <c r="L2001">
        <v>151501.66</v>
      </c>
      <c r="M2001">
        <v>0</v>
      </c>
      <c r="N2001">
        <v>151501.66</v>
      </c>
      <c r="O2001">
        <v>54535.25</v>
      </c>
      <c r="P2001">
        <v>96966.41</v>
      </c>
      <c r="Q2001">
        <v>0.64</v>
      </c>
      <c r="R2001">
        <v>32</v>
      </c>
      <c r="S2001">
        <v>20112.66</v>
      </c>
      <c r="T2001">
        <v>0</v>
      </c>
      <c r="U2001">
        <v>576.04999999999995</v>
      </c>
    </row>
    <row r="2002" spans="1:21" x14ac:dyDescent="0.35">
      <c r="A2002">
        <v>2026</v>
      </c>
      <c r="B2002">
        <v>2</v>
      </c>
      <c r="C2002">
        <v>1</v>
      </c>
      <c r="D2002" s="1">
        <v>46054</v>
      </c>
      <c r="E2002" s="4" t="s">
        <v>31</v>
      </c>
      <c r="F2002" s="4" t="s">
        <v>28</v>
      </c>
      <c r="G2002" s="4" t="s">
        <v>109</v>
      </c>
      <c r="H2002">
        <v>929</v>
      </c>
      <c r="I2002">
        <v>1463</v>
      </c>
      <c r="J2002">
        <v>0</v>
      </c>
      <c r="K2002">
        <v>1463</v>
      </c>
      <c r="L2002">
        <v>707837.94</v>
      </c>
      <c r="M2002">
        <v>0</v>
      </c>
      <c r="N2002">
        <v>707837.94</v>
      </c>
      <c r="O2002">
        <v>257779.9</v>
      </c>
      <c r="P2002">
        <v>450058.04</v>
      </c>
      <c r="Q2002">
        <v>0.63580000000000003</v>
      </c>
      <c r="R2002">
        <v>130</v>
      </c>
      <c r="S2002">
        <v>118010.15</v>
      </c>
      <c r="T2002">
        <v>0</v>
      </c>
      <c r="U2002">
        <v>761.94</v>
      </c>
    </row>
    <row r="2003" spans="1:21" x14ac:dyDescent="0.35">
      <c r="A2003">
        <v>2026</v>
      </c>
      <c r="B2003">
        <v>2</v>
      </c>
      <c r="C2003">
        <v>1</v>
      </c>
      <c r="D2003" s="1">
        <v>46054</v>
      </c>
      <c r="E2003" s="4" t="s">
        <v>31</v>
      </c>
      <c r="F2003" s="4" t="s">
        <v>35</v>
      </c>
      <c r="G2003" s="4" t="s">
        <v>108</v>
      </c>
      <c r="H2003">
        <v>1</v>
      </c>
      <c r="I2003">
        <v>1</v>
      </c>
      <c r="J2003">
        <v>0</v>
      </c>
      <c r="K2003">
        <v>1</v>
      </c>
      <c r="L2003">
        <v>488</v>
      </c>
      <c r="M2003">
        <v>0</v>
      </c>
      <c r="N2003">
        <v>488</v>
      </c>
      <c r="O2003">
        <v>97.6</v>
      </c>
      <c r="P2003">
        <v>390.4</v>
      </c>
      <c r="Q2003">
        <v>0.8</v>
      </c>
      <c r="R2003">
        <v>0</v>
      </c>
      <c r="S2003">
        <v>0</v>
      </c>
      <c r="T2003">
        <v>0</v>
      </c>
      <c r="U2003">
        <v>488</v>
      </c>
    </row>
    <row r="2004" spans="1:21" x14ac:dyDescent="0.35">
      <c r="A2004">
        <v>2026</v>
      </c>
      <c r="B2004">
        <v>2</v>
      </c>
      <c r="C2004">
        <v>1</v>
      </c>
      <c r="D2004" s="1">
        <v>46054</v>
      </c>
      <c r="E2004" s="4" t="s">
        <v>31</v>
      </c>
      <c r="F2004" s="4" t="s">
        <v>35</v>
      </c>
      <c r="G2004" s="4" t="s">
        <v>109</v>
      </c>
      <c r="H2004">
        <v>1</v>
      </c>
      <c r="I2004">
        <v>1</v>
      </c>
      <c r="J2004">
        <v>0</v>
      </c>
      <c r="K2004">
        <v>1</v>
      </c>
      <c r="L2004">
        <v>302</v>
      </c>
      <c r="M2004">
        <v>0</v>
      </c>
      <c r="N2004">
        <v>302</v>
      </c>
      <c r="O2004">
        <v>60.4</v>
      </c>
      <c r="P2004">
        <v>241.6</v>
      </c>
      <c r="Q2004">
        <v>0.8</v>
      </c>
      <c r="R2004">
        <v>0</v>
      </c>
      <c r="S2004">
        <v>0</v>
      </c>
      <c r="T2004">
        <v>0</v>
      </c>
      <c r="U2004">
        <v>302</v>
      </c>
    </row>
    <row r="2005" spans="1:21" x14ac:dyDescent="0.35">
      <c r="A2005">
        <v>2026</v>
      </c>
      <c r="B2005">
        <v>2</v>
      </c>
      <c r="C2005">
        <v>1</v>
      </c>
      <c r="D2005" s="1">
        <v>46054</v>
      </c>
      <c r="E2005" s="4" t="s">
        <v>31</v>
      </c>
      <c r="F2005" s="4" t="s">
        <v>24</v>
      </c>
      <c r="G2005" s="4" t="s">
        <v>107</v>
      </c>
      <c r="H2005">
        <v>12</v>
      </c>
      <c r="I2005">
        <v>14</v>
      </c>
      <c r="J2005">
        <v>0</v>
      </c>
      <c r="K2005">
        <v>14</v>
      </c>
      <c r="L2005">
        <v>23511.9</v>
      </c>
      <c r="M2005">
        <v>0</v>
      </c>
      <c r="N2005">
        <v>23511.9</v>
      </c>
      <c r="O2005">
        <v>13937</v>
      </c>
      <c r="P2005">
        <v>9574.9</v>
      </c>
      <c r="Q2005">
        <v>0.40720000000000001</v>
      </c>
      <c r="R2005">
        <v>3</v>
      </c>
      <c r="S2005">
        <v>5411.9</v>
      </c>
      <c r="T2005">
        <v>0</v>
      </c>
      <c r="U2005">
        <v>1959.33</v>
      </c>
    </row>
    <row r="2006" spans="1:21" x14ac:dyDescent="0.35">
      <c r="A2006">
        <v>2026</v>
      </c>
      <c r="B2006">
        <v>2</v>
      </c>
      <c r="C2006">
        <v>1</v>
      </c>
      <c r="D2006" s="1">
        <v>46054</v>
      </c>
      <c r="E2006" s="4" t="s">
        <v>31</v>
      </c>
      <c r="F2006" s="4" t="s">
        <v>24</v>
      </c>
      <c r="G2006" s="4" t="s">
        <v>109</v>
      </c>
      <c r="H2006">
        <v>230</v>
      </c>
      <c r="I2006">
        <v>340</v>
      </c>
      <c r="J2006">
        <v>10</v>
      </c>
      <c r="K2006">
        <v>330</v>
      </c>
      <c r="L2006">
        <v>459956.44</v>
      </c>
      <c r="M2006">
        <v>17327.64</v>
      </c>
      <c r="N2006">
        <v>442628.8</v>
      </c>
      <c r="O2006">
        <v>252154.65</v>
      </c>
      <c r="P2006">
        <v>190474.15</v>
      </c>
      <c r="Q2006">
        <v>0.43030000000000002</v>
      </c>
      <c r="R2006">
        <v>27</v>
      </c>
      <c r="S2006">
        <v>62667.8</v>
      </c>
      <c r="T2006">
        <v>0</v>
      </c>
      <c r="U2006">
        <v>1924.47</v>
      </c>
    </row>
    <row r="2007" spans="1:21" x14ac:dyDescent="0.35">
      <c r="A2007">
        <v>2026</v>
      </c>
      <c r="B2007">
        <v>2</v>
      </c>
      <c r="C2007">
        <v>1</v>
      </c>
      <c r="D2007" s="1">
        <v>46054</v>
      </c>
      <c r="E2007" s="4" t="s">
        <v>31</v>
      </c>
      <c r="F2007" s="4" t="s">
        <v>26</v>
      </c>
      <c r="G2007" s="4" t="s">
        <v>107</v>
      </c>
      <c r="H2007">
        <v>1</v>
      </c>
      <c r="I2007">
        <v>1</v>
      </c>
      <c r="J2007">
        <v>0</v>
      </c>
      <c r="K2007">
        <v>1</v>
      </c>
      <c r="L2007">
        <v>370</v>
      </c>
      <c r="M2007">
        <v>0</v>
      </c>
      <c r="N2007">
        <v>370</v>
      </c>
      <c r="O2007">
        <v>222</v>
      </c>
      <c r="P2007">
        <v>148</v>
      </c>
      <c r="Q2007">
        <v>0.4</v>
      </c>
      <c r="R2007">
        <v>0</v>
      </c>
      <c r="S2007">
        <v>0</v>
      </c>
      <c r="T2007">
        <v>0</v>
      </c>
      <c r="U2007">
        <v>370</v>
      </c>
    </row>
    <row r="2008" spans="1:21" x14ac:dyDescent="0.35">
      <c r="A2008">
        <v>2026</v>
      </c>
      <c r="B2008">
        <v>2</v>
      </c>
      <c r="C2008">
        <v>1</v>
      </c>
      <c r="D2008" s="1">
        <v>46054</v>
      </c>
      <c r="E2008" s="4" t="s">
        <v>31</v>
      </c>
      <c r="F2008" s="4" t="s">
        <v>26</v>
      </c>
      <c r="G2008" s="4" t="s">
        <v>108</v>
      </c>
      <c r="H2008">
        <v>2</v>
      </c>
      <c r="I2008">
        <v>4</v>
      </c>
      <c r="J2008">
        <v>0</v>
      </c>
      <c r="K2008">
        <v>4</v>
      </c>
      <c r="L2008">
        <v>2845.32</v>
      </c>
      <c r="M2008">
        <v>0</v>
      </c>
      <c r="N2008">
        <v>2845.32</v>
      </c>
      <c r="O2008">
        <v>1897.2</v>
      </c>
      <c r="P2008">
        <v>948.12</v>
      </c>
      <c r="Q2008">
        <v>0.3332</v>
      </c>
      <c r="R2008">
        <v>1</v>
      </c>
      <c r="S2008">
        <v>2119.3200000000002</v>
      </c>
      <c r="T2008">
        <v>0</v>
      </c>
      <c r="U2008">
        <v>1422.66</v>
      </c>
    </row>
    <row r="2009" spans="1:21" x14ac:dyDescent="0.35">
      <c r="A2009">
        <v>2026</v>
      </c>
      <c r="B2009">
        <v>2</v>
      </c>
      <c r="C2009">
        <v>1</v>
      </c>
      <c r="D2009" s="1">
        <v>46054</v>
      </c>
      <c r="E2009" s="4" t="s">
        <v>31</v>
      </c>
      <c r="F2009" s="4" t="s">
        <v>26</v>
      </c>
      <c r="G2009" s="4" t="s">
        <v>109</v>
      </c>
      <c r="H2009">
        <v>40</v>
      </c>
      <c r="I2009">
        <v>58</v>
      </c>
      <c r="J2009">
        <v>0</v>
      </c>
      <c r="K2009">
        <v>58</v>
      </c>
      <c r="L2009">
        <v>48654.05</v>
      </c>
      <c r="M2009">
        <v>0</v>
      </c>
      <c r="N2009">
        <v>48654.05</v>
      </c>
      <c r="O2009">
        <v>30037.200000000001</v>
      </c>
      <c r="P2009">
        <v>18616.849999999999</v>
      </c>
      <c r="Q2009">
        <v>0.3826</v>
      </c>
      <c r="R2009">
        <v>6</v>
      </c>
      <c r="S2009">
        <v>7983.05</v>
      </c>
      <c r="T2009">
        <v>0</v>
      </c>
      <c r="U2009">
        <v>1216.3499999999999</v>
      </c>
    </row>
    <row r="2010" spans="1:21" x14ac:dyDescent="0.35">
      <c r="A2010">
        <v>2026</v>
      </c>
      <c r="B2010">
        <v>2</v>
      </c>
      <c r="C2010">
        <v>1</v>
      </c>
      <c r="D2010" s="1">
        <v>46054</v>
      </c>
      <c r="E2010" s="4" t="s">
        <v>30</v>
      </c>
      <c r="F2010" s="4" t="s">
        <v>28</v>
      </c>
      <c r="G2010" s="4" t="s">
        <v>107</v>
      </c>
      <c r="H2010">
        <v>106</v>
      </c>
      <c r="I2010">
        <v>161</v>
      </c>
      <c r="J2010">
        <v>0</v>
      </c>
      <c r="K2010">
        <v>161</v>
      </c>
      <c r="L2010">
        <v>70116.97</v>
      </c>
      <c r="M2010">
        <v>0</v>
      </c>
      <c r="N2010">
        <v>70116.97</v>
      </c>
      <c r="O2010">
        <v>25413.85</v>
      </c>
      <c r="P2010">
        <v>44703.12</v>
      </c>
      <c r="Q2010">
        <v>0.63759999999999994</v>
      </c>
      <c r="R2010">
        <v>12</v>
      </c>
      <c r="S2010">
        <v>9231.9699999999993</v>
      </c>
      <c r="T2010">
        <v>0</v>
      </c>
      <c r="U2010">
        <v>661.48</v>
      </c>
    </row>
    <row r="2011" spans="1:21" x14ac:dyDescent="0.35">
      <c r="A2011">
        <v>2026</v>
      </c>
      <c r="B2011">
        <v>2</v>
      </c>
      <c r="C2011">
        <v>1</v>
      </c>
      <c r="D2011" s="1">
        <v>46054</v>
      </c>
      <c r="E2011" s="4" t="s">
        <v>30</v>
      </c>
      <c r="F2011" s="4" t="s">
        <v>28</v>
      </c>
      <c r="G2011" s="4" t="s">
        <v>108</v>
      </c>
      <c r="H2011">
        <v>45</v>
      </c>
      <c r="I2011">
        <v>64</v>
      </c>
      <c r="J2011">
        <v>0</v>
      </c>
      <c r="K2011">
        <v>64</v>
      </c>
      <c r="L2011">
        <v>37201.35</v>
      </c>
      <c r="M2011">
        <v>0</v>
      </c>
      <c r="N2011">
        <v>37201.35</v>
      </c>
      <c r="O2011">
        <v>13776</v>
      </c>
      <c r="P2011">
        <v>23425.35</v>
      </c>
      <c r="Q2011">
        <v>0.62970000000000004</v>
      </c>
      <c r="R2011">
        <v>7</v>
      </c>
      <c r="S2011">
        <v>7681.35</v>
      </c>
      <c r="T2011">
        <v>0</v>
      </c>
      <c r="U2011">
        <v>826.7</v>
      </c>
    </row>
    <row r="2012" spans="1:21" x14ac:dyDescent="0.35">
      <c r="A2012">
        <v>2026</v>
      </c>
      <c r="B2012">
        <v>2</v>
      </c>
      <c r="C2012">
        <v>1</v>
      </c>
      <c r="D2012" s="1">
        <v>46054</v>
      </c>
      <c r="E2012" s="4" t="s">
        <v>30</v>
      </c>
      <c r="F2012" s="4" t="s">
        <v>28</v>
      </c>
      <c r="G2012" s="4" t="s">
        <v>109</v>
      </c>
      <c r="H2012">
        <v>649</v>
      </c>
      <c r="I2012">
        <v>997</v>
      </c>
      <c r="J2012">
        <v>0</v>
      </c>
      <c r="K2012">
        <v>997</v>
      </c>
      <c r="L2012">
        <v>391042.35</v>
      </c>
      <c r="M2012">
        <v>0</v>
      </c>
      <c r="N2012">
        <v>391042.35</v>
      </c>
      <c r="O2012">
        <v>143464.29999999999</v>
      </c>
      <c r="P2012">
        <v>247578.05</v>
      </c>
      <c r="Q2012">
        <v>0.6331</v>
      </c>
      <c r="R2012">
        <v>90</v>
      </c>
      <c r="S2012">
        <v>73600.179999999993</v>
      </c>
      <c r="T2012">
        <v>0</v>
      </c>
      <c r="U2012">
        <v>602.53</v>
      </c>
    </row>
    <row r="2013" spans="1:21" x14ac:dyDescent="0.35">
      <c r="A2013">
        <v>2026</v>
      </c>
      <c r="B2013">
        <v>2</v>
      </c>
      <c r="C2013">
        <v>1</v>
      </c>
      <c r="D2013" s="1">
        <v>46054</v>
      </c>
      <c r="E2013" s="4" t="s">
        <v>30</v>
      </c>
      <c r="F2013" s="4" t="s">
        <v>24</v>
      </c>
      <c r="G2013" s="4" t="s">
        <v>107</v>
      </c>
      <c r="H2013">
        <v>66</v>
      </c>
      <c r="I2013">
        <v>92</v>
      </c>
      <c r="J2013">
        <v>0</v>
      </c>
      <c r="K2013">
        <v>92</v>
      </c>
      <c r="L2013">
        <v>179516.09</v>
      </c>
      <c r="M2013">
        <v>0</v>
      </c>
      <c r="N2013">
        <v>179516.09</v>
      </c>
      <c r="O2013">
        <v>100382.15</v>
      </c>
      <c r="P2013">
        <v>79133.94</v>
      </c>
      <c r="Q2013">
        <v>0.44080000000000003</v>
      </c>
      <c r="R2013">
        <v>5</v>
      </c>
      <c r="S2013">
        <v>16372.09</v>
      </c>
      <c r="T2013">
        <v>0</v>
      </c>
      <c r="U2013">
        <v>2719.94</v>
      </c>
    </row>
    <row r="2014" spans="1:21" x14ac:dyDescent="0.35">
      <c r="A2014">
        <v>2026</v>
      </c>
      <c r="B2014">
        <v>2</v>
      </c>
      <c r="C2014">
        <v>1</v>
      </c>
      <c r="D2014" s="1">
        <v>46054</v>
      </c>
      <c r="E2014" s="4" t="s">
        <v>30</v>
      </c>
      <c r="F2014" s="4" t="s">
        <v>24</v>
      </c>
      <c r="G2014" s="4" t="s">
        <v>108</v>
      </c>
      <c r="H2014">
        <v>7</v>
      </c>
      <c r="I2014">
        <v>9</v>
      </c>
      <c r="J2014">
        <v>0</v>
      </c>
      <c r="K2014">
        <v>9</v>
      </c>
      <c r="L2014">
        <v>21681</v>
      </c>
      <c r="M2014">
        <v>0</v>
      </c>
      <c r="N2014">
        <v>21681</v>
      </c>
      <c r="O2014">
        <v>11924.55</v>
      </c>
      <c r="P2014">
        <v>9756.4500000000007</v>
      </c>
      <c r="Q2014">
        <v>0.45</v>
      </c>
      <c r="R2014">
        <v>0</v>
      </c>
      <c r="S2014">
        <v>0</v>
      </c>
      <c r="T2014">
        <v>0</v>
      </c>
      <c r="U2014">
        <v>3097.29</v>
      </c>
    </row>
    <row r="2015" spans="1:21" x14ac:dyDescent="0.35">
      <c r="A2015">
        <v>2026</v>
      </c>
      <c r="B2015">
        <v>2</v>
      </c>
      <c r="C2015">
        <v>1</v>
      </c>
      <c r="D2015" s="1">
        <v>46054</v>
      </c>
      <c r="E2015" s="4" t="s">
        <v>30</v>
      </c>
      <c r="F2015" s="4" t="s">
        <v>24</v>
      </c>
      <c r="G2015" s="4" t="s">
        <v>109</v>
      </c>
      <c r="H2015">
        <v>245</v>
      </c>
      <c r="I2015">
        <v>372</v>
      </c>
      <c r="J2015">
        <v>13</v>
      </c>
      <c r="K2015">
        <v>359</v>
      </c>
      <c r="L2015">
        <v>672200.04</v>
      </c>
      <c r="M2015">
        <v>24258</v>
      </c>
      <c r="N2015">
        <v>647942.04</v>
      </c>
      <c r="O2015">
        <v>370447.55</v>
      </c>
      <c r="P2015">
        <v>277494.49</v>
      </c>
      <c r="Q2015">
        <v>0.42830000000000001</v>
      </c>
      <c r="R2015">
        <v>30</v>
      </c>
      <c r="S2015">
        <v>112258.3</v>
      </c>
      <c r="T2015">
        <v>0</v>
      </c>
      <c r="U2015">
        <v>2644.66</v>
      </c>
    </row>
    <row r="2016" spans="1:21" x14ac:dyDescent="0.35">
      <c r="A2016">
        <v>2026</v>
      </c>
      <c r="B2016">
        <v>2</v>
      </c>
      <c r="C2016">
        <v>1</v>
      </c>
      <c r="D2016" s="1">
        <v>46054</v>
      </c>
      <c r="E2016" s="4" t="s">
        <v>30</v>
      </c>
      <c r="F2016" s="4" t="s">
        <v>26</v>
      </c>
      <c r="G2016" s="4" t="s">
        <v>107</v>
      </c>
      <c r="H2016">
        <v>3</v>
      </c>
      <c r="I2016">
        <v>7</v>
      </c>
      <c r="J2016">
        <v>0</v>
      </c>
      <c r="K2016">
        <v>7</v>
      </c>
      <c r="L2016">
        <v>6158.65</v>
      </c>
      <c r="M2016">
        <v>0</v>
      </c>
      <c r="N2016">
        <v>6158.65</v>
      </c>
      <c r="O2016">
        <v>3892.8</v>
      </c>
      <c r="P2016">
        <v>2265.85</v>
      </c>
      <c r="Q2016">
        <v>0.3679</v>
      </c>
      <c r="R2016">
        <v>2</v>
      </c>
      <c r="S2016">
        <v>3434.65</v>
      </c>
      <c r="T2016">
        <v>0</v>
      </c>
      <c r="U2016">
        <v>2052.88</v>
      </c>
    </row>
    <row r="2017" spans="1:21" x14ac:dyDescent="0.35">
      <c r="A2017">
        <v>2026</v>
      </c>
      <c r="B2017">
        <v>2</v>
      </c>
      <c r="C2017">
        <v>1</v>
      </c>
      <c r="D2017" s="1">
        <v>46054</v>
      </c>
      <c r="E2017" s="4" t="s">
        <v>30</v>
      </c>
      <c r="F2017" s="4" t="s">
        <v>26</v>
      </c>
      <c r="G2017" s="4" t="s">
        <v>109</v>
      </c>
      <c r="H2017">
        <v>60</v>
      </c>
      <c r="I2017">
        <v>88</v>
      </c>
      <c r="J2017">
        <v>0</v>
      </c>
      <c r="K2017">
        <v>88</v>
      </c>
      <c r="L2017">
        <v>70052.61</v>
      </c>
      <c r="M2017">
        <v>0</v>
      </c>
      <c r="N2017">
        <v>70052.61</v>
      </c>
      <c r="O2017">
        <v>42510</v>
      </c>
      <c r="P2017">
        <v>27542.61</v>
      </c>
      <c r="Q2017">
        <v>0.39319999999999999</v>
      </c>
      <c r="R2017">
        <v>5</v>
      </c>
      <c r="S2017">
        <v>5181.5</v>
      </c>
      <c r="T2017">
        <v>0</v>
      </c>
      <c r="U2017">
        <v>1167.54</v>
      </c>
    </row>
    <row r="2018" spans="1:21" x14ac:dyDescent="0.35">
      <c r="A2018">
        <v>2026</v>
      </c>
      <c r="B2018">
        <v>2</v>
      </c>
      <c r="C2018">
        <v>1</v>
      </c>
      <c r="D2018" s="1">
        <v>46054</v>
      </c>
      <c r="E2018" s="4" t="s">
        <v>78</v>
      </c>
      <c r="F2018" s="4" t="s">
        <v>78</v>
      </c>
      <c r="G2018" s="4" t="s">
        <v>110</v>
      </c>
      <c r="H2018">
        <v>235</v>
      </c>
      <c r="I2018">
        <v>330</v>
      </c>
      <c r="J2018">
        <v>0</v>
      </c>
      <c r="K2018">
        <v>330</v>
      </c>
      <c r="L2018">
        <v>727776</v>
      </c>
      <c r="M2018">
        <v>0</v>
      </c>
      <c r="N2018">
        <v>727776</v>
      </c>
      <c r="O2018">
        <v>109166.39999999999</v>
      </c>
      <c r="P2018">
        <v>618609.6</v>
      </c>
      <c r="Q2018">
        <v>0.85</v>
      </c>
      <c r="R2018">
        <v>1</v>
      </c>
      <c r="S2018">
        <v>399</v>
      </c>
      <c r="T2018">
        <v>0</v>
      </c>
      <c r="U2018">
        <v>3096.92</v>
      </c>
    </row>
    <row r="2019" spans="1:21" x14ac:dyDescent="0.35">
      <c r="A2019">
        <v>2026</v>
      </c>
      <c r="B2019">
        <v>3</v>
      </c>
      <c r="C2019">
        <v>1</v>
      </c>
      <c r="D2019" s="1">
        <v>46082</v>
      </c>
      <c r="E2019" s="4" t="s">
        <v>33</v>
      </c>
      <c r="F2019" s="4" t="s">
        <v>28</v>
      </c>
      <c r="G2019" s="4" t="s">
        <v>107</v>
      </c>
      <c r="H2019">
        <v>142</v>
      </c>
      <c r="I2019">
        <v>204</v>
      </c>
      <c r="J2019">
        <v>0</v>
      </c>
      <c r="K2019">
        <v>204</v>
      </c>
      <c r="L2019">
        <v>65156.160000000003</v>
      </c>
      <c r="M2019">
        <v>0</v>
      </c>
      <c r="N2019">
        <v>65156.160000000003</v>
      </c>
      <c r="O2019">
        <v>23359.35</v>
      </c>
      <c r="P2019">
        <v>41796.81</v>
      </c>
      <c r="Q2019">
        <v>0.64149999999999996</v>
      </c>
      <c r="R2019">
        <v>17</v>
      </c>
      <c r="S2019">
        <v>9119.16</v>
      </c>
      <c r="T2019">
        <v>0</v>
      </c>
      <c r="U2019">
        <v>458.85</v>
      </c>
    </row>
    <row r="2020" spans="1:21" x14ac:dyDescent="0.35">
      <c r="A2020">
        <v>2026</v>
      </c>
      <c r="B2020">
        <v>3</v>
      </c>
      <c r="C2020">
        <v>1</v>
      </c>
      <c r="D2020" s="1">
        <v>46082</v>
      </c>
      <c r="E2020" s="4" t="s">
        <v>33</v>
      </c>
      <c r="F2020" s="4" t="s">
        <v>28</v>
      </c>
      <c r="G2020" s="4" t="s">
        <v>108</v>
      </c>
      <c r="H2020">
        <v>60</v>
      </c>
      <c r="I2020">
        <v>92</v>
      </c>
      <c r="J2020">
        <v>0</v>
      </c>
      <c r="K2020">
        <v>92</v>
      </c>
      <c r="L2020">
        <v>62834</v>
      </c>
      <c r="M2020">
        <v>0</v>
      </c>
      <c r="N2020">
        <v>62834</v>
      </c>
      <c r="O2020">
        <v>22926.400000000001</v>
      </c>
      <c r="P2020">
        <v>39907.599999999999</v>
      </c>
      <c r="Q2020">
        <v>0.6351</v>
      </c>
      <c r="R2020">
        <v>6</v>
      </c>
      <c r="S2020">
        <v>10146</v>
      </c>
      <c r="T2020">
        <v>0</v>
      </c>
      <c r="U2020">
        <v>1047.23</v>
      </c>
    </row>
    <row r="2021" spans="1:21" x14ac:dyDescent="0.35">
      <c r="A2021">
        <v>2026</v>
      </c>
      <c r="B2021">
        <v>3</v>
      </c>
      <c r="C2021">
        <v>1</v>
      </c>
      <c r="D2021" s="1">
        <v>46082</v>
      </c>
      <c r="E2021" s="4" t="s">
        <v>33</v>
      </c>
      <c r="F2021" s="4" t="s">
        <v>28</v>
      </c>
      <c r="G2021" s="4" t="s">
        <v>109</v>
      </c>
      <c r="H2021">
        <v>771</v>
      </c>
      <c r="I2021">
        <v>1190</v>
      </c>
      <c r="J2021">
        <v>0</v>
      </c>
      <c r="K2021">
        <v>1190</v>
      </c>
      <c r="L2021">
        <v>613942.32999999996</v>
      </c>
      <c r="M2021">
        <v>0</v>
      </c>
      <c r="N2021">
        <v>613942.32999999996</v>
      </c>
      <c r="O2021">
        <v>224420.35</v>
      </c>
      <c r="P2021">
        <v>389521.98</v>
      </c>
      <c r="Q2021">
        <v>0.63449999999999995</v>
      </c>
      <c r="R2021">
        <v>115</v>
      </c>
      <c r="S2021">
        <v>106917.33</v>
      </c>
      <c r="T2021">
        <v>0</v>
      </c>
      <c r="U2021">
        <v>796.29</v>
      </c>
    </row>
    <row r="2022" spans="1:21" x14ac:dyDescent="0.35">
      <c r="A2022">
        <v>2026</v>
      </c>
      <c r="B2022">
        <v>3</v>
      </c>
      <c r="C2022">
        <v>1</v>
      </c>
      <c r="D2022" s="1">
        <v>46082</v>
      </c>
      <c r="E2022" s="4" t="s">
        <v>33</v>
      </c>
      <c r="F2022" s="4" t="s">
        <v>24</v>
      </c>
      <c r="G2022" s="4" t="s">
        <v>107</v>
      </c>
      <c r="H2022">
        <v>17</v>
      </c>
      <c r="I2022">
        <v>25</v>
      </c>
      <c r="J2022">
        <v>0</v>
      </c>
      <c r="K2022">
        <v>25</v>
      </c>
      <c r="L2022">
        <v>38206.269999999997</v>
      </c>
      <c r="M2022">
        <v>0</v>
      </c>
      <c r="N2022">
        <v>38206.269999999997</v>
      </c>
      <c r="O2022">
        <v>22823.35</v>
      </c>
      <c r="P2022">
        <v>15382.92</v>
      </c>
      <c r="Q2022">
        <v>0.40260000000000001</v>
      </c>
      <c r="R2022">
        <v>3</v>
      </c>
      <c r="S2022">
        <v>12102.27</v>
      </c>
      <c r="T2022">
        <v>0</v>
      </c>
      <c r="U2022">
        <v>2247.4299999999998</v>
      </c>
    </row>
    <row r="2023" spans="1:21" x14ac:dyDescent="0.35">
      <c r="A2023">
        <v>2026</v>
      </c>
      <c r="B2023">
        <v>3</v>
      </c>
      <c r="C2023">
        <v>1</v>
      </c>
      <c r="D2023" s="1">
        <v>46082</v>
      </c>
      <c r="E2023" s="4" t="s">
        <v>33</v>
      </c>
      <c r="F2023" s="4" t="s">
        <v>24</v>
      </c>
      <c r="G2023" s="4" t="s">
        <v>109</v>
      </c>
      <c r="H2023">
        <v>160</v>
      </c>
      <c r="I2023">
        <v>230</v>
      </c>
      <c r="J2023">
        <v>11</v>
      </c>
      <c r="K2023">
        <v>219</v>
      </c>
      <c r="L2023">
        <v>372455.82</v>
      </c>
      <c r="M2023">
        <v>16768.509999999998</v>
      </c>
      <c r="N2023">
        <v>355687.31</v>
      </c>
      <c r="O2023">
        <v>199395.9</v>
      </c>
      <c r="P2023">
        <v>156291.41</v>
      </c>
      <c r="Q2023">
        <v>0.43940000000000001</v>
      </c>
      <c r="R2023">
        <v>12</v>
      </c>
      <c r="S2023">
        <v>30503.31</v>
      </c>
      <c r="T2023">
        <v>0</v>
      </c>
      <c r="U2023">
        <v>2223.0500000000002</v>
      </c>
    </row>
    <row r="2024" spans="1:21" x14ac:dyDescent="0.35">
      <c r="A2024">
        <v>2026</v>
      </c>
      <c r="B2024">
        <v>3</v>
      </c>
      <c r="C2024">
        <v>1</v>
      </c>
      <c r="D2024" s="1">
        <v>46082</v>
      </c>
      <c r="E2024" s="4" t="s">
        <v>33</v>
      </c>
      <c r="F2024" s="4" t="s">
        <v>26</v>
      </c>
      <c r="G2024" s="4" t="s">
        <v>107</v>
      </c>
      <c r="H2024">
        <v>3</v>
      </c>
      <c r="I2024">
        <v>3</v>
      </c>
      <c r="J2024">
        <v>0</v>
      </c>
      <c r="K2024">
        <v>3</v>
      </c>
      <c r="L2024">
        <v>2077</v>
      </c>
      <c r="M2024">
        <v>0</v>
      </c>
      <c r="N2024">
        <v>2077</v>
      </c>
      <c r="O2024">
        <v>1246.2</v>
      </c>
      <c r="P2024">
        <v>830.8</v>
      </c>
      <c r="Q2024">
        <v>0.4</v>
      </c>
      <c r="R2024">
        <v>0</v>
      </c>
      <c r="S2024">
        <v>0</v>
      </c>
      <c r="T2024">
        <v>0</v>
      </c>
      <c r="U2024">
        <v>692.33</v>
      </c>
    </row>
    <row r="2025" spans="1:21" x14ac:dyDescent="0.35">
      <c r="A2025">
        <v>2026</v>
      </c>
      <c r="B2025">
        <v>3</v>
      </c>
      <c r="C2025">
        <v>1</v>
      </c>
      <c r="D2025" s="1">
        <v>46082</v>
      </c>
      <c r="E2025" s="4" t="s">
        <v>33</v>
      </c>
      <c r="F2025" s="4" t="s">
        <v>26</v>
      </c>
      <c r="G2025" s="4" t="s">
        <v>108</v>
      </c>
      <c r="H2025">
        <v>5</v>
      </c>
      <c r="I2025">
        <v>11</v>
      </c>
      <c r="J2025">
        <v>0</v>
      </c>
      <c r="K2025">
        <v>11</v>
      </c>
      <c r="L2025">
        <v>8802.5</v>
      </c>
      <c r="M2025">
        <v>0</v>
      </c>
      <c r="N2025">
        <v>8802.5</v>
      </c>
      <c r="O2025">
        <v>5775</v>
      </c>
      <c r="P2025">
        <v>3027.5</v>
      </c>
      <c r="Q2025">
        <v>0.34389999999999998</v>
      </c>
      <c r="R2025">
        <v>2</v>
      </c>
      <c r="S2025">
        <v>4427.5</v>
      </c>
      <c r="T2025">
        <v>0</v>
      </c>
      <c r="U2025">
        <v>1760.5</v>
      </c>
    </row>
    <row r="2026" spans="1:21" x14ac:dyDescent="0.35">
      <c r="A2026">
        <v>2026</v>
      </c>
      <c r="B2026">
        <v>3</v>
      </c>
      <c r="C2026">
        <v>1</v>
      </c>
      <c r="D2026" s="1">
        <v>46082</v>
      </c>
      <c r="E2026" s="4" t="s">
        <v>33</v>
      </c>
      <c r="F2026" s="4" t="s">
        <v>26</v>
      </c>
      <c r="G2026" s="4" t="s">
        <v>109</v>
      </c>
      <c r="H2026">
        <v>38</v>
      </c>
      <c r="I2026">
        <v>62</v>
      </c>
      <c r="J2026">
        <v>5</v>
      </c>
      <c r="K2026">
        <v>57</v>
      </c>
      <c r="L2026">
        <v>44809.49</v>
      </c>
      <c r="M2026">
        <v>4002.04</v>
      </c>
      <c r="N2026">
        <v>40807.449999999997</v>
      </c>
      <c r="O2026">
        <v>25058.400000000001</v>
      </c>
      <c r="P2026">
        <v>15749.05</v>
      </c>
      <c r="Q2026">
        <v>0.38590000000000002</v>
      </c>
      <c r="R2026">
        <v>2</v>
      </c>
      <c r="S2026">
        <v>3598.45</v>
      </c>
      <c r="T2026">
        <v>0</v>
      </c>
      <c r="U2026">
        <v>1073.8800000000001</v>
      </c>
    </row>
    <row r="2027" spans="1:21" x14ac:dyDescent="0.35">
      <c r="A2027">
        <v>2026</v>
      </c>
      <c r="B2027">
        <v>3</v>
      </c>
      <c r="C2027">
        <v>1</v>
      </c>
      <c r="D2027" s="1">
        <v>46082</v>
      </c>
      <c r="E2027" s="4" t="s">
        <v>32</v>
      </c>
      <c r="F2027" s="4" t="s">
        <v>28</v>
      </c>
      <c r="G2027" s="4" t="s">
        <v>107</v>
      </c>
      <c r="H2027">
        <v>34</v>
      </c>
      <c r="I2027">
        <v>54</v>
      </c>
      <c r="J2027">
        <v>0</v>
      </c>
      <c r="K2027">
        <v>54</v>
      </c>
      <c r="L2027">
        <v>23721.5</v>
      </c>
      <c r="M2027">
        <v>0</v>
      </c>
      <c r="N2027">
        <v>23721.5</v>
      </c>
      <c r="O2027">
        <v>8580.6</v>
      </c>
      <c r="P2027">
        <v>15140.9</v>
      </c>
      <c r="Q2027">
        <v>0.63829999999999998</v>
      </c>
      <c r="R2027">
        <v>1</v>
      </c>
      <c r="S2027">
        <v>1475.5</v>
      </c>
      <c r="T2027">
        <v>0</v>
      </c>
      <c r="U2027">
        <v>697.69</v>
      </c>
    </row>
    <row r="2028" spans="1:21" x14ac:dyDescent="0.35">
      <c r="A2028">
        <v>2026</v>
      </c>
      <c r="B2028">
        <v>3</v>
      </c>
      <c r="C2028">
        <v>1</v>
      </c>
      <c r="D2028" s="1">
        <v>46082</v>
      </c>
      <c r="E2028" s="4" t="s">
        <v>32</v>
      </c>
      <c r="F2028" s="4" t="s">
        <v>28</v>
      </c>
      <c r="G2028" s="4" t="s">
        <v>109</v>
      </c>
      <c r="H2028">
        <v>550</v>
      </c>
      <c r="I2028">
        <v>841</v>
      </c>
      <c r="J2028">
        <v>0</v>
      </c>
      <c r="K2028">
        <v>841</v>
      </c>
      <c r="L2028">
        <v>282042.46999999997</v>
      </c>
      <c r="M2028">
        <v>0</v>
      </c>
      <c r="N2028">
        <v>282042.46999999997</v>
      </c>
      <c r="O2028">
        <v>102691.75</v>
      </c>
      <c r="P2028">
        <v>179350.72</v>
      </c>
      <c r="Q2028">
        <v>0.63590000000000002</v>
      </c>
      <c r="R2028">
        <v>69</v>
      </c>
      <c r="S2028">
        <v>45983.92</v>
      </c>
      <c r="T2028">
        <v>0</v>
      </c>
      <c r="U2028">
        <v>512.79999999999995</v>
      </c>
    </row>
    <row r="2029" spans="1:21" x14ac:dyDescent="0.35">
      <c r="A2029">
        <v>2026</v>
      </c>
      <c r="B2029">
        <v>3</v>
      </c>
      <c r="C2029">
        <v>1</v>
      </c>
      <c r="D2029" s="1">
        <v>46082</v>
      </c>
      <c r="E2029" s="4" t="s">
        <v>32</v>
      </c>
      <c r="F2029" s="4" t="s">
        <v>24</v>
      </c>
      <c r="G2029" s="4" t="s">
        <v>107</v>
      </c>
      <c r="H2029">
        <v>51</v>
      </c>
      <c r="I2029">
        <v>71</v>
      </c>
      <c r="J2029">
        <v>2</v>
      </c>
      <c r="K2029">
        <v>69</v>
      </c>
      <c r="L2029">
        <v>102808.38</v>
      </c>
      <c r="M2029">
        <v>3218.94</v>
      </c>
      <c r="N2029">
        <v>99589.440000000002</v>
      </c>
      <c r="O2029">
        <v>57288</v>
      </c>
      <c r="P2029">
        <v>42301.440000000002</v>
      </c>
      <c r="Q2029">
        <v>0.42480000000000001</v>
      </c>
      <c r="R2029">
        <v>8</v>
      </c>
      <c r="S2029">
        <v>19375.439999999999</v>
      </c>
      <c r="T2029">
        <v>0</v>
      </c>
      <c r="U2029">
        <v>1952.73</v>
      </c>
    </row>
    <row r="2030" spans="1:21" x14ac:dyDescent="0.35">
      <c r="A2030">
        <v>2026</v>
      </c>
      <c r="B2030">
        <v>3</v>
      </c>
      <c r="C2030">
        <v>1</v>
      </c>
      <c r="D2030" s="1">
        <v>46082</v>
      </c>
      <c r="E2030" s="4" t="s">
        <v>32</v>
      </c>
      <c r="F2030" s="4" t="s">
        <v>24</v>
      </c>
      <c r="G2030" s="4" t="s">
        <v>109</v>
      </c>
      <c r="H2030">
        <v>201</v>
      </c>
      <c r="I2030">
        <v>308</v>
      </c>
      <c r="J2030">
        <v>7</v>
      </c>
      <c r="K2030">
        <v>301</v>
      </c>
      <c r="L2030">
        <v>422580.37</v>
      </c>
      <c r="M2030">
        <v>9971</v>
      </c>
      <c r="N2030">
        <v>412609.37</v>
      </c>
      <c r="O2030">
        <v>231224.4</v>
      </c>
      <c r="P2030">
        <v>181384.97</v>
      </c>
      <c r="Q2030">
        <v>0.43959999999999999</v>
      </c>
      <c r="R2030">
        <v>20</v>
      </c>
      <c r="S2030">
        <v>41744.400000000001</v>
      </c>
      <c r="T2030">
        <v>0</v>
      </c>
      <c r="U2030">
        <v>2052.7800000000002</v>
      </c>
    </row>
    <row r="2031" spans="1:21" x14ac:dyDescent="0.35">
      <c r="A2031">
        <v>2026</v>
      </c>
      <c r="B2031">
        <v>3</v>
      </c>
      <c r="C2031">
        <v>1</v>
      </c>
      <c r="D2031" s="1">
        <v>46082</v>
      </c>
      <c r="E2031" s="4" t="s">
        <v>32</v>
      </c>
      <c r="F2031" s="4" t="s">
        <v>26</v>
      </c>
      <c r="G2031" s="4" t="s">
        <v>107</v>
      </c>
      <c r="H2031">
        <v>2</v>
      </c>
      <c r="I2031">
        <v>3</v>
      </c>
      <c r="J2031">
        <v>0</v>
      </c>
      <c r="K2031">
        <v>3</v>
      </c>
      <c r="L2031">
        <v>2032</v>
      </c>
      <c r="M2031">
        <v>0</v>
      </c>
      <c r="N2031">
        <v>2032</v>
      </c>
      <c r="O2031">
        <v>1219.2</v>
      </c>
      <c r="P2031">
        <v>812.8</v>
      </c>
      <c r="Q2031">
        <v>0.4</v>
      </c>
      <c r="R2031">
        <v>0</v>
      </c>
      <c r="S2031">
        <v>0</v>
      </c>
      <c r="T2031">
        <v>0</v>
      </c>
      <c r="U2031">
        <v>1016</v>
      </c>
    </row>
    <row r="2032" spans="1:21" x14ac:dyDescent="0.35">
      <c r="A2032">
        <v>2026</v>
      </c>
      <c r="B2032">
        <v>3</v>
      </c>
      <c r="C2032">
        <v>1</v>
      </c>
      <c r="D2032" s="1">
        <v>46082</v>
      </c>
      <c r="E2032" s="4" t="s">
        <v>32</v>
      </c>
      <c r="F2032" s="4" t="s">
        <v>26</v>
      </c>
      <c r="G2032" s="4" t="s">
        <v>108</v>
      </c>
      <c r="H2032">
        <v>9</v>
      </c>
      <c r="I2032">
        <v>11</v>
      </c>
      <c r="J2032">
        <v>2</v>
      </c>
      <c r="K2032">
        <v>9</v>
      </c>
      <c r="L2032">
        <v>3414.6</v>
      </c>
      <c r="M2032">
        <v>630</v>
      </c>
      <c r="N2032">
        <v>2784.6</v>
      </c>
      <c r="O2032">
        <v>1701</v>
      </c>
      <c r="P2032">
        <v>1083.5999999999999</v>
      </c>
      <c r="Q2032">
        <v>0.3891</v>
      </c>
      <c r="R2032">
        <v>1</v>
      </c>
      <c r="S2032">
        <v>264.60000000000002</v>
      </c>
      <c r="T2032">
        <v>0</v>
      </c>
      <c r="U2032">
        <v>309.39999999999998</v>
      </c>
    </row>
    <row r="2033" spans="1:21" x14ac:dyDescent="0.35">
      <c r="A2033">
        <v>2026</v>
      </c>
      <c r="B2033">
        <v>3</v>
      </c>
      <c r="C2033">
        <v>1</v>
      </c>
      <c r="D2033" s="1">
        <v>46082</v>
      </c>
      <c r="E2033" s="4" t="s">
        <v>32</v>
      </c>
      <c r="F2033" s="4" t="s">
        <v>26</v>
      </c>
      <c r="G2033" s="4" t="s">
        <v>109</v>
      </c>
      <c r="H2033">
        <v>52</v>
      </c>
      <c r="I2033">
        <v>79</v>
      </c>
      <c r="J2033">
        <v>2</v>
      </c>
      <c r="K2033">
        <v>77</v>
      </c>
      <c r="L2033">
        <v>57168.959999999999</v>
      </c>
      <c r="M2033">
        <v>2170</v>
      </c>
      <c r="N2033">
        <v>54998.96</v>
      </c>
      <c r="O2033">
        <v>33672</v>
      </c>
      <c r="P2033">
        <v>21326.959999999999</v>
      </c>
      <c r="Q2033">
        <v>0.38779999999999998</v>
      </c>
      <c r="R2033">
        <v>5</v>
      </c>
      <c r="S2033">
        <v>4086.96</v>
      </c>
      <c r="T2033">
        <v>0</v>
      </c>
      <c r="U2033">
        <v>1057.67</v>
      </c>
    </row>
    <row r="2034" spans="1:21" x14ac:dyDescent="0.35">
      <c r="A2034">
        <v>2026</v>
      </c>
      <c r="B2034">
        <v>3</v>
      </c>
      <c r="C2034">
        <v>1</v>
      </c>
      <c r="D2034" s="1">
        <v>46082</v>
      </c>
      <c r="E2034" s="4" t="s">
        <v>27</v>
      </c>
      <c r="F2034" s="4" t="s">
        <v>28</v>
      </c>
      <c r="G2034" s="4" t="s">
        <v>107</v>
      </c>
      <c r="H2034">
        <v>309</v>
      </c>
      <c r="I2034">
        <v>485</v>
      </c>
      <c r="J2034">
        <v>0</v>
      </c>
      <c r="K2034">
        <v>485</v>
      </c>
      <c r="L2034">
        <v>215585.37</v>
      </c>
      <c r="M2034">
        <v>0</v>
      </c>
      <c r="N2034">
        <v>215585.37</v>
      </c>
      <c r="O2034">
        <v>77768.25</v>
      </c>
      <c r="P2034">
        <v>137817.12</v>
      </c>
      <c r="Q2034">
        <v>0.63929999999999998</v>
      </c>
      <c r="R2034">
        <v>35</v>
      </c>
      <c r="S2034">
        <v>30309.37</v>
      </c>
      <c r="T2034">
        <v>0</v>
      </c>
      <c r="U2034">
        <v>697.69</v>
      </c>
    </row>
    <row r="2035" spans="1:21" x14ac:dyDescent="0.35">
      <c r="A2035">
        <v>2026</v>
      </c>
      <c r="B2035">
        <v>3</v>
      </c>
      <c r="C2035">
        <v>1</v>
      </c>
      <c r="D2035" s="1">
        <v>46082</v>
      </c>
      <c r="E2035" s="4" t="s">
        <v>27</v>
      </c>
      <c r="F2035" s="4" t="s">
        <v>28</v>
      </c>
      <c r="G2035" s="4" t="s">
        <v>109</v>
      </c>
      <c r="H2035">
        <v>906</v>
      </c>
      <c r="I2035">
        <v>1448</v>
      </c>
      <c r="J2035">
        <v>0</v>
      </c>
      <c r="K2035">
        <v>1448</v>
      </c>
      <c r="L2035">
        <v>765069.61</v>
      </c>
      <c r="M2035">
        <v>0</v>
      </c>
      <c r="N2035">
        <v>765069.61</v>
      </c>
      <c r="O2035">
        <v>277871.3</v>
      </c>
      <c r="P2035">
        <v>487198.31</v>
      </c>
      <c r="Q2035">
        <v>0.63680000000000003</v>
      </c>
      <c r="R2035">
        <v>118</v>
      </c>
      <c r="S2035">
        <v>117553.64</v>
      </c>
      <c r="T2035">
        <v>0</v>
      </c>
      <c r="U2035">
        <v>844.45</v>
      </c>
    </row>
    <row r="2036" spans="1:21" x14ac:dyDescent="0.35">
      <c r="A2036">
        <v>2026</v>
      </c>
      <c r="B2036">
        <v>3</v>
      </c>
      <c r="C2036">
        <v>1</v>
      </c>
      <c r="D2036" s="1">
        <v>46082</v>
      </c>
      <c r="E2036" s="4" t="s">
        <v>27</v>
      </c>
      <c r="F2036" s="4" t="s">
        <v>24</v>
      </c>
      <c r="G2036" s="4" t="s">
        <v>107</v>
      </c>
      <c r="H2036">
        <v>76</v>
      </c>
      <c r="I2036">
        <v>108</v>
      </c>
      <c r="J2036">
        <v>0</v>
      </c>
      <c r="K2036">
        <v>108</v>
      </c>
      <c r="L2036">
        <v>195737.61</v>
      </c>
      <c r="M2036">
        <v>0</v>
      </c>
      <c r="N2036">
        <v>195737.61</v>
      </c>
      <c r="O2036">
        <v>110367.95</v>
      </c>
      <c r="P2036">
        <v>85369.66</v>
      </c>
      <c r="Q2036">
        <v>0.43609999999999999</v>
      </c>
      <c r="R2036">
        <v>10</v>
      </c>
      <c r="S2036">
        <v>38713.61</v>
      </c>
      <c r="T2036">
        <v>0</v>
      </c>
      <c r="U2036">
        <v>2575.4899999999998</v>
      </c>
    </row>
    <row r="2037" spans="1:21" x14ac:dyDescent="0.35">
      <c r="A2037">
        <v>2026</v>
      </c>
      <c r="B2037">
        <v>3</v>
      </c>
      <c r="C2037">
        <v>1</v>
      </c>
      <c r="D2037" s="1">
        <v>46082</v>
      </c>
      <c r="E2037" s="4" t="s">
        <v>27</v>
      </c>
      <c r="F2037" s="4" t="s">
        <v>24</v>
      </c>
      <c r="G2037" s="4" t="s">
        <v>109</v>
      </c>
      <c r="H2037">
        <v>295</v>
      </c>
      <c r="I2037">
        <v>460</v>
      </c>
      <c r="J2037">
        <v>8</v>
      </c>
      <c r="K2037">
        <v>452</v>
      </c>
      <c r="L2037">
        <v>744906.28</v>
      </c>
      <c r="M2037">
        <v>12695</v>
      </c>
      <c r="N2037">
        <v>732211.28</v>
      </c>
      <c r="O2037">
        <v>422581.5</v>
      </c>
      <c r="P2037">
        <v>309629.78000000003</v>
      </c>
      <c r="Q2037">
        <v>0.4229</v>
      </c>
      <c r="R2037">
        <v>39</v>
      </c>
      <c r="S2037">
        <v>116595.13</v>
      </c>
      <c r="T2037">
        <v>0</v>
      </c>
      <c r="U2037">
        <v>2482.0700000000002</v>
      </c>
    </row>
    <row r="2038" spans="1:21" x14ac:dyDescent="0.35">
      <c r="A2038">
        <v>2026</v>
      </c>
      <c r="B2038">
        <v>3</v>
      </c>
      <c r="C2038">
        <v>1</v>
      </c>
      <c r="D2038" s="1">
        <v>46082</v>
      </c>
      <c r="E2038" s="4" t="s">
        <v>27</v>
      </c>
      <c r="F2038" s="4" t="s">
        <v>26</v>
      </c>
      <c r="G2038" s="4" t="s">
        <v>107</v>
      </c>
      <c r="H2038">
        <v>4</v>
      </c>
      <c r="I2038">
        <v>10</v>
      </c>
      <c r="J2038">
        <v>3</v>
      </c>
      <c r="K2038">
        <v>7</v>
      </c>
      <c r="L2038">
        <v>8631</v>
      </c>
      <c r="M2038">
        <v>3555</v>
      </c>
      <c r="N2038">
        <v>5076</v>
      </c>
      <c r="O2038">
        <v>3045.6</v>
      </c>
      <c r="P2038">
        <v>2030.4</v>
      </c>
      <c r="Q2038">
        <v>0.4</v>
      </c>
      <c r="R2038">
        <v>0</v>
      </c>
      <c r="S2038">
        <v>0</v>
      </c>
      <c r="T2038">
        <v>0</v>
      </c>
      <c r="U2038">
        <v>1269</v>
      </c>
    </row>
    <row r="2039" spans="1:21" x14ac:dyDescent="0.35">
      <c r="A2039">
        <v>2026</v>
      </c>
      <c r="B2039">
        <v>3</v>
      </c>
      <c r="C2039">
        <v>1</v>
      </c>
      <c r="D2039" s="1">
        <v>46082</v>
      </c>
      <c r="E2039" s="4" t="s">
        <v>27</v>
      </c>
      <c r="F2039" s="4" t="s">
        <v>26</v>
      </c>
      <c r="G2039" s="4" t="s">
        <v>109</v>
      </c>
      <c r="H2039">
        <v>47</v>
      </c>
      <c r="I2039">
        <v>64</v>
      </c>
      <c r="J2039">
        <v>2</v>
      </c>
      <c r="K2039">
        <v>62</v>
      </c>
      <c r="L2039">
        <v>37225.61</v>
      </c>
      <c r="M2039">
        <v>962</v>
      </c>
      <c r="N2039">
        <v>36263.61</v>
      </c>
      <c r="O2039">
        <v>22315.200000000001</v>
      </c>
      <c r="P2039">
        <v>13948.41</v>
      </c>
      <c r="Q2039">
        <v>0.3846</v>
      </c>
      <c r="R2039">
        <v>3</v>
      </c>
      <c r="S2039">
        <v>2651.61</v>
      </c>
      <c r="T2039">
        <v>0</v>
      </c>
      <c r="U2039">
        <v>771.57</v>
      </c>
    </row>
    <row r="2040" spans="1:21" x14ac:dyDescent="0.35">
      <c r="A2040">
        <v>2026</v>
      </c>
      <c r="B2040">
        <v>3</v>
      </c>
      <c r="C2040">
        <v>1</v>
      </c>
      <c r="D2040" s="1">
        <v>46082</v>
      </c>
      <c r="E2040" s="4" t="s">
        <v>34</v>
      </c>
      <c r="F2040" s="4" t="s">
        <v>28</v>
      </c>
      <c r="G2040" s="4" t="s">
        <v>107</v>
      </c>
      <c r="H2040">
        <v>207</v>
      </c>
      <c r="I2040">
        <v>310</v>
      </c>
      <c r="J2040">
        <v>0</v>
      </c>
      <c r="K2040">
        <v>310</v>
      </c>
      <c r="L2040">
        <v>207109.66</v>
      </c>
      <c r="M2040">
        <v>0</v>
      </c>
      <c r="N2040">
        <v>207109.66</v>
      </c>
      <c r="O2040">
        <v>74110.05</v>
      </c>
      <c r="P2040">
        <v>132999.60999999999</v>
      </c>
      <c r="Q2040">
        <v>0.64219999999999999</v>
      </c>
      <c r="R2040">
        <v>20</v>
      </c>
      <c r="S2040">
        <v>23548.66</v>
      </c>
      <c r="T2040">
        <v>0</v>
      </c>
      <c r="U2040">
        <v>1000.53</v>
      </c>
    </row>
    <row r="2041" spans="1:21" x14ac:dyDescent="0.35">
      <c r="A2041">
        <v>2026</v>
      </c>
      <c r="B2041">
        <v>3</v>
      </c>
      <c r="C2041">
        <v>1</v>
      </c>
      <c r="D2041" s="1">
        <v>46082</v>
      </c>
      <c r="E2041" s="4" t="s">
        <v>34</v>
      </c>
      <c r="F2041" s="4" t="s">
        <v>28</v>
      </c>
      <c r="G2041" s="4" t="s">
        <v>108</v>
      </c>
      <c r="H2041">
        <v>68</v>
      </c>
      <c r="I2041">
        <v>107</v>
      </c>
      <c r="J2041">
        <v>0</v>
      </c>
      <c r="K2041">
        <v>107</v>
      </c>
      <c r="L2041">
        <v>44333.82</v>
      </c>
      <c r="M2041">
        <v>0</v>
      </c>
      <c r="N2041">
        <v>44333.82</v>
      </c>
      <c r="O2041">
        <v>15953.7</v>
      </c>
      <c r="P2041">
        <v>28380.12</v>
      </c>
      <c r="Q2041">
        <v>0.6401</v>
      </c>
      <c r="R2041">
        <v>7</v>
      </c>
      <c r="S2041">
        <v>5141.82</v>
      </c>
      <c r="T2041">
        <v>0</v>
      </c>
      <c r="U2041">
        <v>651.97</v>
      </c>
    </row>
    <row r="2042" spans="1:21" x14ac:dyDescent="0.35">
      <c r="A2042">
        <v>2026</v>
      </c>
      <c r="B2042">
        <v>3</v>
      </c>
      <c r="C2042">
        <v>1</v>
      </c>
      <c r="D2042" s="1">
        <v>46082</v>
      </c>
      <c r="E2042" s="4" t="s">
        <v>34</v>
      </c>
      <c r="F2042" s="4" t="s">
        <v>28</v>
      </c>
      <c r="G2042" s="4" t="s">
        <v>109</v>
      </c>
      <c r="H2042">
        <v>786</v>
      </c>
      <c r="I2042">
        <v>1212</v>
      </c>
      <c r="J2042">
        <v>0</v>
      </c>
      <c r="K2042">
        <v>1212</v>
      </c>
      <c r="L2042">
        <v>582078.54</v>
      </c>
      <c r="M2042">
        <v>0</v>
      </c>
      <c r="N2042">
        <v>582078.54</v>
      </c>
      <c r="O2042">
        <v>211514.1</v>
      </c>
      <c r="P2042">
        <v>370564.44</v>
      </c>
      <c r="Q2042">
        <v>0.63660000000000005</v>
      </c>
      <c r="R2042">
        <v>102</v>
      </c>
      <c r="S2042">
        <v>82538.38</v>
      </c>
      <c r="T2042">
        <v>0</v>
      </c>
      <c r="U2042">
        <v>740.56</v>
      </c>
    </row>
    <row r="2043" spans="1:21" x14ac:dyDescent="0.35">
      <c r="A2043">
        <v>2026</v>
      </c>
      <c r="B2043">
        <v>3</v>
      </c>
      <c r="C2043">
        <v>1</v>
      </c>
      <c r="D2043" s="1">
        <v>46082</v>
      </c>
      <c r="E2043" s="4" t="s">
        <v>34</v>
      </c>
      <c r="F2043" s="4" t="s">
        <v>35</v>
      </c>
      <c r="G2043" s="4" t="s">
        <v>109</v>
      </c>
      <c r="H2043">
        <v>1</v>
      </c>
      <c r="I2043">
        <v>1</v>
      </c>
      <c r="J2043">
        <v>0</v>
      </c>
      <c r="K2043">
        <v>1</v>
      </c>
      <c r="L2043">
        <v>584</v>
      </c>
      <c r="M2043">
        <v>0</v>
      </c>
      <c r="N2043">
        <v>584</v>
      </c>
      <c r="O2043">
        <v>116.8</v>
      </c>
      <c r="P2043">
        <v>467.2</v>
      </c>
      <c r="Q2043">
        <v>0.8</v>
      </c>
      <c r="R2043">
        <v>0</v>
      </c>
      <c r="S2043">
        <v>0</v>
      </c>
      <c r="T2043">
        <v>0</v>
      </c>
      <c r="U2043">
        <v>584</v>
      </c>
    </row>
    <row r="2044" spans="1:21" x14ac:dyDescent="0.35">
      <c r="A2044">
        <v>2026</v>
      </c>
      <c r="B2044">
        <v>3</v>
      </c>
      <c r="C2044">
        <v>1</v>
      </c>
      <c r="D2044" s="1">
        <v>46082</v>
      </c>
      <c r="E2044" s="4" t="s">
        <v>34</v>
      </c>
      <c r="F2044" s="4" t="s">
        <v>24</v>
      </c>
      <c r="G2044" s="4" t="s">
        <v>107</v>
      </c>
      <c r="H2044">
        <v>103</v>
      </c>
      <c r="I2044">
        <v>161</v>
      </c>
      <c r="J2044">
        <v>2</v>
      </c>
      <c r="K2044">
        <v>159</v>
      </c>
      <c r="L2044">
        <v>282327.03999999998</v>
      </c>
      <c r="M2044">
        <v>4581</v>
      </c>
      <c r="N2044">
        <v>277746.03999999998</v>
      </c>
      <c r="O2044">
        <v>158167.35</v>
      </c>
      <c r="P2044">
        <v>119578.69</v>
      </c>
      <c r="Q2044">
        <v>0.43049999999999999</v>
      </c>
      <c r="R2044">
        <v>13</v>
      </c>
      <c r="S2044">
        <v>33906.42</v>
      </c>
      <c r="T2044">
        <v>0</v>
      </c>
      <c r="U2044">
        <v>2696.56</v>
      </c>
    </row>
    <row r="2045" spans="1:21" x14ac:dyDescent="0.35">
      <c r="A2045">
        <v>2026</v>
      </c>
      <c r="B2045">
        <v>3</v>
      </c>
      <c r="C2045">
        <v>1</v>
      </c>
      <c r="D2045" s="1">
        <v>46082</v>
      </c>
      <c r="E2045" s="4" t="s">
        <v>34</v>
      </c>
      <c r="F2045" s="4" t="s">
        <v>24</v>
      </c>
      <c r="G2045" s="4" t="s">
        <v>108</v>
      </c>
      <c r="H2045">
        <v>10</v>
      </c>
      <c r="I2045">
        <v>18</v>
      </c>
      <c r="J2045">
        <v>0</v>
      </c>
      <c r="K2045">
        <v>18</v>
      </c>
      <c r="L2045">
        <v>24822</v>
      </c>
      <c r="M2045">
        <v>0</v>
      </c>
      <c r="N2045">
        <v>24822</v>
      </c>
      <c r="O2045">
        <v>13652.1</v>
      </c>
      <c r="P2045">
        <v>11169.9</v>
      </c>
      <c r="Q2045">
        <v>0.45</v>
      </c>
      <c r="R2045">
        <v>0</v>
      </c>
      <c r="S2045">
        <v>0</v>
      </c>
      <c r="T2045">
        <v>0</v>
      </c>
      <c r="U2045">
        <v>2482.1999999999998</v>
      </c>
    </row>
    <row r="2046" spans="1:21" x14ac:dyDescent="0.35">
      <c r="A2046">
        <v>2026</v>
      </c>
      <c r="B2046">
        <v>3</v>
      </c>
      <c r="C2046">
        <v>1</v>
      </c>
      <c r="D2046" s="1">
        <v>46082</v>
      </c>
      <c r="E2046" s="4" t="s">
        <v>34</v>
      </c>
      <c r="F2046" s="4" t="s">
        <v>24</v>
      </c>
      <c r="G2046" s="4" t="s">
        <v>109</v>
      </c>
      <c r="H2046">
        <v>210</v>
      </c>
      <c r="I2046">
        <v>313</v>
      </c>
      <c r="J2046">
        <v>7</v>
      </c>
      <c r="K2046">
        <v>306</v>
      </c>
      <c r="L2046">
        <v>532526.23</v>
      </c>
      <c r="M2046">
        <v>9009</v>
      </c>
      <c r="N2046">
        <v>523517.23</v>
      </c>
      <c r="O2046">
        <v>300277.45</v>
      </c>
      <c r="P2046">
        <v>223239.78</v>
      </c>
      <c r="Q2046">
        <v>0.4264</v>
      </c>
      <c r="R2046">
        <v>28</v>
      </c>
      <c r="S2046">
        <v>88758.23</v>
      </c>
      <c r="T2046">
        <v>0</v>
      </c>
      <c r="U2046">
        <v>2492.94</v>
      </c>
    </row>
    <row r="2047" spans="1:21" x14ac:dyDescent="0.35">
      <c r="A2047">
        <v>2026</v>
      </c>
      <c r="B2047">
        <v>3</v>
      </c>
      <c r="C2047">
        <v>1</v>
      </c>
      <c r="D2047" s="1">
        <v>46082</v>
      </c>
      <c r="E2047" s="4" t="s">
        <v>34</v>
      </c>
      <c r="F2047" s="4" t="s">
        <v>26</v>
      </c>
      <c r="G2047" s="4" t="s">
        <v>107</v>
      </c>
      <c r="H2047">
        <v>5</v>
      </c>
      <c r="I2047">
        <v>8</v>
      </c>
      <c r="J2047">
        <v>2</v>
      </c>
      <c r="K2047">
        <v>6</v>
      </c>
      <c r="L2047">
        <v>4372</v>
      </c>
      <c r="M2047">
        <v>1144</v>
      </c>
      <c r="N2047">
        <v>3228</v>
      </c>
      <c r="O2047">
        <v>1936.8</v>
      </c>
      <c r="P2047">
        <v>1291.2</v>
      </c>
      <c r="Q2047">
        <v>0.4</v>
      </c>
      <c r="R2047">
        <v>0</v>
      </c>
      <c r="S2047">
        <v>0</v>
      </c>
      <c r="T2047">
        <v>0</v>
      </c>
      <c r="U2047">
        <v>645.6</v>
      </c>
    </row>
    <row r="2048" spans="1:21" x14ac:dyDescent="0.35">
      <c r="A2048">
        <v>2026</v>
      </c>
      <c r="B2048">
        <v>3</v>
      </c>
      <c r="C2048">
        <v>1</v>
      </c>
      <c r="D2048" s="1">
        <v>46082</v>
      </c>
      <c r="E2048" s="4" t="s">
        <v>34</v>
      </c>
      <c r="F2048" s="4" t="s">
        <v>26</v>
      </c>
      <c r="G2048" s="4" t="s">
        <v>108</v>
      </c>
      <c r="H2048">
        <v>3</v>
      </c>
      <c r="I2048">
        <v>5</v>
      </c>
      <c r="J2048">
        <v>0</v>
      </c>
      <c r="K2048">
        <v>5</v>
      </c>
      <c r="L2048">
        <v>2413.36</v>
      </c>
      <c r="M2048">
        <v>0</v>
      </c>
      <c r="N2048">
        <v>2413.36</v>
      </c>
      <c r="O2048">
        <v>1566.6</v>
      </c>
      <c r="P2048">
        <v>846.76</v>
      </c>
      <c r="Q2048">
        <v>0.35089999999999999</v>
      </c>
      <c r="R2048">
        <v>1</v>
      </c>
      <c r="S2048">
        <v>900.36</v>
      </c>
      <c r="T2048">
        <v>0</v>
      </c>
      <c r="U2048">
        <v>804.45</v>
      </c>
    </row>
    <row r="2049" spans="1:21" x14ac:dyDescent="0.35">
      <c r="A2049">
        <v>2026</v>
      </c>
      <c r="B2049">
        <v>3</v>
      </c>
      <c r="C2049">
        <v>1</v>
      </c>
      <c r="D2049" s="1">
        <v>46082</v>
      </c>
      <c r="E2049" s="4" t="s">
        <v>34</v>
      </c>
      <c r="F2049" s="4" t="s">
        <v>26</v>
      </c>
      <c r="G2049" s="4" t="s">
        <v>109</v>
      </c>
      <c r="H2049">
        <v>45</v>
      </c>
      <c r="I2049">
        <v>69</v>
      </c>
      <c r="J2049">
        <v>0</v>
      </c>
      <c r="K2049">
        <v>69</v>
      </c>
      <c r="L2049">
        <v>45715.14</v>
      </c>
      <c r="M2049">
        <v>0</v>
      </c>
      <c r="N2049">
        <v>45715.14</v>
      </c>
      <c r="O2049">
        <v>28894.799999999999</v>
      </c>
      <c r="P2049">
        <v>16820.34</v>
      </c>
      <c r="Q2049">
        <v>0.3679</v>
      </c>
      <c r="R2049">
        <v>8</v>
      </c>
      <c r="S2049">
        <v>14737.14</v>
      </c>
      <c r="T2049">
        <v>0</v>
      </c>
      <c r="U2049">
        <v>1015.89</v>
      </c>
    </row>
    <row r="2050" spans="1:21" x14ac:dyDescent="0.35">
      <c r="A2050">
        <v>2026</v>
      </c>
      <c r="B2050">
        <v>3</v>
      </c>
      <c r="C2050">
        <v>1</v>
      </c>
      <c r="D2050" s="1">
        <v>46082</v>
      </c>
      <c r="E2050" s="4" t="s">
        <v>36</v>
      </c>
      <c r="F2050" s="4" t="s">
        <v>28</v>
      </c>
      <c r="G2050" s="4" t="s">
        <v>107</v>
      </c>
      <c r="H2050">
        <v>84</v>
      </c>
      <c r="I2050">
        <v>125</v>
      </c>
      <c r="J2050">
        <v>0</v>
      </c>
      <c r="K2050">
        <v>125</v>
      </c>
      <c r="L2050">
        <v>79754.27</v>
      </c>
      <c r="M2050">
        <v>0</v>
      </c>
      <c r="N2050">
        <v>79754.27</v>
      </c>
      <c r="O2050">
        <v>28805.35</v>
      </c>
      <c r="P2050">
        <v>50948.92</v>
      </c>
      <c r="Q2050">
        <v>0.63880000000000003</v>
      </c>
      <c r="R2050">
        <v>10</v>
      </c>
      <c r="S2050">
        <v>13309.27</v>
      </c>
      <c r="T2050">
        <v>0</v>
      </c>
      <c r="U2050">
        <v>949.46</v>
      </c>
    </row>
    <row r="2051" spans="1:21" x14ac:dyDescent="0.35">
      <c r="A2051">
        <v>2026</v>
      </c>
      <c r="B2051">
        <v>3</v>
      </c>
      <c r="C2051">
        <v>1</v>
      </c>
      <c r="D2051" s="1">
        <v>46082</v>
      </c>
      <c r="E2051" s="4" t="s">
        <v>36</v>
      </c>
      <c r="F2051" s="4" t="s">
        <v>28</v>
      </c>
      <c r="G2051" s="4" t="s">
        <v>108</v>
      </c>
      <c r="H2051">
        <v>184</v>
      </c>
      <c r="I2051">
        <v>276</v>
      </c>
      <c r="J2051">
        <v>0</v>
      </c>
      <c r="K2051">
        <v>276</v>
      </c>
      <c r="L2051">
        <v>88890.4</v>
      </c>
      <c r="M2051">
        <v>0</v>
      </c>
      <c r="N2051">
        <v>88890.4</v>
      </c>
      <c r="O2051">
        <v>32422.25</v>
      </c>
      <c r="P2051">
        <v>56468.15</v>
      </c>
      <c r="Q2051">
        <v>0.63529999999999998</v>
      </c>
      <c r="R2051">
        <v>25</v>
      </c>
      <c r="S2051">
        <v>13701.4</v>
      </c>
      <c r="T2051">
        <v>0</v>
      </c>
      <c r="U2051">
        <v>483.1</v>
      </c>
    </row>
    <row r="2052" spans="1:21" x14ac:dyDescent="0.35">
      <c r="A2052">
        <v>2026</v>
      </c>
      <c r="B2052">
        <v>3</v>
      </c>
      <c r="C2052">
        <v>1</v>
      </c>
      <c r="D2052" s="1">
        <v>46082</v>
      </c>
      <c r="E2052" s="4" t="s">
        <v>36</v>
      </c>
      <c r="F2052" s="4" t="s">
        <v>28</v>
      </c>
      <c r="G2052" s="4" t="s">
        <v>109</v>
      </c>
      <c r="H2052">
        <v>843</v>
      </c>
      <c r="I2052">
        <v>1301</v>
      </c>
      <c r="J2052">
        <v>0</v>
      </c>
      <c r="K2052">
        <v>1301</v>
      </c>
      <c r="L2052">
        <v>629594.06000000006</v>
      </c>
      <c r="M2052">
        <v>0</v>
      </c>
      <c r="N2052">
        <v>629594.06000000006</v>
      </c>
      <c r="O2052">
        <v>228893.7</v>
      </c>
      <c r="P2052">
        <v>400700.36</v>
      </c>
      <c r="Q2052">
        <v>0.63639999999999997</v>
      </c>
      <c r="R2052">
        <v>106</v>
      </c>
      <c r="S2052">
        <v>97764.34</v>
      </c>
      <c r="T2052">
        <v>0</v>
      </c>
      <c r="U2052">
        <v>746.85</v>
      </c>
    </row>
    <row r="2053" spans="1:21" x14ac:dyDescent="0.35">
      <c r="A2053">
        <v>2026</v>
      </c>
      <c r="B2053">
        <v>3</v>
      </c>
      <c r="C2053">
        <v>1</v>
      </c>
      <c r="D2053" s="1">
        <v>46082</v>
      </c>
      <c r="E2053" s="4" t="s">
        <v>36</v>
      </c>
      <c r="F2053" s="4" t="s">
        <v>24</v>
      </c>
      <c r="G2053" s="4" t="s">
        <v>107</v>
      </c>
      <c r="H2053">
        <v>52</v>
      </c>
      <c r="I2053">
        <v>73</v>
      </c>
      <c r="J2053">
        <v>0</v>
      </c>
      <c r="K2053">
        <v>73</v>
      </c>
      <c r="L2053">
        <v>102356.78</v>
      </c>
      <c r="M2053">
        <v>0</v>
      </c>
      <c r="N2053">
        <v>102356.78</v>
      </c>
      <c r="O2053">
        <v>56359.6</v>
      </c>
      <c r="P2053">
        <v>45997.18</v>
      </c>
      <c r="Q2053">
        <v>0.44940000000000002</v>
      </c>
      <c r="R2053">
        <v>1</v>
      </c>
      <c r="S2053">
        <v>1530.78</v>
      </c>
      <c r="T2053">
        <v>0</v>
      </c>
      <c r="U2053">
        <v>1968.4</v>
      </c>
    </row>
    <row r="2054" spans="1:21" x14ac:dyDescent="0.35">
      <c r="A2054">
        <v>2026</v>
      </c>
      <c r="B2054">
        <v>3</v>
      </c>
      <c r="C2054">
        <v>1</v>
      </c>
      <c r="D2054" s="1">
        <v>46082</v>
      </c>
      <c r="E2054" s="4" t="s">
        <v>36</v>
      </c>
      <c r="F2054" s="4" t="s">
        <v>24</v>
      </c>
      <c r="G2054" s="4" t="s">
        <v>108</v>
      </c>
      <c r="H2054">
        <v>29</v>
      </c>
      <c r="I2054">
        <v>42</v>
      </c>
      <c r="J2054">
        <v>0</v>
      </c>
      <c r="K2054">
        <v>42</v>
      </c>
      <c r="L2054">
        <v>71116</v>
      </c>
      <c r="M2054">
        <v>0</v>
      </c>
      <c r="N2054">
        <v>71116</v>
      </c>
      <c r="O2054">
        <v>39113.800000000003</v>
      </c>
      <c r="P2054">
        <v>32002.2</v>
      </c>
      <c r="Q2054">
        <v>0.45</v>
      </c>
      <c r="R2054">
        <v>0</v>
      </c>
      <c r="S2054">
        <v>0</v>
      </c>
      <c r="T2054">
        <v>0</v>
      </c>
      <c r="U2054">
        <v>2452.2800000000002</v>
      </c>
    </row>
    <row r="2055" spans="1:21" x14ac:dyDescent="0.35">
      <c r="A2055">
        <v>2026</v>
      </c>
      <c r="B2055">
        <v>3</v>
      </c>
      <c r="C2055">
        <v>1</v>
      </c>
      <c r="D2055" s="1">
        <v>46082</v>
      </c>
      <c r="E2055" s="4" t="s">
        <v>36</v>
      </c>
      <c r="F2055" s="4" t="s">
        <v>24</v>
      </c>
      <c r="G2055" s="4" t="s">
        <v>109</v>
      </c>
      <c r="H2055">
        <v>135</v>
      </c>
      <c r="I2055">
        <v>212</v>
      </c>
      <c r="J2055">
        <v>6</v>
      </c>
      <c r="K2055">
        <v>206</v>
      </c>
      <c r="L2055">
        <v>335890.19</v>
      </c>
      <c r="M2055">
        <v>8818</v>
      </c>
      <c r="N2055">
        <v>327072.19</v>
      </c>
      <c r="O2055">
        <v>186463.75</v>
      </c>
      <c r="P2055">
        <v>140608.44</v>
      </c>
      <c r="Q2055">
        <v>0.4299</v>
      </c>
      <c r="R2055">
        <v>16</v>
      </c>
      <c r="S2055">
        <v>55419.19</v>
      </c>
      <c r="T2055">
        <v>0</v>
      </c>
      <c r="U2055">
        <v>2422.7600000000002</v>
      </c>
    </row>
    <row r="2056" spans="1:21" x14ac:dyDescent="0.35">
      <c r="A2056">
        <v>2026</v>
      </c>
      <c r="B2056">
        <v>3</v>
      </c>
      <c r="C2056">
        <v>1</v>
      </c>
      <c r="D2056" s="1">
        <v>46082</v>
      </c>
      <c r="E2056" s="4" t="s">
        <v>36</v>
      </c>
      <c r="F2056" s="4" t="s">
        <v>26</v>
      </c>
      <c r="G2056" s="4" t="s">
        <v>107</v>
      </c>
      <c r="H2056">
        <v>3</v>
      </c>
      <c r="I2056">
        <v>5</v>
      </c>
      <c r="J2056">
        <v>0</v>
      </c>
      <c r="K2056">
        <v>5</v>
      </c>
      <c r="L2056">
        <v>2345</v>
      </c>
      <c r="M2056">
        <v>0</v>
      </c>
      <c r="N2056">
        <v>2345</v>
      </c>
      <c r="O2056">
        <v>1407</v>
      </c>
      <c r="P2056">
        <v>938</v>
      </c>
      <c r="Q2056">
        <v>0.4</v>
      </c>
      <c r="R2056">
        <v>0</v>
      </c>
      <c r="S2056">
        <v>0</v>
      </c>
      <c r="T2056">
        <v>0</v>
      </c>
      <c r="U2056">
        <v>781.67</v>
      </c>
    </row>
    <row r="2057" spans="1:21" x14ac:dyDescent="0.35">
      <c r="A2057">
        <v>2026</v>
      </c>
      <c r="B2057">
        <v>3</v>
      </c>
      <c r="C2057">
        <v>1</v>
      </c>
      <c r="D2057" s="1">
        <v>46082</v>
      </c>
      <c r="E2057" s="4" t="s">
        <v>36</v>
      </c>
      <c r="F2057" s="4" t="s">
        <v>26</v>
      </c>
      <c r="G2057" s="4" t="s">
        <v>109</v>
      </c>
      <c r="H2057">
        <v>50</v>
      </c>
      <c r="I2057">
        <v>77</v>
      </c>
      <c r="J2057">
        <v>2</v>
      </c>
      <c r="K2057">
        <v>75</v>
      </c>
      <c r="L2057">
        <v>61047.27</v>
      </c>
      <c r="M2057">
        <v>1306</v>
      </c>
      <c r="N2057">
        <v>59741.27</v>
      </c>
      <c r="O2057">
        <v>36938.400000000001</v>
      </c>
      <c r="P2057">
        <v>22802.87</v>
      </c>
      <c r="Q2057">
        <v>0.38169999999999998</v>
      </c>
      <c r="R2057">
        <v>6</v>
      </c>
      <c r="S2057">
        <v>9050.27</v>
      </c>
      <c r="T2057">
        <v>0</v>
      </c>
      <c r="U2057">
        <v>1194.83</v>
      </c>
    </row>
    <row r="2058" spans="1:21" x14ac:dyDescent="0.35">
      <c r="A2058">
        <v>2026</v>
      </c>
      <c r="B2058">
        <v>3</v>
      </c>
      <c r="C2058">
        <v>1</v>
      </c>
      <c r="D2058" s="1">
        <v>46082</v>
      </c>
      <c r="E2058" s="4" t="s">
        <v>23</v>
      </c>
      <c r="F2058" s="4" t="s">
        <v>28</v>
      </c>
      <c r="G2058" s="4" t="s">
        <v>107</v>
      </c>
      <c r="H2058">
        <v>119</v>
      </c>
      <c r="I2058">
        <v>164</v>
      </c>
      <c r="J2058">
        <v>0</v>
      </c>
      <c r="K2058">
        <v>164</v>
      </c>
      <c r="L2058">
        <v>53809.760000000002</v>
      </c>
      <c r="M2058">
        <v>0</v>
      </c>
      <c r="N2058">
        <v>53809.760000000002</v>
      </c>
      <c r="O2058">
        <v>19401.2</v>
      </c>
      <c r="P2058">
        <v>34408.559999999998</v>
      </c>
      <c r="Q2058">
        <v>0.63939999999999997</v>
      </c>
      <c r="R2058">
        <v>12</v>
      </c>
      <c r="S2058">
        <v>6151.76</v>
      </c>
      <c r="T2058">
        <v>0</v>
      </c>
      <c r="U2058">
        <v>452.18</v>
      </c>
    </row>
    <row r="2059" spans="1:21" x14ac:dyDescent="0.35">
      <c r="A2059">
        <v>2026</v>
      </c>
      <c r="B2059">
        <v>3</v>
      </c>
      <c r="C2059">
        <v>1</v>
      </c>
      <c r="D2059" s="1">
        <v>46082</v>
      </c>
      <c r="E2059" s="4" t="s">
        <v>23</v>
      </c>
      <c r="F2059" s="4" t="s">
        <v>28</v>
      </c>
      <c r="G2059" s="4" t="s">
        <v>108</v>
      </c>
      <c r="H2059">
        <v>46</v>
      </c>
      <c r="I2059">
        <v>66</v>
      </c>
      <c r="J2059">
        <v>0</v>
      </c>
      <c r="K2059">
        <v>66</v>
      </c>
      <c r="L2059">
        <v>44724.86</v>
      </c>
      <c r="M2059">
        <v>0</v>
      </c>
      <c r="N2059">
        <v>44724.86</v>
      </c>
      <c r="O2059">
        <v>16239.3</v>
      </c>
      <c r="P2059">
        <v>28485.56</v>
      </c>
      <c r="Q2059">
        <v>0.63690000000000002</v>
      </c>
      <c r="R2059">
        <v>6</v>
      </c>
      <c r="S2059">
        <v>5356.86</v>
      </c>
      <c r="T2059">
        <v>0</v>
      </c>
      <c r="U2059">
        <v>972.28</v>
      </c>
    </row>
    <row r="2060" spans="1:21" x14ac:dyDescent="0.35">
      <c r="A2060">
        <v>2026</v>
      </c>
      <c r="B2060">
        <v>3</v>
      </c>
      <c r="C2060">
        <v>1</v>
      </c>
      <c r="D2060" s="1">
        <v>46082</v>
      </c>
      <c r="E2060" s="4" t="s">
        <v>23</v>
      </c>
      <c r="F2060" s="4" t="s">
        <v>28</v>
      </c>
      <c r="G2060" s="4" t="s">
        <v>109</v>
      </c>
      <c r="H2060">
        <v>699</v>
      </c>
      <c r="I2060">
        <v>1019</v>
      </c>
      <c r="J2060">
        <v>0</v>
      </c>
      <c r="K2060">
        <v>1019</v>
      </c>
      <c r="L2060">
        <v>489240.44</v>
      </c>
      <c r="M2060">
        <v>0</v>
      </c>
      <c r="N2060">
        <v>489240.44</v>
      </c>
      <c r="O2060">
        <v>178149.65</v>
      </c>
      <c r="P2060">
        <v>311090.78999999998</v>
      </c>
      <c r="Q2060">
        <v>0.63590000000000002</v>
      </c>
      <c r="R2060">
        <v>102</v>
      </c>
      <c r="S2060">
        <v>81132.399999999994</v>
      </c>
      <c r="T2060">
        <v>0</v>
      </c>
      <c r="U2060">
        <v>699.91</v>
      </c>
    </row>
    <row r="2061" spans="1:21" x14ac:dyDescent="0.35">
      <c r="A2061">
        <v>2026</v>
      </c>
      <c r="B2061">
        <v>3</v>
      </c>
      <c r="C2061">
        <v>1</v>
      </c>
      <c r="D2061" s="1">
        <v>46082</v>
      </c>
      <c r="E2061" s="4" t="s">
        <v>23</v>
      </c>
      <c r="F2061" s="4" t="s">
        <v>35</v>
      </c>
      <c r="G2061" s="4" t="s">
        <v>107</v>
      </c>
      <c r="H2061">
        <v>1</v>
      </c>
      <c r="I2061">
        <v>1</v>
      </c>
      <c r="J2061">
        <v>0</v>
      </c>
      <c r="K2061">
        <v>1</v>
      </c>
      <c r="L2061">
        <v>519</v>
      </c>
      <c r="M2061">
        <v>0</v>
      </c>
      <c r="N2061">
        <v>519</v>
      </c>
      <c r="O2061">
        <v>103.8</v>
      </c>
      <c r="P2061">
        <v>415.2</v>
      </c>
      <c r="Q2061">
        <v>0.8</v>
      </c>
      <c r="R2061">
        <v>0</v>
      </c>
      <c r="S2061">
        <v>0</v>
      </c>
      <c r="T2061">
        <v>0</v>
      </c>
      <c r="U2061">
        <v>519</v>
      </c>
    </row>
    <row r="2062" spans="1:21" x14ac:dyDescent="0.35">
      <c r="A2062">
        <v>2026</v>
      </c>
      <c r="B2062">
        <v>3</v>
      </c>
      <c r="C2062">
        <v>1</v>
      </c>
      <c r="D2062" s="1">
        <v>46082</v>
      </c>
      <c r="E2062" s="4" t="s">
        <v>23</v>
      </c>
      <c r="F2062" s="4" t="s">
        <v>35</v>
      </c>
      <c r="G2062" s="4" t="s">
        <v>108</v>
      </c>
      <c r="H2062">
        <v>1</v>
      </c>
      <c r="I2062">
        <v>1</v>
      </c>
      <c r="J2062">
        <v>0</v>
      </c>
      <c r="K2062">
        <v>1</v>
      </c>
      <c r="L2062">
        <v>105</v>
      </c>
      <c r="M2062">
        <v>0</v>
      </c>
      <c r="N2062">
        <v>105</v>
      </c>
      <c r="O2062">
        <v>30</v>
      </c>
      <c r="P2062">
        <v>75</v>
      </c>
      <c r="Q2062">
        <v>0.71430000000000005</v>
      </c>
      <c r="R2062">
        <v>1</v>
      </c>
      <c r="S2062">
        <v>105</v>
      </c>
      <c r="T2062">
        <v>0</v>
      </c>
      <c r="U2062">
        <v>105</v>
      </c>
    </row>
    <row r="2063" spans="1:21" x14ac:dyDescent="0.35">
      <c r="A2063">
        <v>2026</v>
      </c>
      <c r="B2063">
        <v>3</v>
      </c>
      <c r="C2063">
        <v>1</v>
      </c>
      <c r="D2063" s="1">
        <v>46082</v>
      </c>
      <c r="E2063" s="4" t="s">
        <v>23</v>
      </c>
      <c r="F2063" s="4" t="s">
        <v>35</v>
      </c>
      <c r="G2063" s="4" t="s">
        <v>109</v>
      </c>
      <c r="H2063">
        <v>1</v>
      </c>
      <c r="I2063">
        <v>3</v>
      </c>
      <c r="J2063">
        <v>0</v>
      </c>
      <c r="K2063">
        <v>3</v>
      </c>
      <c r="L2063">
        <v>464.52</v>
      </c>
      <c r="M2063">
        <v>0</v>
      </c>
      <c r="N2063">
        <v>464.52</v>
      </c>
      <c r="O2063">
        <v>117.6</v>
      </c>
      <c r="P2063">
        <v>346.92</v>
      </c>
      <c r="Q2063">
        <v>0.74680000000000002</v>
      </c>
      <c r="R2063">
        <v>1</v>
      </c>
      <c r="S2063">
        <v>464.52</v>
      </c>
      <c r="T2063">
        <v>0</v>
      </c>
      <c r="U2063">
        <v>464.52</v>
      </c>
    </row>
    <row r="2064" spans="1:21" x14ac:dyDescent="0.35">
      <c r="A2064">
        <v>2026</v>
      </c>
      <c r="B2064">
        <v>3</v>
      </c>
      <c r="C2064">
        <v>1</v>
      </c>
      <c r="D2064" s="1">
        <v>46082</v>
      </c>
      <c r="E2064" s="4" t="s">
        <v>23</v>
      </c>
      <c r="F2064" s="4" t="s">
        <v>24</v>
      </c>
      <c r="G2064" s="4" t="s">
        <v>107</v>
      </c>
      <c r="H2064">
        <v>73</v>
      </c>
      <c r="I2064">
        <v>124</v>
      </c>
      <c r="J2064">
        <v>2</v>
      </c>
      <c r="K2064">
        <v>122</v>
      </c>
      <c r="L2064">
        <v>210400.39</v>
      </c>
      <c r="M2064">
        <v>3720</v>
      </c>
      <c r="N2064">
        <v>206680.39</v>
      </c>
      <c r="O2064">
        <v>118828.6</v>
      </c>
      <c r="P2064">
        <v>87851.79</v>
      </c>
      <c r="Q2064">
        <v>0.42509999999999998</v>
      </c>
      <c r="R2064">
        <v>8</v>
      </c>
      <c r="S2064">
        <v>24573.39</v>
      </c>
      <c r="T2064">
        <v>0</v>
      </c>
      <c r="U2064">
        <v>2831.24</v>
      </c>
    </row>
    <row r="2065" spans="1:21" x14ac:dyDescent="0.35">
      <c r="A2065">
        <v>2026</v>
      </c>
      <c r="B2065">
        <v>3</v>
      </c>
      <c r="C2065">
        <v>1</v>
      </c>
      <c r="D2065" s="1">
        <v>46082</v>
      </c>
      <c r="E2065" s="4" t="s">
        <v>23</v>
      </c>
      <c r="F2065" s="4" t="s">
        <v>24</v>
      </c>
      <c r="G2065" s="4" t="s">
        <v>109</v>
      </c>
      <c r="H2065">
        <v>156</v>
      </c>
      <c r="I2065">
        <v>222</v>
      </c>
      <c r="J2065">
        <v>7</v>
      </c>
      <c r="K2065">
        <v>215</v>
      </c>
      <c r="L2065">
        <v>241380.77</v>
      </c>
      <c r="M2065">
        <v>6094</v>
      </c>
      <c r="N2065">
        <v>235286.77</v>
      </c>
      <c r="O2065">
        <v>132376.75</v>
      </c>
      <c r="P2065">
        <v>102910.02</v>
      </c>
      <c r="Q2065">
        <v>0.43740000000000001</v>
      </c>
      <c r="R2065">
        <v>18</v>
      </c>
      <c r="S2065">
        <v>26172.95</v>
      </c>
      <c r="T2065">
        <v>0</v>
      </c>
      <c r="U2065">
        <v>1508.25</v>
      </c>
    </row>
    <row r="2066" spans="1:21" x14ac:dyDescent="0.35">
      <c r="A2066">
        <v>2026</v>
      </c>
      <c r="B2066">
        <v>3</v>
      </c>
      <c r="C2066">
        <v>1</v>
      </c>
      <c r="D2066" s="1">
        <v>46082</v>
      </c>
      <c r="E2066" s="4" t="s">
        <v>23</v>
      </c>
      <c r="F2066" s="4" t="s">
        <v>26</v>
      </c>
      <c r="G2066" s="4" t="s">
        <v>107</v>
      </c>
      <c r="H2066">
        <v>7</v>
      </c>
      <c r="I2066">
        <v>7</v>
      </c>
      <c r="J2066">
        <v>0</v>
      </c>
      <c r="K2066">
        <v>7</v>
      </c>
      <c r="L2066">
        <v>4097</v>
      </c>
      <c r="M2066">
        <v>0</v>
      </c>
      <c r="N2066">
        <v>4097</v>
      </c>
      <c r="O2066">
        <v>2458.1999999999998</v>
      </c>
      <c r="P2066">
        <v>1638.8</v>
      </c>
      <c r="Q2066">
        <v>0.4</v>
      </c>
      <c r="R2066">
        <v>0</v>
      </c>
      <c r="S2066">
        <v>0</v>
      </c>
      <c r="T2066">
        <v>0</v>
      </c>
      <c r="U2066">
        <v>585.29</v>
      </c>
    </row>
    <row r="2067" spans="1:21" x14ac:dyDescent="0.35">
      <c r="A2067">
        <v>2026</v>
      </c>
      <c r="B2067">
        <v>3</v>
      </c>
      <c r="C2067">
        <v>1</v>
      </c>
      <c r="D2067" s="1">
        <v>46082</v>
      </c>
      <c r="E2067" s="4" t="s">
        <v>23</v>
      </c>
      <c r="F2067" s="4" t="s">
        <v>26</v>
      </c>
      <c r="G2067" s="4" t="s">
        <v>109</v>
      </c>
      <c r="H2067">
        <v>24</v>
      </c>
      <c r="I2067">
        <v>38</v>
      </c>
      <c r="J2067">
        <v>0</v>
      </c>
      <c r="K2067">
        <v>38</v>
      </c>
      <c r="L2067">
        <v>20864.04</v>
      </c>
      <c r="M2067">
        <v>0</v>
      </c>
      <c r="N2067">
        <v>20864.04</v>
      </c>
      <c r="O2067">
        <v>12868.2</v>
      </c>
      <c r="P2067">
        <v>7995.84</v>
      </c>
      <c r="Q2067">
        <v>0.38319999999999999</v>
      </c>
      <c r="R2067">
        <v>3</v>
      </c>
      <c r="S2067">
        <v>4451.04</v>
      </c>
      <c r="T2067">
        <v>0</v>
      </c>
      <c r="U2067">
        <v>869.34</v>
      </c>
    </row>
    <row r="2068" spans="1:21" x14ac:dyDescent="0.35">
      <c r="A2068">
        <v>2026</v>
      </c>
      <c r="B2068">
        <v>3</v>
      </c>
      <c r="C2068">
        <v>1</v>
      </c>
      <c r="D2068" s="1">
        <v>46082</v>
      </c>
      <c r="E2068" s="4" t="s">
        <v>25</v>
      </c>
      <c r="F2068" s="4" t="s">
        <v>28</v>
      </c>
      <c r="G2068" s="4" t="s">
        <v>107</v>
      </c>
      <c r="H2068">
        <v>42</v>
      </c>
      <c r="I2068">
        <v>58</v>
      </c>
      <c r="J2068">
        <v>0</v>
      </c>
      <c r="K2068">
        <v>58</v>
      </c>
      <c r="L2068">
        <v>28388.639999999999</v>
      </c>
      <c r="M2068">
        <v>0</v>
      </c>
      <c r="N2068">
        <v>28388.639999999999</v>
      </c>
      <c r="O2068">
        <v>10089.1</v>
      </c>
      <c r="P2068">
        <v>18299.54</v>
      </c>
      <c r="Q2068">
        <v>0.64459999999999995</v>
      </c>
      <c r="R2068">
        <v>2</v>
      </c>
      <c r="S2068">
        <v>1550.64</v>
      </c>
      <c r="T2068">
        <v>0</v>
      </c>
      <c r="U2068">
        <v>675.92</v>
      </c>
    </row>
    <row r="2069" spans="1:21" x14ac:dyDescent="0.35">
      <c r="A2069">
        <v>2026</v>
      </c>
      <c r="B2069">
        <v>3</v>
      </c>
      <c r="C2069">
        <v>1</v>
      </c>
      <c r="D2069" s="1">
        <v>46082</v>
      </c>
      <c r="E2069" s="4" t="s">
        <v>25</v>
      </c>
      <c r="F2069" s="4" t="s">
        <v>28</v>
      </c>
      <c r="G2069" s="4" t="s">
        <v>109</v>
      </c>
      <c r="H2069">
        <v>687</v>
      </c>
      <c r="I2069">
        <v>1043</v>
      </c>
      <c r="J2069">
        <v>0</v>
      </c>
      <c r="K2069">
        <v>1043</v>
      </c>
      <c r="L2069">
        <v>553313.06000000006</v>
      </c>
      <c r="M2069">
        <v>0</v>
      </c>
      <c r="N2069">
        <v>553313.06000000006</v>
      </c>
      <c r="O2069">
        <v>198087.4</v>
      </c>
      <c r="P2069">
        <v>355225.66</v>
      </c>
      <c r="Q2069">
        <v>0.64200000000000002</v>
      </c>
      <c r="R2069">
        <v>61</v>
      </c>
      <c r="S2069">
        <v>58921.1</v>
      </c>
      <c r="T2069">
        <v>0</v>
      </c>
      <c r="U2069">
        <v>805.4</v>
      </c>
    </row>
    <row r="2070" spans="1:21" x14ac:dyDescent="0.35">
      <c r="A2070">
        <v>2026</v>
      </c>
      <c r="B2070">
        <v>3</v>
      </c>
      <c r="C2070">
        <v>1</v>
      </c>
      <c r="D2070" s="1">
        <v>46082</v>
      </c>
      <c r="E2070" s="4" t="s">
        <v>25</v>
      </c>
      <c r="F2070" s="4" t="s">
        <v>35</v>
      </c>
      <c r="G2070" s="4" t="s">
        <v>109</v>
      </c>
      <c r="H2070">
        <v>2</v>
      </c>
      <c r="I2070">
        <v>4</v>
      </c>
      <c r="J2070">
        <v>0</v>
      </c>
      <c r="K2070">
        <v>4</v>
      </c>
      <c r="L2070">
        <v>1518</v>
      </c>
      <c r="M2070">
        <v>0</v>
      </c>
      <c r="N2070">
        <v>1518</v>
      </c>
      <c r="O2070">
        <v>303.60000000000002</v>
      </c>
      <c r="P2070">
        <v>1214.4000000000001</v>
      </c>
      <c r="Q2070">
        <v>0.8</v>
      </c>
      <c r="R2070">
        <v>0</v>
      </c>
      <c r="S2070">
        <v>0</v>
      </c>
      <c r="T2070">
        <v>0</v>
      </c>
      <c r="U2070">
        <v>759</v>
      </c>
    </row>
    <row r="2071" spans="1:21" x14ac:dyDescent="0.35">
      <c r="A2071">
        <v>2026</v>
      </c>
      <c r="B2071">
        <v>3</v>
      </c>
      <c r="C2071">
        <v>1</v>
      </c>
      <c r="D2071" s="1">
        <v>46082</v>
      </c>
      <c r="E2071" s="4" t="s">
        <v>25</v>
      </c>
      <c r="F2071" s="4" t="s">
        <v>24</v>
      </c>
      <c r="G2071" s="4" t="s">
        <v>107</v>
      </c>
      <c r="H2071">
        <v>32</v>
      </c>
      <c r="I2071">
        <v>51</v>
      </c>
      <c r="J2071">
        <v>6</v>
      </c>
      <c r="K2071">
        <v>45</v>
      </c>
      <c r="L2071">
        <v>92204.02</v>
      </c>
      <c r="M2071">
        <v>8976.9599999999991</v>
      </c>
      <c r="N2071">
        <v>83227.06</v>
      </c>
      <c r="O2071">
        <v>46691.15</v>
      </c>
      <c r="P2071">
        <v>36535.910000000003</v>
      </c>
      <c r="Q2071">
        <v>0.439</v>
      </c>
      <c r="R2071">
        <v>4</v>
      </c>
      <c r="S2071">
        <v>8332.06</v>
      </c>
      <c r="T2071">
        <v>0</v>
      </c>
      <c r="U2071">
        <v>2600.85</v>
      </c>
    </row>
    <row r="2072" spans="1:21" x14ac:dyDescent="0.35">
      <c r="A2072">
        <v>2026</v>
      </c>
      <c r="B2072">
        <v>3</v>
      </c>
      <c r="C2072">
        <v>1</v>
      </c>
      <c r="D2072" s="1">
        <v>46082</v>
      </c>
      <c r="E2072" s="4" t="s">
        <v>25</v>
      </c>
      <c r="F2072" s="4" t="s">
        <v>24</v>
      </c>
      <c r="G2072" s="4" t="s">
        <v>109</v>
      </c>
      <c r="H2072">
        <v>225</v>
      </c>
      <c r="I2072">
        <v>331</v>
      </c>
      <c r="J2072">
        <v>5</v>
      </c>
      <c r="K2072">
        <v>326</v>
      </c>
      <c r="L2072">
        <v>488621.3</v>
      </c>
      <c r="M2072">
        <v>8091</v>
      </c>
      <c r="N2072">
        <v>480530.3</v>
      </c>
      <c r="O2072">
        <v>271806.7</v>
      </c>
      <c r="P2072">
        <v>208723.6</v>
      </c>
      <c r="Q2072">
        <v>0.43440000000000001</v>
      </c>
      <c r="R2072">
        <v>17</v>
      </c>
      <c r="S2072">
        <v>54685.77</v>
      </c>
      <c r="T2072">
        <v>0</v>
      </c>
      <c r="U2072">
        <v>2135.69</v>
      </c>
    </row>
    <row r="2073" spans="1:21" x14ac:dyDescent="0.35">
      <c r="A2073">
        <v>2026</v>
      </c>
      <c r="B2073">
        <v>3</v>
      </c>
      <c r="C2073">
        <v>1</v>
      </c>
      <c r="D2073" s="1">
        <v>46082</v>
      </c>
      <c r="E2073" s="4" t="s">
        <v>25</v>
      </c>
      <c r="F2073" s="4" t="s">
        <v>26</v>
      </c>
      <c r="G2073" s="4" t="s">
        <v>107</v>
      </c>
      <c r="H2073">
        <v>14</v>
      </c>
      <c r="I2073">
        <v>24</v>
      </c>
      <c r="J2073">
        <v>2</v>
      </c>
      <c r="K2073">
        <v>22</v>
      </c>
      <c r="L2073">
        <v>20859.310000000001</v>
      </c>
      <c r="M2073">
        <v>2394</v>
      </c>
      <c r="N2073">
        <v>18465.310000000001</v>
      </c>
      <c r="O2073">
        <v>13106.4</v>
      </c>
      <c r="P2073">
        <v>5358.91</v>
      </c>
      <c r="Q2073">
        <v>0.29020000000000001</v>
      </c>
      <c r="R2073">
        <v>3</v>
      </c>
      <c r="S2073">
        <v>8339.31</v>
      </c>
      <c r="T2073">
        <v>0</v>
      </c>
      <c r="U2073">
        <v>1318.95</v>
      </c>
    </row>
    <row r="2074" spans="1:21" x14ac:dyDescent="0.35">
      <c r="A2074">
        <v>2026</v>
      </c>
      <c r="B2074">
        <v>3</v>
      </c>
      <c r="C2074">
        <v>1</v>
      </c>
      <c r="D2074" s="1">
        <v>46082</v>
      </c>
      <c r="E2074" s="4" t="s">
        <v>25</v>
      </c>
      <c r="F2074" s="4" t="s">
        <v>26</v>
      </c>
      <c r="G2074" s="4" t="s">
        <v>109</v>
      </c>
      <c r="H2074">
        <v>54</v>
      </c>
      <c r="I2074">
        <v>85</v>
      </c>
      <c r="J2074">
        <v>2</v>
      </c>
      <c r="K2074">
        <v>83</v>
      </c>
      <c r="L2074">
        <v>61409.66</v>
      </c>
      <c r="M2074">
        <v>2314</v>
      </c>
      <c r="N2074">
        <v>59095.66</v>
      </c>
      <c r="O2074">
        <v>37117.800000000003</v>
      </c>
      <c r="P2074">
        <v>21977.86</v>
      </c>
      <c r="Q2074">
        <v>0.37190000000000001</v>
      </c>
      <c r="R2074">
        <v>8</v>
      </c>
      <c r="S2074">
        <v>8981.66</v>
      </c>
      <c r="T2074">
        <v>0</v>
      </c>
      <c r="U2074">
        <v>1094.3599999999999</v>
      </c>
    </row>
    <row r="2075" spans="1:21" x14ac:dyDescent="0.35">
      <c r="A2075">
        <v>2026</v>
      </c>
      <c r="B2075">
        <v>3</v>
      </c>
      <c r="C2075">
        <v>1</v>
      </c>
      <c r="D2075" s="1">
        <v>46082</v>
      </c>
      <c r="E2075" s="4" t="s">
        <v>29</v>
      </c>
      <c r="F2075" s="4" t="s">
        <v>28</v>
      </c>
      <c r="G2075" s="4" t="s">
        <v>107</v>
      </c>
      <c r="H2075">
        <v>255</v>
      </c>
      <c r="I2075">
        <v>384</v>
      </c>
      <c r="J2075">
        <v>0</v>
      </c>
      <c r="K2075">
        <v>384</v>
      </c>
      <c r="L2075">
        <v>171115.92</v>
      </c>
      <c r="M2075">
        <v>0</v>
      </c>
      <c r="N2075">
        <v>171115.92</v>
      </c>
      <c r="O2075">
        <v>61168.800000000003</v>
      </c>
      <c r="P2075">
        <v>109947.12</v>
      </c>
      <c r="Q2075">
        <v>0.64249999999999996</v>
      </c>
      <c r="R2075">
        <v>19</v>
      </c>
      <c r="S2075">
        <v>16279.92</v>
      </c>
      <c r="T2075">
        <v>0</v>
      </c>
      <c r="U2075">
        <v>671.04</v>
      </c>
    </row>
    <row r="2076" spans="1:21" x14ac:dyDescent="0.35">
      <c r="A2076">
        <v>2026</v>
      </c>
      <c r="B2076">
        <v>3</v>
      </c>
      <c r="C2076">
        <v>1</v>
      </c>
      <c r="D2076" s="1">
        <v>46082</v>
      </c>
      <c r="E2076" s="4" t="s">
        <v>29</v>
      </c>
      <c r="F2076" s="4" t="s">
        <v>28</v>
      </c>
      <c r="G2076" s="4" t="s">
        <v>108</v>
      </c>
      <c r="H2076">
        <v>46</v>
      </c>
      <c r="I2076">
        <v>64</v>
      </c>
      <c r="J2076">
        <v>0</v>
      </c>
      <c r="K2076">
        <v>64</v>
      </c>
      <c r="L2076">
        <v>37835.839999999997</v>
      </c>
      <c r="M2076">
        <v>0</v>
      </c>
      <c r="N2076">
        <v>37835.839999999997</v>
      </c>
      <c r="O2076">
        <v>13619.2</v>
      </c>
      <c r="P2076">
        <v>24216.639999999999</v>
      </c>
      <c r="Q2076">
        <v>0.64</v>
      </c>
      <c r="R2076">
        <v>6</v>
      </c>
      <c r="S2076">
        <v>5611.84</v>
      </c>
      <c r="T2076">
        <v>0</v>
      </c>
      <c r="U2076">
        <v>822.52</v>
      </c>
    </row>
    <row r="2077" spans="1:21" x14ac:dyDescent="0.35">
      <c r="A2077">
        <v>2026</v>
      </c>
      <c r="B2077">
        <v>3</v>
      </c>
      <c r="C2077">
        <v>1</v>
      </c>
      <c r="D2077" s="1">
        <v>46082</v>
      </c>
      <c r="E2077" s="4" t="s">
        <v>29</v>
      </c>
      <c r="F2077" s="4" t="s">
        <v>28</v>
      </c>
      <c r="G2077" s="4" t="s">
        <v>109</v>
      </c>
      <c r="H2077">
        <v>958</v>
      </c>
      <c r="I2077">
        <v>1477</v>
      </c>
      <c r="J2077">
        <v>0</v>
      </c>
      <c r="K2077">
        <v>1477</v>
      </c>
      <c r="L2077">
        <v>711692.12</v>
      </c>
      <c r="M2077">
        <v>0</v>
      </c>
      <c r="N2077">
        <v>711692.12</v>
      </c>
      <c r="O2077">
        <v>256412.79999999999</v>
      </c>
      <c r="P2077">
        <v>455279.32</v>
      </c>
      <c r="Q2077">
        <v>0.63970000000000005</v>
      </c>
      <c r="R2077">
        <v>102</v>
      </c>
      <c r="S2077">
        <v>85121.3</v>
      </c>
      <c r="T2077">
        <v>0</v>
      </c>
      <c r="U2077">
        <v>742.89</v>
      </c>
    </row>
    <row r="2078" spans="1:21" x14ac:dyDescent="0.35">
      <c r="A2078">
        <v>2026</v>
      </c>
      <c r="B2078">
        <v>3</v>
      </c>
      <c r="C2078">
        <v>1</v>
      </c>
      <c r="D2078" s="1">
        <v>46082</v>
      </c>
      <c r="E2078" s="4" t="s">
        <v>29</v>
      </c>
      <c r="F2078" s="4" t="s">
        <v>24</v>
      </c>
      <c r="G2078" s="4" t="s">
        <v>107</v>
      </c>
      <c r="H2078">
        <v>9</v>
      </c>
      <c r="I2078">
        <v>16</v>
      </c>
      <c r="J2078">
        <v>1</v>
      </c>
      <c r="K2078">
        <v>15</v>
      </c>
      <c r="L2078">
        <v>13340.16</v>
      </c>
      <c r="M2078">
        <v>864</v>
      </c>
      <c r="N2078">
        <v>12476.16</v>
      </c>
      <c r="O2078">
        <v>7128</v>
      </c>
      <c r="P2078">
        <v>5348.16</v>
      </c>
      <c r="Q2078">
        <v>0.42870000000000003</v>
      </c>
      <c r="R2078">
        <v>3</v>
      </c>
      <c r="S2078">
        <v>5564.16</v>
      </c>
      <c r="T2078">
        <v>0</v>
      </c>
      <c r="U2078">
        <v>1386.24</v>
      </c>
    </row>
    <row r="2079" spans="1:21" x14ac:dyDescent="0.35">
      <c r="A2079">
        <v>2026</v>
      </c>
      <c r="B2079">
        <v>3</v>
      </c>
      <c r="C2079">
        <v>1</v>
      </c>
      <c r="D2079" s="1">
        <v>46082</v>
      </c>
      <c r="E2079" s="4" t="s">
        <v>29</v>
      </c>
      <c r="F2079" s="4" t="s">
        <v>24</v>
      </c>
      <c r="G2079" s="4" t="s">
        <v>108</v>
      </c>
      <c r="H2079">
        <v>20</v>
      </c>
      <c r="I2079">
        <v>28</v>
      </c>
      <c r="J2079">
        <v>0</v>
      </c>
      <c r="K2079">
        <v>28</v>
      </c>
      <c r="L2079">
        <v>19269.740000000002</v>
      </c>
      <c r="M2079">
        <v>0</v>
      </c>
      <c r="N2079">
        <v>19269.740000000002</v>
      </c>
      <c r="O2079">
        <v>11426.8</v>
      </c>
      <c r="P2079">
        <v>7842.94</v>
      </c>
      <c r="Q2079">
        <v>0.40699999999999997</v>
      </c>
      <c r="R2079">
        <v>4</v>
      </c>
      <c r="S2079">
        <v>4429.74</v>
      </c>
      <c r="T2079">
        <v>0</v>
      </c>
      <c r="U2079">
        <v>963.49</v>
      </c>
    </row>
    <row r="2080" spans="1:21" x14ac:dyDescent="0.35">
      <c r="A2080">
        <v>2026</v>
      </c>
      <c r="B2080">
        <v>3</v>
      </c>
      <c r="C2080">
        <v>1</v>
      </c>
      <c r="D2080" s="1">
        <v>46082</v>
      </c>
      <c r="E2080" s="4" t="s">
        <v>29</v>
      </c>
      <c r="F2080" s="4" t="s">
        <v>24</v>
      </c>
      <c r="G2080" s="4" t="s">
        <v>109</v>
      </c>
      <c r="H2080">
        <v>180</v>
      </c>
      <c r="I2080">
        <v>268</v>
      </c>
      <c r="J2080">
        <v>6</v>
      </c>
      <c r="K2080">
        <v>262</v>
      </c>
      <c r="L2080">
        <v>554928</v>
      </c>
      <c r="M2080">
        <v>10990</v>
      </c>
      <c r="N2080">
        <v>543938</v>
      </c>
      <c r="O2080">
        <v>309175.34999999998</v>
      </c>
      <c r="P2080">
        <v>234762.65</v>
      </c>
      <c r="Q2080">
        <v>0.43159999999999998</v>
      </c>
      <c r="R2080">
        <v>19</v>
      </c>
      <c r="S2080">
        <v>81743</v>
      </c>
      <c r="T2080">
        <v>0</v>
      </c>
      <c r="U2080">
        <v>3021.88</v>
      </c>
    </row>
    <row r="2081" spans="1:21" x14ac:dyDescent="0.35">
      <c r="A2081">
        <v>2026</v>
      </c>
      <c r="B2081">
        <v>3</v>
      </c>
      <c r="C2081">
        <v>1</v>
      </c>
      <c r="D2081" s="1">
        <v>46082</v>
      </c>
      <c r="E2081" s="4" t="s">
        <v>29</v>
      </c>
      <c r="F2081" s="4" t="s">
        <v>26</v>
      </c>
      <c r="G2081" s="4" t="s">
        <v>107</v>
      </c>
      <c r="H2081">
        <v>24</v>
      </c>
      <c r="I2081">
        <v>36</v>
      </c>
      <c r="J2081">
        <v>0</v>
      </c>
      <c r="K2081">
        <v>36</v>
      </c>
      <c r="L2081">
        <v>25824.89</v>
      </c>
      <c r="M2081">
        <v>0</v>
      </c>
      <c r="N2081">
        <v>25824.89</v>
      </c>
      <c r="O2081">
        <v>15934.8</v>
      </c>
      <c r="P2081">
        <v>9890.09</v>
      </c>
      <c r="Q2081">
        <v>0.38300000000000001</v>
      </c>
      <c r="R2081">
        <v>3</v>
      </c>
      <c r="S2081">
        <v>3218.89</v>
      </c>
      <c r="T2081">
        <v>0</v>
      </c>
      <c r="U2081">
        <v>1076.04</v>
      </c>
    </row>
    <row r="2082" spans="1:21" x14ac:dyDescent="0.35">
      <c r="A2082">
        <v>2026</v>
      </c>
      <c r="B2082">
        <v>3</v>
      </c>
      <c r="C2082">
        <v>1</v>
      </c>
      <c r="D2082" s="1">
        <v>46082</v>
      </c>
      <c r="E2082" s="4" t="s">
        <v>29</v>
      </c>
      <c r="F2082" s="4" t="s">
        <v>26</v>
      </c>
      <c r="G2082" s="4" t="s">
        <v>109</v>
      </c>
      <c r="H2082">
        <v>34</v>
      </c>
      <c r="I2082">
        <v>56</v>
      </c>
      <c r="J2082">
        <v>4</v>
      </c>
      <c r="K2082">
        <v>52</v>
      </c>
      <c r="L2082">
        <v>43150.61</v>
      </c>
      <c r="M2082">
        <v>3248</v>
      </c>
      <c r="N2082">
        <v>39902.61</v>
      </c>
      <c r="O2082">
        <v>24945</v>
      </c>
      <c r="P2082">
        <v>14957.61</v>
      </c>
      <c r="Q2082">
        <v>0.37490000000000001</v>
      </c>
      <c r="R2082">
        <v>4</v>
      </c>
      <c r="S2082">
        <v>5588.61</v>
      </c>
      <c r="T2082">
        <v>0</v>
      </c>
      <c r="U2082">
        <v>1173.6099999999999</v>
      </c>
    </row>
    <row r="2083" spans="1:21" x14ac:dyDescent="0.35">
      <c r="A2083">
        <v>2026</v>
      </c>
      <c r="B2083">
        <v>3</v>
      </c>
      <c r="C2083">
        <v>1</v>
      </c>
      <c r="D2083" s="1">
        <v>46082</v>
      </c>
      <c r="E2083" s="4" t="s">
        <v>31</v>
      </c>
      <c r="F2083" s="4" t="s">
        <v>28</v>
      </c>
      <c r="G2083" s="4" t="s">
        <v>107</v>
      </c>
      <c r="H2083">
        <v>83</v>
      </c>
      <c r="I2083">
        <v>122</v>
      </c>
      <c r="J2083">
        <v>0</v>
      </c>
      <c r="K2083">
        <v>122</v>
      </c>
      <c r="L2083">
        <v>46364.27</v>
      </c>
      <c r="M2083">
        <v>0</v>
      </c>
      <c r="N2083">
        <v>46364.27</v>
      </c>
      <c r="O2083">
        <v>16958.55</v>
      </c>
      <c r="P2083">
        <v>29405.72</v>
      </c>
      <c r="Q2083">
        <v>0.63419999999999999</v>
      </c>
      <c r="R2083">
        <v>16</v>
      </c>
      <c r="S2083">
        <v>10647.27</v>
      </c>
      <c r="T2083">
        <v>0</v>
      </c>
      <c r="U2083">
        <v>558.61</v>
      </c>
    </row>
    <row r="2084" spans="1:21" x14ac:dyDescent="0.35">
      <c r="A2084">
        <v>2026</v>
      </c>
      <c r="B2084">
        <v>3</v>
      </c>
      <c r="C2084">
        <v>1</v>
      </c>
      <c r="D2084" s="1">
        <v>46082</v>
      </c>
      <c r="E2084" s="4" t="s">
        <v>31</v>
      </c>
      <c r="F2084" s="4" t="s">
        <v>28</v>
      </c>
      <c r="G2084" s="4" t="s">
        <v>108</v>
      </c>
      <c r="H2084">
        <v>324</v>
      </c>
      <c r="I2084">
        <v>497</v>
      </c>
      <c r="J2084">
        <v>0</v>
      </c>
      <c r="K2084">
        <v>497</v>
      </c>
      <c r="L2084">
        <v>195438.35</v>
      </c>
      <c r="M2084">
        <v>0</v>
      </c>
      <c r="N2084">
        <v>195438.35</v>
      </c>
      <c r="O2084">
        <v>71017.100000000006</v>
      </c>
      <c r="P2084">
        <v>124421.25</v>
      </c>
      <c r="Q2084">
        <v>0.63660000000000005</v>
      </c>
      <c r="R2084">
        <v>45</v>
      </c>
      <c r="S2084">
        <v>32328.76</v>
      </c>
      <c r="T2084">
        <v>0</v>
      </c>
      <c r="U2084">
        <v>603.20000000000005</v>
      </c>
    </row>
    <row r="2085" spans="1:21" x14ac:dyDescent="0.35">
      <c r="A2085">
        <v>2026</v>
      </c>
      <c r="B2085">
        <v>3</v>
      </c>
      <c r="C2085">
        <v>1</v>
      </c>
      <c r="D2085" s="1">
        <v>46082</v>
      </c>
      <c r="E2085" s="4" t="s">
        <v>31</v>
      </c>
      <c r="F2085" s="4" t="s">
        <v>28</v>
      </c>
      <c r="G2085" s="4" t="s">
        <v>109</v>
      </c>
      <c r="H2085">
        <v>1043</v>
      </c>
      <c r="I2085">
        <v>1634</v>
      </c>
      <c r="J2085">
        <v>0</v>
      </c>
      <c r="K2085">
        <v>1634</v>
      </c>
      <c r="L2085">
        <v>815644.39</v>
      </c>
      <c r="M2085">
        <v>0</v>
      </c>
      <c r="N2085">
        <v>815644.39</v>
      </c>
      <c r="O2085">
        <v>296790.2</v>
      </c>
      <c r="P2085">
        <v>518854.19</v>
      </c>
      <c r="Q2085">
        <v>0.6361</v>
      </c>
      <c r="R2085">
        <v>137</v>
      </c>
      <c r="S2085">
        <v>127092.65</v>
      </c>
      <c r="T2085">
        <v>0</v>
      </c>
      <c r="U2085">
        <v>782.02</v>
      </c>
    </row>
    <row r="2086" spans="1:21" x14ac:dyDescent="0.35">
      <c r="A2086">
        <v>2026</v>
      </c>
      <c r="B2086">
        <v>3</v>
      </c>
      <c r="C2086">
        <v>1</v>
      </c>
      <c r="D2086" s="1">
        <v>46082</v>
      </c>
      <c r="E2086" s="4" t="s">
        <v>31</v>
      </c>
      <c r="F2086" s="4" t="s">
        <v>35</v>
      </c>
      <c r="G2086" s="4" t="s">
        <v>107</v>
      </c>
      <c r="H2086">
        <v>1</v>
      </c>
      <c r="I2086">
        <v>3</v>
      </c>
      <c r="J2086">
        <v>0</v>
      </c>
      <c r="K2086">
        <v>3</v>
      </c>
      <c r="L2086">
        <v>639</v>
      </c>
      <c r="M2086">
        <v>0</v>
      </c>
      <c r="N2086">
        <v>639</v>
      </c>
      <c r="O2086">
        <v>127.8</v>
      </c>
      <c r="P2086">
        <v>511.2</v>
      </c>
      <c r="Q2086">
        <v>0.8</v>
      </c>
      <c r="R2086">
        <v>0</v>
      </c>
      <c r="S2086">
        <v>0</v>
      </c>
      <c r="T2086">
        <v>0</v>
      </c>
      <c r="U2086">
        <v>639</v>
      </c>
    </row>
    <row r="2087" spans="1:21" x14ac:dyDescent="0.35">
      <c r="A2087">
        <v>2026</v>
      </c>
      <c r="B2087">
        <v>3</v>
      </c>
      <c r="C2087">
        <v>1</v>
      </c>
      <c r="D2087" s="1">
        <v>46082</v>
      </c>
      <c r="E2087" s="4" t="s">
        <v>31</v>
      </c>
      <c r="F2087" s="4" t="s">
        <v>24</v>
      </c>
      <c r="G2087" s="4" t="s">
        <v>107</v>
      </c>
      <c r="H2087">
        <v>13</v>
      </c>
      <c r="I2087">
        <v>18</v>
      </c>
      <c r="J2087">
        <v>0</v>
      </c>
      <c r="K2087">
        <v>18</v>
      </c>
      <c r="L2087">
        <v>30118.400000000001</v>
      </c>
      <c r="M2087">
        <v>0</v>
      </c>
      <c r="N2087">
        <v>30118.400000000001</v>
      </c>
      <c r="O2087">
        <v>17919</v>
      </c>
      <c r="P2087">
        <v>12199.4</v>
      </c>
      <c r="Q2087">
        <v>0.40500000000000003</v>
      </c>
      <c r="R2087">
        <v>2</v>
      </c>
      <c r="S2087">
        <v>6588.4</v>
      </c>
      <c r="T2087">
        <v>0</v>
      </c>
      <c r="U2087">
        <v>2316.8000000000002</v>
      </c>
    </row>
    <row r="2088" spans="1:21" x14ac:dyDescent="0.35">
      <c r="A2088">
        <v>2026</v>
      </c>
      <c r="B2088">
        <v>3</v>
      </c>
      <c r="C2088">
        <v>1</v>
      </c>
      <c r="D2088" s="1">
        <v>46082</v>
      </c>
      <c r="E2088" s="4" t="s">
        <v>31</v>
      </c>
      <c r="F2088" s="4" t="s">
        <v>24</v>
      </c>
      <c r="G2088" s="4" t="s">
        <v>109</v>
      </c>
      <c r="H2088">
        <v>263</v>
      </c>
      <c r="I2088">
        <v>395</v>
      </c>
      <c r="J2088">
        <v>17</v>
      </c>
      <c r="K2088">
        <v>378</v>
      </c>
      <c r="L2088">
        <v>550125.30000000005</v>
      </c>
      <c r="M2088">
        <v>25081.8</v>
      </c>
      <c r="N2088">
        <v>525043.5</v>
      </c>
      <c r="O2088">
        <v>301041.95</v>
      </c>
      <c r="P2088">
        <v>224001.55</v>
      </c>
      <c r="Q2088">
        <v>0.42659999999999998</v>
      </c>
      <c r="R2088">
        <v>36</v>
      </c>
      <c r="S2088">
        <v>83345.56</v>
      </c>
      <c r="T2088">
        <v>0</v>
      </c>
      <c r="U2088">
        <v>1996.36</v>
      </c>
    </row>
    <row r="2089" spans="1:21" x14ac:dyDescent="0.35">
      <c r="A2089">
        <v>2026</v>
      </c>
      <c r="B2089">
        <v>3</v>
      </c>
      <c r="C2089">
        <v>1</v>
      </c>
      <c r="D2089" s="1">
        <v>46082</v>
      </c>
      <c r="E2089" s="4" t="s">
        <v>31</v>
      </c>
      <c r="F2089" s="4" t="s">
        <v>26</v>
      </c>
      <c r="G2089" s="4" t="s">
        <v>107</v>
      </c>
      <c r="H2089">
        <v>4</v>
      </c>
      <c r="I2089">
        <v>6</v>
      </c>
      <c r="J2089">
        <v>0</v>
      </c>
      <c r="K2089">
        <v>6</v>
      </c>
      <c r="L2089">
        <v>2652</v>
      </c>
      <c r="M2089">
        <v>0</v>
      </c>
      <c r="N2089">
        <v>2652</v>
      </c>
      <c r="O2089">
        <v>1591.2</v>
      </c>
      <c r="P2089">
        <v>1060.8</v>
      </c>
      <c r="Q2089">
        <v>0.4</v>
      </c>
      <c r="R2089">
        <v>0</v>
      </c>
      <c r="S2089">
        <v>0</v>
      </c>
      <c r="T2089">
        <v>0</v>
      </c>
      <c r="U2089">
        <v>663</v>
      </c>
    </row>
    <row r="2090" spans="1:21" x14ac:dyDescent="0.35">
      <c r="A2090">
        <v>2026</v>
      </c>
      <c r="B2090">
        <v>3</v>
      </c>
      <c r="C2090">
        <v>1</v>
      </c>
      <c r="D2090" s="1">
        <v>46082</v>
      </c>
      <c r="E2090" s="4" t="s">
        <v>31</v>
      </c>
      <c r="F2090" s="4" t="s">
        <v>26</v>
      </c>
      <c r="G2090" s="4" t="s">
        <v>108</v>
      </c>
      <c r="H2090">
        <v>3</v>
      </c>
      <c r="I2090">
        <v>4</v>
      </c>
      <c r="J2090">
        <v>0</v>
      </c>
      <c r="K2090">
        <v>4</v>
      </c>
      <c r="L2090">
        <v>3362</v>
      </c>
      <c r="M2090">
        <v>0</v>
      </c>
      <c r="N2090">
        <v>3362</v>
      </c>
      <c r="O2090">
        <v>2017.2</v>
      </c>
      <c r="P2090">
        <v>1344.8</v>
      </c>
      <c r="Q2090">
        <v>0.4</v>
      </c>
      <c r="R2090">
        <v>0</v>
      </c>
      <c r="S2090">
        <v>0</v>
      </c>
      <c r="T2090">
        <v>0</v>
      </c>
      <c r="U2090">
        <v>1120.67</v>
      </c>
    </row>
    <row r="2091" spans="1:21" x14ac:dyDescent="0.35">
      <c r="A2091">
        <v>2026</v>
      </c>
      <c r="B2091">
        <v>3</v>
      </c>
      <c r="C2091">
        <v>1</v>
      </c>
      <c r="D2091" s="1">
        <v>46082</v>
      </c>
      <c r="E2091" s="4" t="s">
        <v>31</v>
      </c>
      <c r="F2091" s="4" t="s">
        <v>26</v>
      </c>
      <c r="G2091" s="4" t="s">
        <v>109</v>
      </c>
      <c r="H2091">
        <v>46</v>
      </c>
      <c r="I2091">
        <v>70</v>
      </c>
      <c r="J2091">
        <v>2</v>
      </c>
      <c r="K2091">
        <v>68</v>
      </c>
      <c r="L2091">
        <v>55244.3</v>
      </c>
      <c r="M2091">
        <v>2254</v>
      </c>
      <c r="N2091">
        <v>52990.3</v>
      </c>
      <c r="O2091">
        <v>33490.199999999997</v>
      </c>
      <c r="P2091">
        <v>19500.099999999999</v>
      </c>
      <c r="Q2091">
        <v>0.36799999999999999</v>
      </c>
      <c r="R2091">
        <v>5</v>
      </c>
      <c r="S2091">
        <v>5917.3</v>
      </c>
      <c r="T2091">
        <v>0</v>
      </c>
      <c r="U2091">
        <v>1151.96</v>
      </c>
    </row>
    <row r="2092" spans="1:21" x14ac:dyDescent="0.35">
      <c r="A2092">
        <v>2026</v>
      </c>
      <c r="B2092">
        <v>3</v>
      </c>
      <c r="C2092">
        <v>1</v>
      </c>
      <c r="D2092" s="1">
        <v>46082</v>
      </c>
      <c r="E2092" s="4" t="s">
        <v>30</v>
      </c>
      <c r="F2092" s="4" t="s">
        <v>28</v>
      </c>
      <c r="G2092" s="4" t="s">
        <v>107</v>
      </c>
      <c r="H2092">
        <v>152</v>
      </c>
      <c r="I2092">
        <v>226</v>
      </c>
      <c r="J2092">
        <v>0</v>
      </c>
      <c r="K2092">
        <v>226</v>
      </c>
      <c r="L2092">
        <v>98800.57</v>
      </c>
      <c r="M2092">
        <v>0</v>
      </c>
      <c r="N2092">
        <v>98800.57</v>
      </c>
      <c r="O2092">
        <v>35674.1</v>
      </c>
      <c r="P2092">
        <v>63126.47</v>
      </c>
      <c r="Q2092">
        <v>0.63890000000000002</v>
      </c>
      <c r="R2092">
        <v>18</v>
      </c>
      <c r="S2092">
        <v>10404.57</v>
      </c>
      <c r="T2092">
        <v>0</v>
      </c>
      <c r="U2092">
        <v>650</v>
      </c>
    </row>
    <row r="2093" spans="1:21" x14ac:dyDescent="0.35">
      <c r="A2093">
        <v>2026</v>
      </c>
      <c r="B2093">
        <v>3</v>
      </c>
      <c r="C2093">
        <v>1</v>
      </c>
      <c r="D2093" s="1">
        <v>46082</v>
      </c>
      <c r="E2093" s="4" t="s">
        <v>30</v>
      </c>
      <c r="F2093" s="4" t="s">
        <v>28</v>
      </c>
      <c r="G2093" s="4" t="s">
        <v>108</v>
      </c>
      <c r="H2093">
        <v>49</v>
      </c>
      <c r="I2093">
        <v>68</v>
      </c>
      <c r="J2093">
        <v>0</v>
      </c>
      <c r="K2093">
        <v>68</v>
      </c>
      <c r="L2093">
        <v>40116.449999999997</v>
      </c>
      <c r="M2093">
        <v>0</v>
      </c>
      <c r="N2093">
        <v>40116.449999999997</v>
      </c>
      <c r="O2093">
        <v>14637</v>
      </c>
      <c r="P2093">
        <v>25479.45</v>
      </c>
      <c r="Q2093">
        <v>0.6351</v>
      </c>
      <c r="R2093">
        <v>7</v>
      </c>
      <c r="S2093">
        <v>7521.45</v>
      </c>
      <c r="T2093">
        <v>0</v>
      </c>
      <c r="U2093">
        <v>818.7</v>
      </c>
    </row>
    <row r="2094" spans="1:21" x14ac:dyDescent="0.35">
      <c r="A2094">
        <v>2026</v>
      </c>
      <c r="B2094">
        <v>3</v>
      </c>
      <c r="C2094">
        <v>1</v>
      </c>
      <c r="D2094" s="1">
        <v>46082</v>
      </c>
      <c r="E2094" s="4" t="s">
        <v>30</v>
      </c>
      <c r="F2094" s="4" t="s">
        <v>28</v>
      </c>
      <c r="G2094" s="4" t="s">
        <v>109</v>
      </c>
      <c r="H2094">
        <v>757</v>
      </c>
      <c r="I2094">
        <v>1141</v>
      </c>
      <c r="J2094">
        <v>0</v>
      </c>
      <c r="K2094">
        <v>1141</v>
      </c>
      <c r="L2094">
        <v>470536.81</v>
      </c>
      <c r="M2094">
        <v>0</v>
      </c>
      <c r="N2094">
        <v>470536.81</v>
      </c>
      <c r="O2094">
        <v>170264.5</v>
      </c>
      <c r="P2094">
        <v>300272.31</v>
      </c>
      <c r="Q2094">
        <v>0.6381</v>
      </c>
      <c r="R2094">
        <v>90</v>
      </c>
      <c r="S2094">
        <v>58042.27</v>
      </c>
      <c r="T2094">
        <v>0</v>
      </c>
      <c r="U2094">
        <v>621.58000000000004</v>
      </c>
    </row>
    <row r="2095" spans="1:21" x14ac:dyDescent="0.35">
      <c r="A2095">
        <v>2026</v>
      </c>
      <c r="B2095">
        <v>3</v>
      </c>
      <c r="C2095">
        <v>1</v>
      </c>
      <c r="D2095" s="1">
        <v>46082</v>
      </c>
      <c r="E2095" s="4" t="s">
        <v>30</v>
      </c>
      <c r="F2095" s="4" t="s">
        <v>35</v>
      </c>
      <c r="G2095" s="4" t="s">
        <v>109</v>
      </c>
      <c r="H2095">
        <v>1</v>
      </c>
      <c r="I2095">
        <v>2</v>
      </c>
      <c r="J2095">
        <v>0</v>
      </c>
      <c r="K2095">
        <v>2</v>
      </c>
      <c r="L2095">
        <v>986</v>
      </c>
      <c r="M2095">
        <v>0</v>
      </c>
      <c r="N2095">
        <v>986</v>
      </c>
      <c r="O2095">
        <v>197.2</v>
      </c>
      <c r="P2095">
        <v>788.8</v>
      </c>
      <c r="Q2095">
        <v>0.8</v>
      </c>
      <c r="R2095">
        <v>0</v>
      </c>
      <c r="S2095">
        <v>0</v>
      </c>
      <c r="T2095">
        <v>0</v>
      </c>
      <c r="U2095">
        <v>986</v>
      </c>
    </row>
    <row r="2096" spans="1:21" x14ac:dyDescent="0.35">
      <c r="A2096">
        <v>2026</v>
      </c>
      <c r="B2096">
        <v>3</v>
      </c>
      <c r="C2096">
        <v>1</v>
      </c>
      <c r="D2096" s="1">
        <v>46082</v>
      </c>
      <c r="E2096" s="4" t="s">
        <v>30</v>
      </c>
      <c r="F2096" s="4" t="s">
        <v>24</v>
      </c>
      <c r="G2096" s="4" t="s">
        <v>107</v>
      </c>
      <c r="H2096">
        <v>80</v>
      </c>
      <c r="I2096">
        <v>125</v>
      </c>
      <c r="J2096">
        <v>0</v>
      </c>
      <c r="K2096">
        <v>125</v>
      </c>
      <c r="L2096">
        <v>230591.04</v>
      </c>
      <c r="M2096">
        <v>0</v>
      </c>
      <c r="N2096">
        <v>230591.04</v>
      </c>
      <c r="O2096">
        <v>135812.04999999999</v>
      </c>
      <c r="P2096">
        <v>94778.99</v>
      </c>
      <c r="Q2096">
        <v>0.41099999999999998</v>
      </c>
      <c r="R2096">
        <v>17</v>
      </c>
      <c r="S2096">
        <v>60491.040000000001</v>
      </c>
      <c r="T2096">
        <v>0</v>
      </c>
      <c r="U2096">
        <v>2882.39</v>
      </c>
    </row>
    <row r="2097" spans="1:21" x14ac:dyDescent="0.35">
      <c r="A2097">
        <v>2026</v>
      </c>
      <c r="B2097">
        <v>3</v>
      </c>
      <c r="C2097">
        <v>1</v>
      </c>
      <c r="D2097" s="1">
        <v>46082</v>
      </c>
      <c r="E2097" s="4" t="s">
        <v>30</v>
      </c>
      <c r="F2097" s="4" t="s">
        <v>24</v>
      </c>
      <c r="G2097" s="4" t="s">
        <v>108</v>
      </c>
      <c r="H2097">
        <v>3</v>
      </c>
      <c r="I2097">
        <v>4</v>
      </c>
      <c r="J2097">
        <v>0</v>
      </c>
      <c r="K2097">
        <v>4</v>
      </c>
      <c r="L2097">
        <v>9636</v>
      </c>
      <c r="M2097">
        <v>0</v>
      </c>
      <c r="N2097">
        <v>9636</v>
      </c>
      <c r="O2097">
        <v>5299.8</v>
      </c>
      <c r="P2097">
        <v>4336.2</v>
      </c>
      <c r="Q2097">
        <v>0.45</v>
      </c>
      <c r="R2097">
        <v>0</v>
      </c>
      <c r="S2097">
        <v>0</v>
      </c>
      <c r="T2097">
        <v>0</v>
      </c>
      <c r="U2097">
        <v>3212</v>
      </c>
    </row>
    <row r="2098" spans="1:21" x14ac:dyDescent="0.35">
      <c r="A2098">
        <v>2026</v>
      </c>
      <c r="B2098">
        <v>3</v>
      </c>
      <c r="C2098">
        <v>1</v>
      </c>
      <c r="D2098" s="1">
        <v>46082</v>
      </c>
      <c r="E2098" s="4" t="s">
        <v>30</v>
      </c>
      <c r="F2098" s="4" t="s">
        <v>24</v>
      </c>
      <c r="G2098" s="4" t="s">
        <v>109</v>
      </c>
      <c r="H2098">
        <v>250</v>
      </c>
      <c r="I2098">
        <v>391</v>
      </c>
      <c r="J2098">
        <v>18</v>
      </c>
      <c r="K2098">
        <v>373</v>
      </c>
      <c r="L2098">
        <v>698056.32</v>
      </c>
      <c r="M2098">
        <v>34090.36</v>
      </c>
      <c r="N2098">
        <v>663965.96</v>
      </c>
      <c r="O2098">
        <v>381038.35</v>
      </c>
      <c r="P2098">
        <v>282927.61</v>
      </c>
      <c r="Q2098">
        <v>0.42609999999999998</v>
      </c>
      <c r="R2098">
        <v>37</v>
      </c>
      <c r="S2098">
        <v>118438.96</v>
      </c>
      <c r="T2098">
        <v>0</v>
      </c>
      <c r="U2098">
        <v>2655.86</v>
      </c>
    </row>
    <row r="2099" spans="1:21" x14ac:dyDescent="0.35">
      <c r="A2099">
        <v>2026</v>
      </c>
      <c r="B2099">
        <v>3</v>
      </c>
      <c r="C2099">
        <v>1</v>
      </c>
      <c r="D2099" s="1">
        <v>46082</v>
      </c>
      <c r="E2099" s="4" t="s">
        <v>30</v>
      </c>
      <c r="F2099" s="4" t="s">
        <v>26</v>
      </c>
      <c r="G2099" s="4" t="s">
        <v>107</v>
      </c>
      <c r="H2099">
        <v>2</v>
      </c>
      <c r="I2099">
        <v>2</v>
      </c>
      <c r="J2099">
        <v>0</v>
      </c>
      <c r="K2099">
        <v>2</v>
      </c>
      <c r="L2099">
        <v>1579.92</v>
      </c>
      <c r="M2099">
        <v>0</v>
      </c>
      <c r="N2099">
        <v>1579.92</v>
      </c>
      <c r="O2099">
        <v>1089.5999999999999</v>
      </c>
      <c r="P2099">
        <v>490.32</v>
      </c>
      <c r="Q2099">
        <v>0.31030000000000002</v>
      </c>
      <c r="R2099">
        <v>1</v>
      </c>
      <c r="S2099">
        <v>671.92</v>
      </c>
      <c r="T2099">
        <v>0</v>
      </c>
      <c r="U2099">
        <v>789.96</v>
      </c>
    </row>
    <row r="2100" spans="1:21" x14ac:dyDescent="0.35">
      <c r="A2100">
        <v>2026</v>
      </c>
      <c r="B2100">
        <v>3</v>
      </c>
      <c r="C2100">
        <v>1</v>
      </c>
      <c r="D2100" s="1">
        <v>46082</v>
      </c>
      <c r="E2100" s="4" t="s">
        <v>30</v>
      </c>
      <c r="F2100" s="4" t="s">
        <v>26</v>
      </c>
      <c r="G2100" s="4" t="s">
        <v>109</v>
      </c>
      <c r="H2100">
        <v>79</v>
      </c>
      <c r="I2100">
        <v>114</v>
      </c>
      <c r="J2100">
        <v>0</v>
      </c>
      <c r="K2100">
        <v>114</v>
      </c>
      <c r="L2100">
        <v>90137.32</v>
      </c>
      <c r="M2100">
        <v>0</v>
      </c>
      <c r="N2100">
        <v>90137.32</v>
      </c>
      <c r="O2100">
        <v>55294.8</v>
      </c>
      <c r="P2100">
        <v>34842.519999999997</v>
      </c>
      <c r="Q2100">
        <v>0.38650000000000001</v>
      </c>
      <c r="R2100">
        <v>9</v>
      </c>
      <c r="S2100">
        <v>12142.32</v>
      </c>
      <c r="T2100">
        <v>0</v>
      </c>
      <c r="U2100">
        <v>1140.98</v>
      </c>
    </row>
    <row r="2101" spans="1:21" x14ac:dyDescent="0.35">
      <c r="A2101">
        <v>2026</v>
      </c>
      <c r="B2101">
        <v>3</v>
      </c>
      <c r="C2101">
        <v>1</v>
      </c>
      <c r="D2101" s="1">
        <v>46082</v>
      </c>
      <c r="E2101" s="4" t="s">
        <v>78</v>
      </c>
      <c r="F2101" s="4" t="s">
        <v>78</v>
      </c>
      <c r="G2101" s="4" t="s">
        <v>110</v>
      </c>
      <c r="H2101">
        <v>260</v>
      </c>
      <c r="I2101">
        <v>375</v>
      </c>
      <c r="J2101">
        <v>0</v>
      </c>
      <c r="K2101">
        <v>375</v>
      </c>
      <c r="L2101">
        <v>860643</v>
      </c>
      <c r="M2101">
        <v>0</v>
      </c>
      <c r="N2101">
        <v>860643</v>
      </c>
      <c r="O2101">
        <v>129096.45</v>
      </c>
      <c r="P2101">
        <v>731546.55</v>
      </c>
      <c r="Q2101">
        <v>0.85</v>
      </c>
      <c r="R2101">
        <v>2</v>
      </c>
      <c r="S2101">
        <v>12369</v>
      </c>
      <c r="T2101">
        <v>0</v>
      </c>
      <c r="U2101">
        <v>3310.17</v>
      </c>
    </row>
    <row r="2102" spans="1:21" x14ac:dyDescent="0.35">
      <c r="A2102">
        <v>2026</v>
      </c>
      <c r="B2102">
        <v>4</v>
      </c>
      <c r="C2102">
        <v>2</v>
      </c>
      <c r="D2102" s="1">
        <v>46113</v>
      </c>
      <c r="E2102" s="4" t="s">
        <v>33</v>
      </c>
      <c r="F2102" s="4" t="s">
        <v>28</v>
      </c>
      <c r="G2102" s="4" t="s">
        <v>107</v>
      </c>
      <c r="H2102">
        <v>55</v>
      </c>
      <c r="I2102">
        <v>80</v>
      </c>
      <c r="J2102">
        <v>0</v>
      </c>
      <c r="K2102">
        <v>80</v>
      </c>
      <c r="L2102">
        <v>25844.639999999999</v>
      </c>
      <c r="M2102">
        <v>0</v>
      </c>
      <c r="N2102">
        <v>25844.639999999999</v>
      </c>
      <c r="O2102">
        <v>9198</v>
      </c>
      <c r="P2102">
        <v>16646.64</v>
      </c>
      <c r="Q2102">
        <v>0.64410000000000001</v>
      </c>
      <c r="R2102">
        <v>4</v>
      </c>
      <c r="S2102">
        <v>3080.64</v>
      </c>
      <c r="T2102">
        <v>0</v>
      </c>
      <c r="U2102">
        <v>469.9</v>
      </c>
    </row>
    <row r="2103" spans="1:21" x14ac:dyDescent="0.35">
      <c r="A2103">
        <v>2026</v>
      </c>
      <c r="B2103">
        <v>4</v>
      </c>
      <c r="C2103">
        <v>2</v>
      </c>
      <c r="D2103" s="1">
        <v>46113</v>
      </c>
      <c r="E2103" s="4" t="s">
        <v>33</v>
      </c>
      <c r="F2103" s="4" t="s">
        <v>28</v>
      </c>
      <c r="G2103" s="4" t="s">
        <v>108</v>
      </c>
      <c r="H2103">
        <v>26</v>
      </c>
      <c r="I2103">
        <v>32</v>
      </c>
      <c r="J2103">
        <v>0</v>
      </c>
      <c r="K2103">
        <v>32</v>
      </c>
      <c r="L2103">
        <v>21993.68</v>
      </c>
      <c r="M2103">
        <v>0</v>
      </c>
      <c r="N2103">
        <v>21993.68</v>
      </c>
      <c r="O2103">
        <v>7974.4</v>
      </c>
      <c r="P2103">
        <v>14019.28</v>
      </c>
      <c r="Q2103">
        <v>0.63739999999999997</v>
      </c>
      <c r="R2103">
        <v>4</v>
      </c>
      <c r="S2103">
        <v>3481.68</v>
      </c>
      <c r="T2103">
        <v>0</v>
      </c>
      <c r="U2103">
        <v>845.91</v>
      </c>
    </row>
    <row r="2104" spans="1:21" x14ac:dyDescent="0.35">
      <c r="A2104">
        <v>2026</v>
      </c>
      <c r="B2104">
        <v>4</v>
      </c>
      <c r="C2104">
        <v>2</v>
      </c>
      <c r="D2104" s="1">
        <v>46113</v>
      </c>
      <c r="E2104" s="4" t="s">
        <v>33</v>
      </c>
      <c r="F2104" s="4" t="s">
        <v>28</v>
      </c>
      <c r="G2104" s="4" t="s">
        <v>109</v>
      </c>
      <c r="H2104">
        <v>400</v>
      </c>
      <c r="I2104">
        <v>621</v>
      </c>
      <c r="J2104">
        <v>0</v>
      </c>
      <c r="K2104">
        <v>621</v>
      </c>
      <c r="L2104">
        <v>318028.74</v>
      </c>
      <c r="M2104">
        <v>0</v>
      </c>
      <c r="N2104">
        <v>318028.74</v>
      </c>
      <c r="O2104">
        <v>116051.25</v>
      </c>
      <c r="P2104">
        <v>201977.49</v>
      </c>
      <c r="Q2104">
        <v>0.6351</v>
      </c>
      <c r="R2104">
        <v>53</v>
      </c>
      <c r="S2104">
        <v>53387.76</v>
      </c>
      <c r="T2104">
        <v>0</v>
      </c>
      <c r="U2104">
        <v>795.07</v>
      </c>
    </row>
    <row r="2105" spans="1:21" x14ac:dyDescent="0.35">
      <c r="A2105">
        <v>2026</v>
      </c>
      <c r="B2105">
        <v>4</v>
      </c>
      <c r="C2105">
        <v>2</v>
      </c>
      <c r="D2105" s="1">
        <v>46113</v>
      </c>
      <c r="E2105" s="4" t="s">
        <v>33</v>
      </c>
      <c r="F2105" s="4" t="s">
        <v>24</v>
      </c>
      <c r="G2105" s="4" t="s">
        <v>107</v>
      </c>
      <c r="H2105">
        <v>8</v>
      </c>
      <c r="I2105">
        <v>12</v>
      </c>
      <c r="J2105">
        <v>0</v>
      </c>
      <c r="K2105">
        <v>12</v>
      </c>
      <c r="L2105">
        <v>19963.599999999999</v>
      </c>
      <c r="M2105">
        <v>0</v>
      </c>
      <c r="N2105">
        <v>19963.599999999999</v>
      </c>
      <c r="O2105">
        <v>11288.2</v>
      </c>
      <c r="P2105">
        <v>8675.4</v>
      </c>
      <c r="Q2105">
        <v>0.43459999999999999</v>
      </c>
      <c r="R2105">
        <v>1</v>
      </c>
      <c r="S2105">
        <v>5043.6000000000004</v>
      </c>
      <c r="T2105">
        <v>0</v>
      </c>
      <c r="U2105">
        <v>2495.4499999999998</v>
      </c>
    </row>
    <row r="2106" spans="1:21" x14ac:dyDescent="0.35">
      <c r="A2106">
        <v>2026</v>
      </c>
      <c r="B2106">
        <v>4</v>
      </c>
      <c r="C2106">
        <v>2</v>
      </c>
      <c r="D2106" s="1">
        <v>46113</v>
      </c>
      <c r="E2106" s="4" t="s">
        <v>33</v>
      </c>
      <c r="F2106" s="4" t="s">
        <v>24</v>
      </c>
      <c r="G2106" s="4" t="s">
        <v>109</v>
      </c>
      <c r="H2106">
        <v>66</v>
      </c>
      <c r="I2106">
        <v>105</v>
      </c>
      <c r="J2106">
        <v>0</v>
      </c>
      <c r="K2106">
        <v>105</v>
      </c>
      <c r="L2106">
        <v>163726.75</v>
      </c>
      <c r="M2106">
        <v>0</v>
      </c>
      <c r="N2106">
        <v>163726.75</v>
      </c>
      <c r="O2106">
        <v>92056.8</v>
      </c>
      <c r="P2106">
        <v>71669.95</v>
      </c>
      <c r="Q2106">
        <v>0.43769999999999998</v>
      </c>
      <c r="R2106">
        <v>8</v>
      </c>
      <c r="S2106">
        <v>32247.75</v>
      </c>
      <c r="T2106">
        <v>0</v>
      </c>
      <c r="U2106">
        <v>2480.71</v>
      </c>
    </row>
    <row r="2107" spans="1:21" x14ac:dyDescent="0.35">
      <c r="A2107">
        <v>2026</v>
      </c>
      <c r="B2107">
        <v>4</v>
      </c>
      <c r="C2107">
        <v>2</v>
      </c>
      <c r="D2107" s="1">
        <v>46113</v>
      </c>
      <c r="E2107" s="4" t="s">
        <v>33</v>
      </c>
      <c r="F2107" s="4" t="s">
        <v>26</v>
      </c>
      <c r="G2107" s="4" t="s">
        <v>107</v>
      </c>
      <c r="H2107">
        <v>1</v>
      </c>
      <c r="I2107">
        <v>1</v>
      </c>
      <c r="J2107">
        <v>0</v>
      </c>
      <c r="K2107">
        <v>1</v>
      </c>
      <c r="L2107">
        <v>588</v>
      </c>
      <c r="M2107">
        <v>0</v>
      </c>
      <c r="N2107">
        <v>588</v>
      </c>
      <c r="O2107">
        <v>352.8</v>
      </c>
      <c r="P2107">
        <v>235.2</v>
      </c>
      <c r="Q2107">
        <v>0.4</v>
      </c>
      <c r="R2107">
        <v>0</v>
      </c>
      <c r="S2107">
        <v>0</v>
      </c>
      <c r="T2107">
        <v>0</v>
      </c>
      <c r="U2107">
        <v>588</v>
      </c>
    </row>
    <row r="2108" spans="1:21" x14ac:dyDescent="0.35">
      <c r="A2108">
        <v>2026</v>
      </c>
      <c r="B2108">
        <v>4</v>
      </c>
      <c r="C2108">
        <v>2</v>
      </c>
      <c r="D2108" s="1">
        <v>46113</v>
      </c>
      <c r="E2108" s="4" t="s">
        <v>33</v>
      </c>
      <c r="F2108" s="4" t="s">
        <v>26</v>
      </c>
      <c r="G2108" s="4" t="s">
        <v>108</v>
      </c>
      <c r="H2108">
        <v>3</v>
      </c>
      <c r="I2108">
        <v>3</v>
      </c>
      <c r="J2108">
        <v>0</v>
      </c>
      <c r="K2108">
        <v>3</v>
      </c>
      <c r="L2108">
        <v>2625</v>
      </c>
      <c r="M2108">
        <v>0</v>
      </c>
      <c r="N2108">
        <v>2625</v>
      </c>
      <c r="O2108">
        <v>1575</v>
      </c>
      <c r="P2108">
        <v>1050</v>
      </c>
      <c r="Q2108">
        <v>0.4</v>
      </c>
      <c r="R2108">
        <v>0</v>
      </c>
      <c r="S2108">
        <v>0</v>
      </c>
      <c r="T2108">
        <v>0</v>
      </c>
      <c r="U2108">
        <v>875</v>
      </c>
    </row>
    <row r="2109" spans="1:21" x14ac:dyDescent="0.35">
      <c r="A2109">
        <v>2026</v>
      </c>
      <c r="B2109">
        <v>4</v>
      </c>
      <c r="C2109">
        <v>2</v>
      </c>
      <c r="D2109" s="1">
        <v>46113</v>
      </c>
      <c r="E2109" s="4" t="s">
        <v>33</v>
      </c>
      <c r="F2109" s="4" t="s">
        <v>26</v>
      </c>
      <c r="G2109" s="4" t="s">
        <v>109</v>
      </c>
      <c r="H2109">
        <v>17</v>
      </c>
      <c r="I2109">
        <v>25</v>
      </c>
      <c r="J2109">
        <v>1</v>
      </c>
      <c r="K2109">
        <v>24</v>
      </c>
      <c r="L2109">
        <v>19066</v>
      </c>
      <c r="M2109">
        <v>937</v>
      </c>
      <c r="N2109">
        <v>18129</v>
      </c>
      <c r="O2109">
        <v>10877.4</v>
      </c>
      <c r="P2109">
        <v>7251.6</v>
      </c>
      <c r="Q2109">
        <v>0.4</v>
      </c>
      <c r="R2109">
        <v>0</v>
      </c>
      <c r="S2109">
        <v>0</v>
      </c>
      <c r="T2109">
        <v>0</v>
      </c>
      <c r="U2109">
        <v>1066.4100000000001</v>
      </c>
    </row>
    <row r="2110" spans="1:21" x14ac:dyDescent="0.35">
      <c r="A2110">
        <v>2026</v>
      </c>
      <c r="B2110">
        <v>4</v>
      </c>
      <c r="C2110">
        <v>2</v>
      </c>
      <c r="D2110" s="1">
        <v>46113</v>
      </c>
      <c r="E2110" s="4" t="s">
        <v>32</v>
      </c>
      <c r="F2110" s="4" t="s">
        <v>28</v>
      </c>
      <c r="G2110" s="4" t="s">
        <v>107</v>
      </c>
      <c r="H2110">
        <v>14</v>
      </c>
      <c r="I2110">
        <v>16</v>
      </c>
      <c r="J2110">
        <v>0</v>
      </c>
      <c r="K2110">
        <v>16</v>
      </c>
      <c r="L2110">
        <v>7218.6</v>
      </c>
      <c r="M2110">
        <v>0</v>
      </c>
      <c r="N2110">
        <v>7218.6</v>
      </c>
      <c r="O2110">
        <v>2542.4</v>
      </c>
      <c r="P2110">
        <v>4676.2</v>
      </c>
      <c r="Q2110">
        <v>0.64780000000000004</v>
      </c>
      <c r="R2110">
        <v>1</v>
      </c>
      <c r="S2110">
        <v>862.6</v>
      </c>
      <c r="T2110">
        <v>0</v>
      </c>
      <c r="U2110">
        <v>515.61</v>
      </c>
    </row>
    <row r="2111" spans="1:21" x14ac:dyDescent="0.35">
      <c r="A2111">
        <v>2026</v>
      </c>
      <c r="B2111">
        <v>4</v>
      </c>
      <c r="C2111">
        <v>2</v>
      </c>
      <c r="D2111" s="1">
        <v>46113</v>
      </c>
      <c r="E2111" s="4" t="s">
        <v>32</v>
      </c>
      <c r="F2111" s="4" t="s">
        <v>28</v>
      </c>
      <c r="G2111" s="4" t="s">
        <v>109</v>
      </c>
      <c r="H2111">
        <v>274</v>
      </c>
      <c r="I2111">
        <v>432</v>
      </c>
      <c r="J2111">
        <v>0</v>
      </c>
      <c r="K2111">
        <v>432</v>
      </c>
      <c r="L2111">
        <v>149131.48000000001</v>
      </c>
      <c r="M2111">
        <v>0</v>
      </c>
      <c r="N2111">
        <v>149131.48000000001</v>
      </c>
      <c r="O2111">
        <v>54740</v>
      </c>
      <c r="P2111">
        <v>94391.48</v>
      </c>
      <c r="Q2111">
        <v>0.63290000000000002</v>
      </c>
      <c r="R2111">
        <v>41</v>
      </c>
      <c r="S2111">
        <v>28451.48</v>
      </c>
      <c r="T2111">
        <v>0</v>
      </c>
      <c r="U2111">
        <v>544.28</v>
      </c>
    </row>
    <row r="2112" spans="1:21" x14ac:dyDescent="0.35">
      <c r="A2112">
        <v>2026</v>
      </c>
      <c r="B2112">
        <v>4</v>
      </c>
      <c r="C2112">
        <v>2</v>
      </c>
      <c r="D2112" s="1">
        <v>46113</v>
      </c>
      <c r="E2112" s="4" t="s">
        <v>32</v>
      </c>
      <c r="F2112" s="4" t="s">
        <v>24</v>
      </c>
      <c r="G2112" s="4" t="s">
        <v>107</v>
      </c>
      <c r="H2112">
        <v>29</v>
      </c>
      <c r="I2112">
        <v>47</v>
      </c>
      <c r="J2112">
        <v>7</v>
      </c>
      <c r="K2112">
        <v>40</v>
      </c>
      <c r="L2112">
        <v>73371.179999999993</v>
      </c>
      <c r="M2112">
        <v>10937.28</v>
      </c>
      <c r="N2112">
        <v>62433.9</v>
      </c>
      <c r="O2112">
        <v>35526.15</v>
      </c>
      <c r="P2112">
        <v>26907.75</v>
      </c>
      <c r="Q2112">
        <v>0.43099999999999999</v>
      </c>
      <c r="R2112">
        <v>5</v>
      </c>
      <c r="S2112">
        <v>7140.9</v>
      </c>
      <c r="T2112">
        <v>0</v>
      </c>
      <c r="U2112">
        <v>2152.89</v>
      </c>
    </row>
    <row r="2113" spans="1:21" x14ac:dyDescent="0.35">
      <c r="A2113">
        <v>2026</v>
      </c>
      <c r="B2113">
        <v>4</v>
      </c>
      <c r="C2113">
        <v>2</v>
      </c>
      <c r="D2113" s="1">
        <v>46113</v>
      </c>
      <c r="E2113" s="4" t="s">
        <v>32</v>
      </c>
      <c r="F2113" s="4" t="s">
        <v>24</v>
      </c>
      <c r="G2113" s="4" t="s">
        <v>109</v>
      </c>
      <c r="H2113">
        <v>96</v>
      </c>
      <c r="I2113">
        <v>140</v>
      </c>
      <c r="J2113">
        <v>0</v>
      </c>
      <c r="K2113">
        <v>140</v>
      </c>
      <c r="L2113">
        <v>155860.65</v>
      </c>
      <c r="M2113">
        <v>0</v>
      </c>
      <c r="N2113">
        <v>155860.65</v>
      </c>
      <c r="O2113">
        <v>88909.15</v>
      </c>
      <c r="P2113">
        <v>66951.5</v>
      </c>
      <c r="Q2113">
        <v>0.42959999999999998</v>
      </c>
      <c r="R2113">
        <v>16</v>
      </c>
      <c r="S2113">
        <v>27057.35</v>
      </c>
      <c r="T2113">
        <v>0</v>
      </c>
      <c r="U2113">
        <v>1623.55</v>
      </c>
    </row>
    <row r="2114" spans="1:21" x14ac:dyDescent="0.35">
      <c r="A2114">
        <v>2026</v>
      </c>
      <c r="B2114">
        <v>4</v>
      </c>
      <c r="C2114">
        <v>2</v>
      </c>
      <c r="D2114" s="1">
        <v>46113</v>
      </c>
      <c r="E2114" s="4" t="s">
        <v>32</v>
      </c>
      <c r="F2114" s="4" t="s">
        <v>26</v>
      </c>
      <c r="G2114" s="4" t="s">
        <v>108</v>
      </c>
      <c r="H2114">
        <v>3</v>
      </c>
      <c r="I2114">
        <v>6</v>
      </c>
      <c r="J2114">
        <v>0</v>
      </c>
      <c r="K2114">
        <v>6</v>
      </c>
      <c r="L2114">
        <v>1890</v>
      </c>
      <c r="M2114">
        <v>0</v>
      </c>
      <c r="N2114">
        <v>1890</v>
      </c>
      <c r="O2114">
        <v>1134</v>
      </c>
      <c r="P2114">
        <v>756</v>
      </c>
      <c r="Q2114">
        <v>0.4</v>
      </c>
      <c r="R2114">
        <v>0</v>
      </c>
      <c r="S2114">
        <v>0</v>
      </c>
      <c r="T2114">
        <v>0</v>
      </c>
      <c r="U2114">
        <v>630</v>
      </c>
    </row>
    <row r="2115" spans="1:21" x14ac:dyDescent="0.35">
      <c r="A2115">
        <v>2026</v>
      </c>
      <c r="B2115">
        <v>4</v>
      </c>
      <c r="C2115">
        <v>2</v>
      </c>
      <c r="D2115" s="1">
        <v>46113</v>
      </c>
      <c r="E2115" s="4" t="s">
        <v>32</v>
      </c>
      <c r="F2115" s="4" t="s">
        <v>26</v>
      </c>
      <c r="G2115" s="4" t="s">
        <v>109</v>
      </c>
      <c r="H2115">
        <v>14</v>
      </c>
      <c r="I2115">
        <v>15</v>
      </c>
      <c r="J2115">
        <v>0</v>
      </c>
      <c r="K2115">
        <v>15</v>
      </c>
      <c r="L2115">
        <v>10544.6</v>
      </c>
      <c r="M2115">
        <v>0</v>
      </c>
      <c r="N2115">
        <v>10544.6</v>
      </c>
      <c r="O2115">
        <v>6538.8</v>
      </c>
      <c r="P2115">
        <v>4005.8</v>
      </c>
      <c r="Q2115">
        <v>0.37990000000000002</v>
      </c>
      <c r="R2115">
        <v>1</v>
      </c>
      <c r="S2115">
        <v>2002.6</v>
      </c>
      <c r="T2115">
        <v>0</v>
      </c>
      <c r="U2115">
        <v>753.19</v>
      </c>
    </row>
    <row r="2116" spans="1:21" x14ac:dyDescent="0.35">
      <c r="A2116">
        <v>2026</v>
      </c>
      <c r="B2116">
        <v>4</v>
      </c>
      <c r="C2116">
        <v>2</v>
      </c>
      <c r="D2116" s="1">
        <v>46113</v>
      </c>
      <c r="E2116" s="4" t="s">
        <v>27</v>
      </c>
      <c r="F2116" s="4" t="s">
        <v>28</v>
      </c>
      <c r="G2116" s="4" t="s">
        <v>107</v>
      </c>
      <c r="H2116">
        <v>129</v>
      </c>
      <c r="I2116">
        <v>194</v>
      </c>
      <c r="J2116">
        <v>0</v>
      </c>
      <c r="K2116">
        <v>194</v>
      </c>
      <c r="L2116">
        <v>85896.88</v>
      </c>
      <c r="M2116">
        <v>0</v>
      </c>
      <c r="N2116">
        <v>85896.88</v>
      </c>
      <c r="O2116">
        <v>31287.9</v>
      </c>
      <c r="P2116">
        <v>54608.98</v>
      </c>
      <c r="Q2116">
        <v>0.63580000000000003</v>
      </c>
      <c r="R2116">
        <v>19</v>
      </c>
      <c r="S2116">
        <v>16474.88</v>
      </c>
      <c r="T2116">
        <v>0</v>
      </c>
      <c r="U2116">
        <v>665.87</v>
      </c>
    </row>
    <row r="2117" spans="1:21" x14ac:dyDescent="0.35">
      <c r="A2117">
        <v>2026</v>
      </c>
      <c r="B2117">
        <v>4</v>
      </c>
      <c r="C2117">
        <v>2</v>
      </c>
      <c r="D2117" s="1">
        <v>46113</v>
      </c>
      <c r="E2117" s="4" t="s">
        <v>27</v>
      </c>
      <c r="F2117" s="4" t="s">
        <v>28</v>
      </c>
      <c r="G2117" s="4" t="s">
        <v>109</v>
      </c>
      <c r="H2117">
        <v>412</v>
      </c>
      <c r="I2117">
        <v>638</v>
      </c>
      <c r="J2117">
        <v>0</v>
      </c>
      <c r="K2117">
        <v>638</v>
      </c>
      <c r="L2117">
        <v>343280.15</v>
      </c>
      <c r="M2117">
        <v>0</v>
      </c>
      <c r="N2117">
        <v>343280.15</v>
      </c>
      <c r="O2117">
        <v>124758.2</v>
      </c>
      <c r="P2117">
        <v>218521.95</v>
      </c>
      <c r="Q2117">
        <v>0.63660000000000005</v>
      </c>
      <c r="R2117">
        <v>53</v>
      </c>
      <c r="S2117">
        <v>56526.15</v>
      </c>
      <c r="T2117">
        <v>0</v>
      </c>
      <c r="U2117">
        <v>833.2</v>
      </c>
    </row>
    <row r="2118" spans="1:21" x14ac:dyDescent="0.35">
      <c r="A2118">
        <v>2026</v>
      </c>
      <c r="B2118">
        <v>4</v>
      </c>
      <c r="C2118">
        <v>2</v>
      </c>
      <c r="D2118" s="1">
        <v>46113</v>
      </c>
      <c r="E2118" s="4" t="s">
        <v>27</v>
      </c>
      <c r="F2118" s="4" t="s">
        <v>24</v>
      </c>
      <c r="G2118" s="4" t="s">
        <v>107</v>
      </c>
      <c r="H2118">
        <v>29</v>
      </c>
      <c r="I2118">
        <v>37</v>
      </c>
      <c r="J2118">
        <v>0</v>
      </c>
      <c r="K2118">
        <v>37</v>
      </c>
      <c r="L2118">
        <v>66379.19</v>
      </c>
      <c r="M2118">
        <v>0</v>
      </c>
      <c r="N2118">
        <v>66379.19</v>
      </c>
      <c r="O2118">
        <v>37233.9</v>
      </c>
      <c r="P2118">
        <v>29145.29</v>
      </c>
      <c r="Q2118">
        <v>0.43909999999999999</v>
      </c>
      <c r="R2118">
        <v>2</v>
      </c>
      <c r="S2118">
        <v>4904.1899999999996</v>
      </c>
      <c r="T2118">
        <v>0</v>
      </c>
      <c r="U2118">
        <v>2288.94</v>
      </c>
    </row>
    <row r="2119" spans="1:21" x14ac:dyDescent="0.35">
      <c r="A2119">
        <v>2026</v>
      </c>
      <c r="B2119">
        <v>4</v>
      </c>
      <c r="C2119">
        <v>2</v>
      </c>
      <c r="D2119" s="1">
        <v>46113</v>
      </c>
      <c r="E2119" s="4" t="s">
        <v>27</v>
      </c>
      <c r="F2119" s="4" t="s">
        <v>24</v>
      </c>
      <c r="G2119" s="4" t="s">
        <v>109</v>
      </c>
      <c r="H2119">
        <v>135</v>
      </c>
      <c r="I2119">
        <v>205</v>
      </c>
      <c r="J2119">
        <v>5</v>
      </c>
      <c r="K2119">
        <v>200</v>
      </c>
      <c r="L2119">
        <v>327118.69</v>
      </c>
      <c r="M2119">
        <v>6327.04</v>
      </c>
      <c r="N2119">
        <v>320791.65000000002</v>
      </c>
      <c r="O2119">
        <v>185982.5</v>
      </c>
      <c r="P2119">
        <v>134809.15</v>
      </c>
      <c r="Q2119">
        <v>0.42020000000000002</v>
      </c>
      <c r="R2119">
        <v>17</v>
      </c>
      <c r="S2119">
        <v>51867.65</v>
      </c>
      <c r="T2119">
        <v>0</v>
      </c>
      <c r="U2119">
        <v>2376.23</v>
      </c>
    </row>
    <row r="2120" spans="1:21" x14ac:dyDescent="0.35">
      <c r="A2120">
        <v>2026</v>
      </c>
      <c r="B2120">
        <v>4</v>
      </c>
      <c r="C2120">
        <v>2</v>
      </c>
      <c r="D2120" s="1">
        <v>46113</v>
      </c>
      <c r="E2120" s="4" t="s">
        <v>27</v>
      </c>
      <c r="F2120" s="4" t="s">
        <v>26</v>
      </c>
      <c r="G2120" s="4" t="s">
        <v>107</v>
      </c>
      <c r="H2120">
        <v>5</v>
      </c>
      <c r="I2120">
        <v>8</v>
      </c>
      <c r="J2120">
        <v>0</v>
      </c>
      <c r="K2120">
        <v>8</v>
      </c>
      <c r="L2120">
        <v>9171.9</v>
      </c>
      <c r="M2120">
        <v>0</v>
      </c>
      <c r="N2120">
        <v>9171.9</v>
      </c>
      <c r="O2120">
        <v>5688</v>
      </c>
      <c r="P2120">
        <v>3483.9</v>
      </c>
      <c r="Q2120">
        <v>0.37980000000000003</v>
      </c>
      <c r="R2120">
        <v>1</v>
      </c>
      <c r="S2120">
        <v>2061.9</v>
      </c>
      <c r="T2120">
        <v>0</v>
      </c>
      <c r="U2120">
        <v>1834.38</v>
      </c>
    </row>
    <row r="2121" spans="1:21" x14ac:dyDescent="0.35">
      <c r="A2121">
        <v>2026</v>
      </c>
      <c r="B2121">
        <v>4</v>
      </c>
      <c r="C2121">
        <v>2</v>
      </c>
      <c r="D2121" s="1">
        <v>46113</v>
      </c>
      <c r="E2121" s="4" t="s">
        <v>27</v>
      </c>
      <c r="F2121" s="4" t="s">
        <v>26</v>
      </c>
      <c r="G2121" s="4" t="s">
        <v>109</v>
      </c>
      <c r="H2121">
        <v>13</v>
      </c>
      <c r="I2121">
        <v>16</v>
      </c>
      <c r="J2121">
        <v>0</v>
      </c>
      <c r="K2121">
        <v>16</v>
      </c>
      <c r="L2121">
        <v>9814.24</v>
      </c>
      <c r="M2121">
        <v>0</v>
      </c>
      <c r="N2121">
        <v>9814.24</v>
      </c>
      <c r="O2121">
        <v>6018</v>
      </c>
      <c r="P2121">
        <v>3796.24</v>
      </c>
      <c r="Q2121">
        <v>0.38679999999999998</v>
      </c>
      <c r="R2121">
        <v>1</v>
      </c>
      <c r="S2121">
        <v>528.24</v>
      </c>
      <c r="T2121">
        <v>0</v>
      </c>
      <c r="U2121">
        <v>754.94</v>
      </c>
    </row>
    <row r="2122" spans="1:21" x14ac:dyDescent="0.35">
      <c r="A2122">
        <v>2026</v>
      </c>
      <c r="B2122">
        <v>4</v>
      </c>
      <c r="C2122">
        <v>2</v>
      </c>
      <c r="D2122" s="1">
        <v>46113</v>
      </c>
      <c r="E2122" s="4" t="s">
        <v>34</v>
      </c>
      <c r="F2122" s="4" t="s">
        <v>28</v>
      </c>
      <c r="G2122" s="4" t="s">
        <v>107</v>
      </c>
      <c r="H2122">
        <v>85</v>
      </c>
      <c r="I2122">
        <v>127</v>
      </c>
      <c r="J2122">
        <v>0</v>
      </c>
      <c r="K2122">
        <v>127</v>
      </c>
      <c r="L2122">
        <v>85120.16</v>
      </c>
      <c r="M2122">
        <v>0</v>
      </c>
      <c r="N2122">
        <v>85120.16</v>
      </c>
      <c r="O2122">
        <v>30478</v>
      </c>
      <c r="P2122">
        <v>54642.16</v>
      </c>
      <c r="Q2122">
        <v>0.64190000000000003</v>
      </c>
      <c r="R2122">
        <v>6</v>
      </c>
      <c r="S2122">
        <v>6850.16</v>
      </c>
      <c r="T2122">
        <v>0</v>
      </c>
      <c r="U2122">
        <v>1001.41</v>
      </c>
    </row>
    <row r="2123" spans="1:21" x14ac:dyDescent="0.35">
      <c r="A2123">
        <v>2026</v>
      </c>
      <c r="B2123">
        <v>4</v>
      </c>
      <c r="C2123">
        <v>2</v>
      </c>
      <c r="D2123" s="1">
        <v>46113</v>
      </c>
      <c r="E2123" s="4" t="s">
        <v>34</v>
      </c>
      <c r="F2123" s="4" t="s">
        <v>28</v>
      </c>
      <c r="G2123" s="4" t="s">
        <v>108</v>
      </c>
      <c r="H2123">
        <v>23</v>
      </c>
      <c r="I2123">
        <v>40</v>
      </c>
      <c r="J2123">
        <v>0</v>
      </c>
      <c r="K2123">
        <v>40</v>
      </c>
      <c r="L2123">
        <v>16021.86</v>
      </c>
      <c r="M2123">
        <v>0</v>
      </c>
      <c r="N2123">
        <v>16021.86</v>
      </c>
      <c r="O2123">
        <v>5964</v>
      </c>
      <c r="P2123">
        <v>10057.86</v>
      </c>
      <c r="Q2123">
        <v>0.62780000000000002</v>
      </c>
      <c r="R2123">
        <v>3</v>
      </c>
      <c r="S2123">
        <v>2815.86</v>
      </c>
      <c r="T2123">
        <v>0</v>
      </c>
      <c r="U2123">
        <v>696.6</v>
      </c>
    </row>
    <row r="2124" spans="1:21" x14ac:dyDescent="0.35">
      <c r="A2124">
        <v>2026</v>
      </c>
      <c r="B2124">
        <v>4</v>
      </c>
      <c r="C2124">
        <v>2</v>
      </c>
      <c r="D2124" s="1">
        <v>46113</v>
      </c>
      <c r="E2124" s="4" t="s">
        <v>34</v>
      </c>
      <c r="F2124" s="4" t="s">
        <v>28</v>
      </c>
      <c r="G2124" s="4" t="s">
        <v>109</v>
      </c>
      <c r="H2124">
        <v>343</v>
      </c>
      <c r="I2124">
        <v>516</v>
      </c>
      <c r="J2124">
        <v>0</v>
      </c>
      <c r="K2124">
        <v>516</v>
      </c>
      <c r="L2124">
        <v>256626.11</v>
      </c>
      <c r="M2124">
        <v>0</v>
      </c>
      <c r="N2124">
        <v>256626.11</v>
      </c>
      <c r="O2124">
        <v>92310.05</v>
      </c>
      <c r="P2124">
        <v>164316.06</v>
      </c>
      <c r="Q2124">
        <v>0.64029999999999998</v>
      </c>
      <c r="R2124">
        <v>35</v>
      </c>
      <c r="S2124">
        <v>34493.15</v>
      </c>
      <c r="T2124">
        <v>0</v>
      </c>
      <c r="U2124">
        <v>748.18</v>
      </c>
    </row>
    <row r="2125" spans="1:21" x14ac:dyDescent="0.35">
      <c r="A2125">
        <v>2026</v>
      </c>
      <c r="B2125">
        <v>4</v>
      </c>
      <c r="C2125">
        <v>2</v>
      </c>
      <c r="D2125" s="1">
        <v>46113</v>
      </c>
      <c r="E2125" s="4" t="s">
        <v>34</v>
      </c>
      <c r="F2125" s="4" t="s">
        <v>35</v>
      </c>
      <c r="G2125" s="4" t="s">
        <v>109</v>
      </c>
      <c r="H2125">
        <v>1</v>
      </c>
      <c r="I2125">
        <v>1</v>
      </c>
      <c r="J2125">
        <v>0</v>
      </c>
      <c r="K2125">
        <v>1</v>
      </c>
      <c r="L2125">
        <v>327</v>
      </c>
      <c r="M2125">
        <v>0</v>
      </c>
      <c r="N2125">
        <v>327</v>
      </c>
      <c r="O2125">
        <v>65.400000000000006</v>
      </c>
      <c r="P2125">
        <v>261.60000000000002</v>
      </c>
      <c r="Q2125">
        <v>0.8</v>
      </c>
      <c r="R2125">
        <v>0</v>
      </c>
      <c r="S2125">
        <v>0</v>
      </c>
      <c r="T2125">
        <v>0</v>
      </c>
      <c r="U2125">
        <v>327</v>
      </c>
    </row>
    <row r="2126" spans="1:21" x14ac:dyDescent="0.35">
      <c r="A2126">
        <v>2026</v>
      </c>
      <c r="B2126">
        <v>4</v>
      </c>
      <c r="C2126">
        <v>2</v>
      </c>
      <c r="D2126" s="1">
        <v>46113</v>
      </c>
      <c r="E2126" s="4" t="s">
        <v>34</v>
      </c>
      <c r="F2126" s="4" t="s">
        <v>24</v>
      </c>
      <c r="G2126" s="4" t="s">
        <v>107</v>
      </c>
      <c r="H2126">
        <v>40</v>
      </c>
      <c r="I2126">
        <v>59</v>
      </c>
      <c r="J2126">
        <v>3</v>
      </c>
      <c r="K2126">
        <v>56</v>
      </c>
      <c r="L2126">
        <v>109684.7</v>
      </c>
      <c r="M2126">
        <v>6544.8</v>
      </c>
      <c r="N2126">
        <v>103139.9</v>
      </c>
      <c r="O2126">
        <v>58416.05</v>
      </c>
      <c r="P2126">
        <v>44723.85</v>
      </c>
      <c r="Q2126">
        <v>0.43359999999999999</v>
      </c>
      <c r="R2126">
        <v>4</v>
      </c>
      <c r="S2126">
        <v>6357.9</v>
      </c>
      <c r="T2126">
        <v>0</v>
      </c>
      <c r="U2126">
        <v>2578.5</v>
      </c>
    </row>
    <row r="2127" spans="1:21" x14ac:dyDescent="0.35">
      <c r="A2127">
        <v>2026</v>
      </c>
      <c r="B2127">
        <v>4</v>
      </c>
      <c r="C2127">
        <v>2</v>
      </c>
      <c r="D2127" s="1">
        <v>46113</v>
      </c>
      <c r="E2127" s="4" t="s">
        <v>34</v>
      </c>
      <c r="F2127" s="4" t="s">
        <v>24</v>
      </c>
      <c r="G2127" s="4" t="s">
        <v>108</v>
      </c>
      <c r="H2127">
        <v>8</v>
      </c>
      <c r="I2127">
        <v>14</v>
      </c>
      <c r="J2127">
        <v>1</v>
      </c>
      <c r="K2127">
        <v>13</v>
      </c>
      <c r="L2127">
        <v>19140.52</v>
      </c>
      <c r="M2127">
        <v>1379</v>
      </c>
      <c r="N2127">
        <v>17761.52</v>
      </c>
      <c r="O2127">
        <v>9859.85</v>
      </c>
      <c r="P2127">
        <v>7901.67</v>
      </c>
      <c r="Q2127">
        <v>0.44490000000000002</v>
      </c>
      <c r="R2127">
        <v>1</v>
      </c>
      <c r="S2127">
        <v>2592.52</v>
      </c>
      <c r="T2127">
        <v>0</v>
      </c>
      <c r="U2127">
        <v>2220.19</v>
      </c>
    </row>
    <row r="2128" spans="1:21" x14ac:dyDescent="0.35">
      <c r="A2128">
        <v>2026</v>
      </c>
      <c r="B2128">
        <v>4</v>
      </c>
      <c r="C2128">
        <v>2</v>
      </c>
      <c r="D2128" s="1">
        <v>46113</v>
      </c>
      <c r="E2128" s="4" t="s">
        <v>34</v>
      </c>
      <c r="F2128" s="4" t="s">
        <v>24</v>
      </c>
      <c r="G2128" s="4" t="s">
        <v>109</v>
      </c>
      <c r="H2128">
        <v>98</v>
      </c>
      <c r="I2128">
        <v>148</v>
      </c>
      <c r="J2128">
        <v>5</v>
      </c>
      <c r="K2128">
        <v>143</v>
      </c>
      <c r="L2128">
        <v>245100.57</v>
      </c>
      <c r="M2128">
        <v>8596</v>
      </c>
      <c r="N2128">
        <v>236504.57</v>
      </c>
      <c r="O2128">
        <v>134296.25</v>
      </c>
      <c r="P2128">
        <v>102208.32000000001</v>
      </c>
      <c r="Q2128">
        <v>0.43219999999999997</v>
      </c>
      <c r="R2128">
        <v>12</v>
      </c>
      <c r="S2128">
        <v>39349.730000000003</v>
      </c>
      <c r="T2128">
        <v>0</v>
      </c>
      <c r="U2128">
        <v>2413.31</v>
      </c>
    </row>
    <row r="2129" spans="1:21" x14ac:dyDescent="0.35">
      <c r="A2129">
        <v>2026</v>
      </c>
      <c r="B2129">
        <v>4</v>
      </c>
      <c r="C2129">
        <v>2</v>
      </c>
      <c r="D2129" s="1">
        <v>46113</v>
      </c>
      <c r="E2129" s="4" t="s">
        <v>34</v>
      </c>
      <c r="F2129" s="4" t="s">
        <v>26</v>
      </c>
      <c r="G2129" s="4" t="s">
        <v>107</v>
      </c>
      <c r="H2129">
        <v>7</v>
      </c>
      <c r="I2129">
        <v>9</v>
      </c>
      <c r="J2129">
        <v>2</v>
      </c>
      <c r="K2129">
        <v>7</v>
      </c>
      <c r="L2129">
        <v>4594</v>
      </c>
      <c r="M2129">
        <v>1288</v>
      </c>
      <c r="N2129">
        <v>3306</v>
      </c>
      <c r="O2129">
        <v>2096.4</v>
      </c>
      <c r="P2129">
        <v>1209.5999999999999</v>
      </c>
      <c r="Q2129">
        <v>0.3659</v>
      </c>
      <c r="R2129">
        <v>1</v>
      </c>
      <c r="S2129">
        <v>752</v>
      </c>
      <c r="T2129">
        <v>0</v>
      </c>
      <c r="U2129">
        <v>472.29</v>
      </c>
    </row>
    <row r="2130" spans="1:21" x14ac:dyDescent="0.35">
      <c r="A2130">
        <v>2026</v>
      </c>
      <c r="B2130">
        <v>4</v>
      </c>
      <c r="C2130">
        <v>2</v>
      </c>
      <c r="D2130" s="1">
        <v>46113</v>
      </c>
      <c r="E2130" s="4" t="s">
        <v>34</v>
      </c>
      <c r="F2130" s="4" t="s">
        <v>26</v>
      </c>
      <c r="G2130" s="4" t="s">
        <v>108</v>
      </c>
      <c r="H2130">
        <v>2</v>
      </c>
      <c r="I2130">
        <v>4</v>
      </c>
      <c r="J2130">
        <v>0</v>
      </c>
      <c r="K2130">
        <v>4</v>
      </c>
      <c r="L2130">
        <v>2131.86</v>
      </c>
      <c r="M2130">
        <v>0</v>
      </c>
      <c r="N2130">
        <v>2131.86</v>
      </c>
      <c r="O2130">
        <v>1530</v>
      </c>
      <c r="P2130">
        <v>601.86</v>
      </c>
      <c r="Q2130">
        <v>0.2823</v>
      </c>
      <c r="R2130">
        <v>1</v>
      </c>
      <c r="S2130">
        <v>1399.86</v>
      </c>
      <c r="T2130">
        <v>0</v>
      </c>
      <c r="U2130">
        <v>1065.93</v>
      </c>
    </row>
    <row r="2131" spans="1:21" x14ac:dyDescent="0.35">
      <c r="A2131">
        <v>2026</v>
      </c>
      <c r="B2131">
        <v>4</v>
      </c>
      <c r="C2131">
        <v>2</v>
      </c>
      <c r="D2131" s="1">
        <v>46113</v>
      </c>
      <c r="E2131" s="4" t="s">
        <v>34</v>
      </c>
      <c r="F2131" s="4" t="s">
        <v>26</v>
      </c>
      <c r="G2131" s="4" t="s">
        <v>109</v>
      </c>
      <c r="H2131">
        <v>21</v>
      </c>
      <c r="I2131">
        <v>34</v>
      </c>
      <c r="J2131">
        <v>3</v>
      </c>
      <c r="K2131">
        <v>31</v>
      </c>
      <c r="L2131">
        <v>21293.78</v>
      </c>
      <c r="M2131">
        <v>1687</v>
      </c>
      <c r="N2131">
        <v>19606.78</v>
      </c>
      <c r="O2131">
        <v>11925.6</v>
      </c>
      <c r="P2131">
        <v>7681.18</v>
      </c>
      <c r="Q2131">
        <v>0.39179999999999998</v>
      </c>
      <c r="R2131">
        <v>1</v>
      </c>
      <c r="S2131">
        <v>1012.78</v>
      </c>
      <c r="T2131">
        <v>0</v>
      </c>
      <c r="U2131">
        <v>933.66</v>
      </c>
    </row>
    <row r="2132" spans="1:21" x14ac:dyDescent="0.35">
      <c r="A2132">
        <v>2026</v>
      </c>
      <c r="B2132">
        <v>4</v>
      </c>
      <c r="C2132">
        <v>2</v>
      </c>
      <c r="D2132" s="1">
        <v>46113</v>
      </c>
      <c r="E2132" s="4" t="s">
        <v>36</v>
      </c>
      <c r="F2132" s="4" t="s">
        <v>28</v>
      </c>
      <c r="G2132" s="4" t="s">
        <v>107</v>
      </c>
      <c r="H2132">
        <v>41</v>
      </c>
      <c r="I2132">
        <v>59</v>
      </c>
      <c r="J2132">
        <v>0</v>
      </c>
      <c r="K2132">
        <v>59</v>
      </c>
      <c r="L2132">
        <v>38232.959999999999</v>
      </c>
      <c r="M2132">
        <v>0</v>
      </c>
      <c r="N2132">
        <v>38232.959999999999</v>
      </c>
      <c r="O2132">
        <v>13417.6</v>
      </c>
      <c r="P2132">
        <v>24815.360000000001</v>
      </c>
      <c r="Q2132">
        <v>0.64910000000000001</v>
      </c>
      <c r="R2132">
        <v>1</v>
      </c>
      <c r="S2132">
        <v>632.96</v>
      </c>
      <c r="T2132">
        <v>0</v>
      </c>
      <c r="U2132">
        <v>932.51</v>
      </c>
    </row>
    <row r="2133" spans="1:21" x14ac:dyDescent="0.35">
      <c r="A2133">
        <v>2026</v>
      </c>
      <c r="B2133">
        <v>4</v>
      </c>
      <c r="C2133">
        <v>2</v>
      </c>
      <c r="D2133" s="1">
        <v>46113</v>
      </c>
      <c r="E2133" s="4" t="s">
        <v>36</v>
      </c>
      <c r="F2133" s="4" t="s">
        <v>28</v>
      </c>
      <c r="G2133" s="4" t="s">
        <v>108</v>
      </c>
      <c r="H2133">
        <v>73</v>
      </c>
      <c r="I2133">
        <v>119</v>
      </c>
      <c r="J2133">
        <v>0</v>
      </c>
      <c r="K2133">
        <v>119</v>
      </c>
      <c r="L2133">
        <v>38011.31</v>
      </c>
      <c r="M2133">
        <v>0</v>
      </c>
      <c r="N2133">
        <v>38011.31</v>
      </c>
      <c r="O2133">
        <v>14096.6</v>
      </c>
      <c r="P2133">
        <v>23914.71</v>
      </c>
      <c r="Q2133">
        <v>0.62909999999999999</v>
      </c>
      <c r="R2133">
        <v>11</v>
      </c>
      <c r="S2133">
        <v>8878.31</v>
      </c>
      <c r="T2133">
        <v>0</v>
      </c>
      <c r="U2133">
        <v>520.70000000000005</v>
      </c>
    </row>
    <row r="2134" spans="1:21" x14ac:dyDescent="0.35">
      <c r="A2134">
        <v>2026</v>
      </c>
      <c r="B2134">
        <v>4</v>
      </c>
      <c r="C2134">
        <v>2</v>
      </c>
      <c r="D2134" s="1">
        <v>46113</v>
      </c>
      <c r="E2134" s="4" t="s">
        <v>36</v>
      </c>
      <c r="F2134" s="4" t="s">
        <v>28</v>
      </c>
      <c r="G2134" s="4" t="s">
        <v>109</v>
      </c>
      <c r="H2134">
        <v>357</v>
      </c>
      <c r="I2134">
        <v>569</v>
      </c>
      <c r="J2134">
        <v>0</v>
      </c>
      <c r="K2134">
        <v>569</v>
      </c>
      <c r="L2134">
        <v>269005.46999999997</v>
      </c>
      <c r="M2134">
        <v>0</v>
      </c>
      <c r="N2134">
        <v>269005.46999999997</v>
      </c>
      <c r="O2134">
        <v>97513.5</v>
      </c>
      <c r="P2134">
        <v>171491.97</v>
      </c>
      <c r="Q2134">
        <v>0.63749999999999996</v>
      </c>
      <c r="R2134">
        <v>37</v>
      </c>
      <c r="S2134">
        <v>32158.47</v>
      </c>
      <c r="T2134">
        <v>0</v>
      </c>
      <c r="U2134">
        <v>753.52</v>
      </c>
    </row>
    <row r="2135" spans="1:21" x14ac:dyDescent="0.35">
      <c r="A2135">
        <v>2026</v>
      </c>
      <c r="B2135">
        <v>4</v>
      </c>
      <c r="C2135">
        <v>2</v>
      </c>
      <c r="D2135" s="1">
        <v>46113</v>
      </c>
      <c r="E2135" s="4" t="s">
        <v>36</v>
      </c>
      <c r="F2135" s="4" t="s">
        <v>24</v>
      </c>
      <c r="G2135" s="4" t="s">
        <v>107</v>
      </c>
      <c r="H2135">
        <v>28</v>
      </c>
      <c r="I2135">
        <v>38</v>
      </c>
      <c r="J2135">
        <v>1</v>
      </c>
      <c r="K2135">
        <v>37</v>
      </c>
      <c r="L2135">
        <v>54935.94</v>
      </c>
      <c r="M2135">
        <v>668.46</v>
      </c>
      <c r="N2135">
        <v>54267.48</v>
      </c>
      <c r="O2135">
        <v>30493.65</v>
      </c>
      <c r="P2135">
        <v>23773.83</v>
      </c>
      <c r="Q2135">
        <v>0.43809999999999999</v>
      </c>
      <c r="R2135">
        <v>5</v>
      </c>
      <c r="S2135">
        <v>9237.48</v>
      </c>
      <c r="T2135">
        <v>0</v>
      </c>
      <c r="U2135">
        <v>1938.12</v>
      </c>
    </row>
    <row r="2136" spans="1:21" x14ac:dyDescent="0.35">
      <c r="A2136">
        <v>2026</v>
      </c>
      <c r="B2136">
        <v>4</v>
      </c>
      <c r="C2136">
        <v>2</v>
      </c>
      <c r="D2136" s="1">
        <v>46113</v>
      </c>
      <c r="E2136" s="4" t="s">
        <v>36</v>
      </c>
      <c r="F2136" s="4" t="s">
        <v>24</v>
      </c>
      <c r="G2136" s="4" t="s">
        <v>108</v>
      </c>
      <c r="H2136">
        <v>9</v>
      </c>
      <c r="I2136">
        <v>15</v>
      </c>
      <c r="J2136">
        <v>0</v>
      </c>
      <c r="K2136">
        <v>15</v>
      </c>
      <c r="L2136">
        <v>25068</v>
      </c>
      <c r="M2136">
        <v>0</v>
      </c>
      <c r="N2136">
        <v>25068</v>
      </c>
      <c r="O2136">
        <v>13787.4</v>
      </c>
      <c r="P2136">
        <v>11280.6</v>
      </c>
      <c r="Q2136">
        <v>0.45</v>
      </c>
      <c r="R2136">
        <v>0</v>
      </c>
      <c r="S2136">
        <v>0</v>
      </c>
      <c r="T2136">
        <v>0</v>
      </c>
      <c r="U2136">
        <v>2785.33</v>
      </c>
    </row>
    <row r="2137" spans="1:21" x14ac:dyDescent="0.35">
      <c r="A2137">
        <v>2026</v>
      </c>
      <c r="B2137">
        <v>4</v>
      </c>
      <c r="C2137">
        <v>2</v>
      </c>
      <c r="D2137" s="1">
        <v>46113</v>
      </c>
      <c r="E2137" s="4" t="s">
        <v>36</v>
      </c>
      <c r="F2137" s="4" t="s">
        <v>24</v>
      </c>
      <c r="G2137" s="4" t="s">
        <v>109</v>
      </c>
      <c r="H2137">
        <v>55</v>
      </c>
      <c r="I2137">
        <v>89</v>
      </c>
      <c r="J2137">
        <v>1</v>
      </c>
      <c r="K2137">
        <v>88</v>
      </c>
      <c r="L2137">
        <v>135626.63</v>
      </c>
      <c r="M2137">
        <v>1873</v>
      </c>
      <c r="N2137">
        <v>133753.63</v>
      </c>
      <c r="O2137">
        <v>76981.850000000006</v>
      </c>
      <c r="P2137">
        <v>56771.78</v>
      </c>
      <c r="Q2137">
        <v>0.42449999999999999</v>
      </c>
      <c r="R2137">
        <v>8</v>
      </c>
      <c r="S2137">
        <v>22401.63</v>
      </c>
      <c r="T2137">
        <v>0</v>
      </c>
      <c r="U2137">
        <v>2431.88</v>
      </c>
    </row>
    <row r="2138" spans="1:21" x14ac:dyDescent="0.35">
      <c r="A2138">
        <v>2026</v>
      </c>
      <c r="B2138">
        <v>4</v>
      </c>
      <c r="C2138">
        <v>2</v>
      </c>
      <c r="D2138" s="1">
        <v>46113</v>
      </c>
      <c r="E2138" s="4" t="s">
        <v>36</v>
      </c>
      <c r="F2138" s="4" t="s">
        <v>26</v>
      </c>
      <c r="G2138" s="4" t="s">
        <v>109</v>
      </c>
      <c r="H2138">
        <v>25</v>
      </c>
      <c r="I2138">
        <v>42</v>
      </c>
      <c r="J2138">
        <v>2</v>
      </c>
      <c r="K2138">
        <v>40</v>
      </c>
      <c r="L2138">
        <v>32451.4</v>
      </c>
      <c r="M2138">
        <v>1590</v>
      </c>
      <c r="N2138">
        <v>30861.4</v>
      </c>
      <c r="O2138">
        <v>18953.400000000001</v>
      </c>
      <c r="P2138">
        <v>11908</v>
      </c>
      <c r="Q2138">
        <v>0.38590000000000002</v>
      </c>
      <c r="R2138">
        <v>2</v>
      </c>
      <c r="S2138">
        <v>2488.4</v>
      </c>
      <c r="T2138">
        <v>0</v>
      </c>
      <c r="U2138">
        <v>1234.46</v>
      </c>
    </row>
    <row r="2139" spans="1:21" x14ac:dyDescent="0.35">
      <c r="A2139">
        <v>2026</v>
      </c>
      <c r="B2139">
        <v>4</v>
      </c>
      <c r="C2139">
        <v>2</v>
      </c>
      <c r="D2139" s="1">
        <v>46113</v>
      </c>
      <c r="E2139" s="4" t="s">
        <v>23</v>
      </c>
      <c r="F2139" s="4" t="s">
        <v>28</v>
      </c>
      <c r="G2139" s="4" t="s">
        <v>107</v>
      </c>
      <c r="H2139">
        <v>53</v>
      </c>
      <c r="I2139">
        <v>74</v>
      </c>
      <c r="J2139">
        <v>0</v>
      </c>
      <c r="K2139">
        <v>74</v>
      </c>
      <c r="L2139">
        <v>24062.22</v>
      </c>
      <c r="M2139">
        <v>0</v>
      </c>
      <c r="N2139">
        <v>24062.22</v>
      </c>
      <c r="O2139">
        <v>8754.2000000000007</v>
      </c>
      <c r="P2139">
        <v>15308.02</v>
      </c>
      <c r="Q2139">
        <v>0.63619999999999999</v>
      </c>
      <c r="R2139">
        <v>8</v>
      </c>
      <c r="S2139">
        <v>4458.22</v>
      </c>
      <c r="T2139">
        <v>0</v>
      </c>
      <c r="U2139">
        <v>454</v>
      </c>
    </row>
    <row r="2140" spans="1:21" x14ac:dyDescent="0.35">
      <c r="A2140">
        <v>2026</v>
      </c>
      <c r="B2140">
        <v>4</v>
      </c>
      <c r="C2140">
        <v>2</v>
      </c>
      <c r="D2140" s="1">
        <v>46113</v>
      </c>
      <c r="E2140" s="4" t="s">
        <v>23</v>
      </c>
      <c r="F2140" s="4" t="s">
        <v>28</v>
      </c>
      <c r="G2140" s="4" t="s">
        <v>108</v>
      </c>
      <c r="H2140">
        <v>10</v>
      </c>
      <c r="I2140">
        <v>12</v>
      </c>
      <c r="J2140">
        <v>0</v>
      </c>
      <c r="K2140">
        <v>12</v>
      </c>
      <c r="L2140">
        <v>8182.92</v>
      </c>
      <c r="M2140">
        <v>0</v>
      </c>
      <c r="N2140">
        <v>8182.92</v>
      </c>
      <c r="O2140">
        <v>2952.6</v>
      </c>
      <c r="P2140">
        <v>5230.32</v>
      </c>
      <c r="Q2140">
        <v>0.63919999999999999</v>
      </c>
      <c r="R2140">
        <v>1</v>
      </c>
      <c r="S2140">
        <v>1152.92</v>
      </c>
      <c r="T2140">
        <v>0</v>
      </c>
      <c r="U2140">
        <v>818.29</v>
      </c>
    </row>
    <row r="2141" spans="1:21" x14ac:dyDescent="0.35">
      <c r="A2141">
        <v>2026</v>
      </c>
      <c r="B2141">
        <v>4</v>
      </c>
      <c r="C2141">
        <v>2</v>
      </c>
      <c r="D2141" s="1">
        <v>46113</v>
      </c>
      <c r="E2141" s="4" t="s">
        <v>23</v>
      </c>
      <c r="F2141" s="4" t="s">
        <v>28</v>
      </c>
      <c r="G2141" s="4" t="s">
        <v>109</v>
      </c>
      <c r="H2141">
        <v>328</v>
      </c>
      <c r="I2141">
        <v>508</v>
      </c>
      <c r="J2141">
        <v>0</v>
      </c>
      <c r="K2141">
        <v>508</v>
      </c>
      <c r="L2141">
        <v>232366.14</v>
      </c>
      <c r="M2141">
        <v>0</v>
      </c>
      <c r="N2141">
        <v>232366.14</v>
      </c>
      <c r="O2141">
        <v>84557.55</v>
      </c>
      <c r="P2141">
        <v>147808.59</v>
      </c>
      <c r="Q2141">
        <v>0.6361</v>
      </c>
      <c r="R2141">
        <v>36</v>
      </c>
      <c r="S2141">
        <v>31448.14</v>
      </c>
      <c r="T2141">
        <v>0</v>
      </c>
      <c r="U2141">
        <v>708.43</v>
      </c>
    </row>
    <row r="2142" spans="1:21" x14ac:dyDescent="0.35">
      <c r="A2142">
        <v>2026</v>
      </c>
      <c r="B2142">
        <v>4</v>
      </c>
      <c r="C2142">
        <v>2</v>
      </c>
      <c r="D2142" s="1">
        <v>46113</v>
      </c>
      <c r="E2142" s="4" t="s">
        <v>23</v>
      </c>
      <c r="F2142" s="4" t="s">
        <v>24</v>
      </c>
      <c r="G2142" s="4" t="s">
        <v>107</v>
      </c>
      <c r="H2142">
        <v>33</v>
      </c>
      <c r="I2142">
        <v>53</v>
      </c>
      <c r="J2142">
        <v>0</v>
      </c>
      <c r="K2142">
        <v>53</v>
      </c>
      <c r="L2142">
        <v>95559.83</v>
      </c>
      <c r="M2142">
        <v>0</v>
      </c>
      <c r="N2142">
        <v>95559.83</v>
      </c>
      <c r="O2142">
        <v>53414.35</v>
      </c>
      <c r="P2142">
        <v>42145.48</v>
      </c>
      <c r="Q2142">
        <v>0.441</v>
      </c>
      <c r="R2142">
        <v>4</v>
      </c>
      <c r="S2142">
        <v>12210.28</v>
      </c>
      <c r="T2142">
        <v>0</v>
      </c>
      <c r="U2142">
        <v>2895.75</v>
      </c>
    </row>
    <row r="2143" spans="1:21" x14ac:dyDescent="0.35">
      <c r="A2143">
        <v>2026</v>
      </c>
      <c r="B2143">
        <v>4</v>
      </c>
      <c r="C2143">
        <v>2</v>
      </c>
      <c r="D2143" s="1">
        <v>46113</v>
      </c>
      <c r="E2143" s="4" t="s">
        <v>23</v>
      </c>
      <c r="F2143" s="4" t="s">
        <v>24</v>
      </c>
      <c r="G2143" s="4" t="s">
        <v>109</v>
      </c>
      <c r="H2143">
        <v>66</v>
      </c>
      <c r="I2143">
        <v>92</v>
      </c>
      <c r="J2143">
        <v>1</v>
      </c>
      <c r="K2143">
        <v>91</v>
      </c>
      <c r="L2143">
        <v>98076.76</v>
      </c>
      <c r="M2143">
        <v>1283</v>
      </c>
      <c r="N2143">
        <v>96793.76</v>
      </c>
      <c r="O2143">
        <v>55848.1</v>
      </c>
      <c r="P2143">
        <v>40945.660000000003</v>
      </c>
      <c r="Q2143">
        <v>0.42299999999999999</v>
      </c>
      <c r="R2143">
        <v>8</v>
      </c>
      <c r="S2143">
        <v>14498.76</v>
      </c>
      <c r="T2143">
        <v>0</v>
      </c>
      <c r="U2143">
        <v>1466.57</v>
      </c>
    </row>
    <row r="2144" spans="1:21" x14ac:dyDescent="0.35">
      <c r="A2144">
        <v>2026</v>
      </c>
      <c r="B2144">
        <v>4</v>
      </c>
      <c r="C2144">
        <v>2</v>
      </c>
      <c r="D2144" s="1">
        <v>46113</v>
      </c>
      <c r="E2144" s="4" t="s">
        <v>23</v>
      </c>
      <c r="F2144" s="4" t="s">
        <v>26</v>
      </c>
      <c r="G2144" s="4" t="s">
        <v>107</v>
      </c>
      <c r="H2144">
        <v>7</v>
      </c>
      <c r="I2144">
        <v>10</v>
      </c>
      <c r="J2144">
        <v>0</v>
      </c>
      <c r="K2144">
        <v>10</v>
      </c>
      <c r="L2144">
        <v>5378.12</v>
      </c>
      <c r="M2144">
        <v>0</v>
      </c>
      <c r="N2144">
        <v>5378.12</v>
      </c>
      <c r="O2144">
        <v>3379.8</v>
      </c>
      <c r="P2144">
        <v>1998.32</v>
      </c>
      <c r="Q2144">
        <v>0.37159999999999999</v>
      </c>
      <c r="R2144">
        <v>1</v>
      </c>
      <c r="S2144">
        <v>1338.12</v>
      </c>
      <c r="T2144">
        <v>0</v>
      </c>
      <c r="U2144">
        <v>768.3</v>
      </c>
    </row>
    <row r="2145" spans="1:21" x14ac:dyDescent="0.35">
      <c r="A2145">
        <v>2026</v>
      </c>
      <c r="B2145">
        <v>4</v>
      </c>
      <c r="C2145">
        <v>2</v>
      </c>
      <c r="D2145" s="1">
        <v>46113</v>
      </c>
      <c r="E2145" s="4" t="s">
        <v>23</v>
      </c>
      <c r="F2145" s="4" t="s">
        <v>26</v>
      </c>
      <c r="G2145" s="4" t="s">
        <v>109</v>
      </c>
      <c r="H2145">
        <v>17</v>
      </c>
      <c r="I2145">
        <v>26</v>
      </c>
      <c r="J2145">
        <v>0</v>
      </c>
      <c r="K2145">
        <v>26</v>
      </c>
      <c r="L2145">
        <v>16658</v>
      </c>
      <c r="M2145">
        <v>0</v>
      </c>
      <c r="N2145">
        <v>16658</v>
      </c>
      <c r="O2145">
        <v>9994.7999999999993</v>
      </c>
      <c r="P2145">
        <v>6663.2</v>
      </c>
      <c r="Q2145">
        <v>0.4</v>
      </c>
      <c r="R2145">
        <v>0</v>
      </c>
      <c r="S2145">
        <v>0</v>
      </c>
      <c r="T2145">
        <v>0</v>
      </c>
      <c r="U2145">
        <v>979.88</v>
      </c>
    </row>
    <row r="2146" spans="1:21" x14ac:dyDescent="0.35">
      <c r="A2146">
        <v>2026</v>
      </c>
      <c r="B2146">
        <v>4</v>
      </c>
      <c r="C2146">
        <v>2</v>
      </c>
      <c r="D2146" s="1">
        <v>46113</v>
      </c>
      <c r="E2146" s="4" t="s">
        <v>25</v>
      </c>
      <c r="F2146" s="4" t="s">
        <v>28</v>
      </c>
      <c r="G2146" s="4" t="s">
        <v>107</v>
      </c>
      <c r="H2146">
        <v>18</v>
      </c>
      <c r="I2146">
        <v>29</v>
      </c>
      <c r="J2146">
        <v>0</v>
      </c>
      <c r="K2146">
        <v>29</v>
      </c>
      <c r="L2146">
        <v>13712.23</v>
      </c>
      <c r="M2146">
        <v>0</v>
      </c>
      <c r="N2146">
        <v>13712.23</v>
      </c>
      <c r="O2146">
        <v>5044.55</v>
      </c>
      <c r="P2146">
        <v>8667.68</v>
      </c>
      <c r="Q2146">
        <v>0.6321</v>
      </c>
      <c r="R2146">
        <v>3</v>
      </c>
      <c r="S2146">
        <v>3275.23</v>
      </c>
      <c r="T2146">
        <v>0</v>
      </c>
      <c r="U2146">
        <v>761.79</v>
      </c>
    </row>
    <row r="2147" spans="1:21" x14ac:dyDescent="0.35">
      <c r="A2147">
        <v>2026</v>
      </c>
      <c r="B2147">
        <v>4</v>
      </c>
      <c r="C2147">
        <v>2</v>
      </c>
      <c r="D2147" s="1">
        <v>46113</v>
      </c>
      <c r="E2147" s="4" t="s">
        <v>25</v>
      </c>
      <c r="F2147" s="4" t="s">
        <v>28</v>
      </c>
      <c r="G2147" s="4" t="s">
        <v>109</v>
      </c>
      <c r="H2147">
        <v>315</v>
      </c>
      <c r="I2147">
        <v>492</v>
      </c>
      <c r="J2147">
        <v>0</v>
      </c>
      <c r="K2147">
        <v>492</v>
      </c>
      <c r="L2147">
        <v>257671.87</v>
      </c>
      <c r="M2147">
        <v>0</v>
      </c>
      <c r="N2147">
        <v>257671.87</v>
      </c>
      <c r="O2147">
        <v>93814.7</v>
      </c>
      <c r="P2147">
        <v>163857.17000000001</v>
      </c>
      <c r="Q2147">
        <v>0.63590000000000002</v>
      </c>
      <c r="R2147">
        <v>39</v>
      </c>
      <c r="S2147">
        <v>44772.87</v>
      </c>
      <c r="T2147">
        <v>0</v>
      </c>
      <c r="U2147">
        <v>818.01</v>
      </c>
    </row>
    <row r="2148" spans="1:21" x14ac:dyDescent="0.35">
      <c r="A2148">
        <v>2026</v>
      </c>
      <c r="B2148">
        <v>4</v>
      </c>
      <c r="C2148">
        <v>2</v>
      </c>
      <c r="D2148" s="1">
        <v>46113</v>
      </c>
      <c r="E2148" s="4" t="s">
        <v>25</v>
      </c>
      <c r="F2148" s="4" t="s">
        <v>24</v>
      </c>
      <c r="G2148" s="4" t="s">
        <v>107</v>
      </c>
      <c r="H2148">
        <v>14</v>
      </c>
      <c r="I2148">
        <v>23</v>
      </c>
      <c r="J2148">
        <v>2</v>
      </c>
      <c r="K2148">
        <v>21</v>
      </c>
      <c r="L2148">
        <v>39038.83</v>
      </c>
      <c r="M2148">
        <v>4156</v>
      </c>
      <c r="N2148">
        <v>34882.83</v>
      </c>
      <c r="O2148">
        <v>20758.099999999999</v>
      </c>
      <c r="P2148">
        <v>14124.73</v>
      </c>
      <c r="Q2148">
        <v>0.40489999999999998</v>
      </c>
      <c r="R2148">
        <v>4</v>
      </c>
      <c r="S2148">
        <v>14227.83</v>
      </c>
      <c r="T2148">
        <v>0</v>
      </c>
      <c r="U2148">
        <v>2491.63</v>
      </c>
    </row>
    <row r="2149" spans="1:21" x14ac:dyDescent="0.35">
      <c r="A2149">
        <v>2026</v>
      </c>
      <c r="B2149">
        <v>4</v>
      </c>
      <c r="C2149">
        <v>2</v>
      </c>
      <c r="D2149" s="1">
        <v>46113</v>
      </c>
      <c r="E2149" s="4" t="s">
        <v>25</v>
      </c>
      <c r="F2149" s="4" t="s">
        <v>24</v>
      </c>
      <c r="G2149" s="4" t="s">
        <v>109</v>
      </c>
      <c r="H2149">
        <v>122</v>
      </c>
      <c r="I2149">
        <v>187</v>
      </c>
      <c r="J2149">
        <v>1</v>
      </c>
      <c r="K2149">
        <v>186</v>
      </c>
      <c r="L2149">
        <v>260654.25</v>
      </c>
      <c r="M2149">
        <v>1374</v>
      </c>
      <c r="N2149">
        <v>259280.25</v>
      </c>
      <c r="O2149">
        <v>148861.35</v>
      </c>
      <c r="P2149">
        <v>110418.9</v>
      </c>
      <c r="Q2149">
        <v>0.4259</v>
      </c>
      <c r="R2149">
        <v>15</v>
      </c>
      <c r="S2149">
        <v>41985.94</v>
      </c>
      <c r="T2149">
        <v>0</v>
      </c>
      <c r="U2149">
        <v>2125.25</v>
      </c>
    </row>
    <row r="2150" spans="1:21" x14ac:dyDescent="0.35">
      <c r="A2150">
        <v>2026</v>
      </c>
      <c r="B2150">
        <v>4</v>
      </c>
      <c r="C2150">
        <v>2</v>
      </c>
      <c r="D2150" s="1">
        <v>46113</v>
      </c>
      <c r="E2150" s="4" t="s">
        <v>25</v>
      </c>
      <c r="F2150" s="4" t="s">
        <v>26</v>
      </c>
      <c r="G2150" s="4" t="s">
        <v>107</v>
      </c>
      <c r="H2150">
        <v>8</v>
      </c>
      <c r="I2150">
        <v>12</v>
      </c>
      <c r="J2150">
        <v>0</v>
      </c>
      <c r="K2150">
        <v>12</v>
      </c>
      <c r="L2150">
        <v>10759.02</v>
      </c>
      <c r="M2150">
        <v>0</v>
      </c>
      <c r="N2150">
        <v>10759.02</v>
      </c>
      <c r="O2150">
        <v>6699.6</v>
      </c>
      <c r="P2150">
        <v>4059.42</v>
      </c>
      <c r="Q2150">
        <v>0.37730000000000002</v>
      </c>
      <c r="R2150">
        <v>1</v>
      </c>
      <c r="S2150">
        <v>1735.02</v>
      </c>
      <c r="T2150">
        <v>0</v>
      </c>
      <c r="U2150">
        <v>1344.88</v>
      </c>
    </row>
    <row r="2151" spans="1:21" x14ac:dyDescent="0.35">
      <c r="A2151">
        <v>2026</v>
      </c>
      <c r="B2151">
        <v>4</v>
      </c>
      <c r="C2151">
        <v>2</v>
      </c>
      <c r="D2151" s="1">
        <v>46113</v>
      </c>
      <c r="E2151" s="4" t="s">
        <v>25</v>
      </c>
      <c r="F2151" s="4" t="s">
        <v>26</v>
      </c>
      <c r="G2151" s="4" t="s">
        <v>109</v>
      </c>
      <c r="H2151">
        <v>25</v>
      </c>
      <c r="I2151">
        <v>32</v>
      </c>
      <c r="J2151">
        <v>3</v>
      </c>
      <c r="K2151">
        <v>29</v>
      </c>
      <c r="L2151">
        <v>22928.17</v>
      </c>
      <c r="M2151">
        <v>2178</v>
      </c>
      <c r="N2151">
        <v>20750.169999999998</v>
      </c>
      <c r="O2151">
        <v>12840</v>
      </c>
      <c r="P2151">
        <v>7910.17</v>
      </c>
      <c r="Q2151">
        <v>0.38119999999999998</v>
      </c>
      <c r="R2151">
        <v>3</v>
      </c>
      <c r="S2151">
        <v>2297.17</v>
      </c>
      <c r="T2151">
        <v>0</v>
      </c>
      <c r="U2151">
        <v>830.01</v>
      </c>
    </row>
    <row r="2152" spans="1:21" x14ac:dyDescent="0.35">
      <c r="A2152">
        <v>2026</v>
      </c>
      <c r="B2152">
        <v>4</v>
      </c>
      <c r="C2152">
        <v>2</v>
      </c>
      <c r="D2152" s="1">
        <v>46113</v>
      </c>
      <c r="E2152" s="4" t="s">
        <v>29</v>
      </c>
      <c r="F2152" s="4" t="s">
        <v>28</v>
      </c>
      <c r="G2152" s="4" t="s">
        <v>107</v>
      </c>
      <c r="H2152">
        <v>125</v>
      </c>
      <c r="I2152">
        <v>176</v>
      </c>
      <c r="J2152">
        <v>0</v>
      </c>
      <c r="K2152">
        <v>176</v>
      </c>
      <c r="L2152">
        <v>77765.52</v>
      </c>
      <c r="M2152">
        <v>0</v>
      </c>
      <c r="N2152">
        <v>77765.52</v>
      </c>
      <c r="O2152">
        <v>28534.799999999999</v>
      </c>
      <c r="P2152">
        <v>49230.720000000001</v>
      </c>
      <c r="Q2152">
        <v>0.6331</v>
      </c>
      <c r="R2152">
        <v>21</v>
      </c>
      <c r="S2152">
        <v>15941.52</v>
      </c>
      <c r="T2152">
        <v>0</v>
      </c>
      <c r="U2152">
        <v>622.12</v>
      </c>
    </row>
    <row r="2153" spans="1:21" x14ac:dyDescent="0.35">
      <c r="A2153">
        <v>2026</v>
      </c>
      <c r="B2153">
        <v>4</v>
      </c>
      <c r="C2153">
        <v>2</v>
      </c>
      <c r="D2153" s="1">
        <v>46113</v>
      </c>
      <c r="E2153" s="4" t="s">
        <v>29</v>
      </c>
      <c r="F2153" s="4" t="s">
        <v>28</v>
      </c>
      <c r="G2153" s="4" t="s">
        <v>108</v>
      </c>
      <c r="H2153">
        <v>16</v>
      </c>
      <c r="I2153">
        <v>24</v>
      </c>
      <c r="J2153">
        <v>0</v>
      </c>
      <c r="K2153">
        <v>24</v>
      </c>
      <c r="L2153">
        <v>14154.24</v>
      </c>
      <c r="M2153">
        <v>0</v>
      </c>
      <c r="N2153">
        <v>14154.24</v>
      </c>
      <c r="O2153">
        <v>5107.2</v>
      </c>
      <c r="P2153">
        <v>9047.0400000000009</v>
      </c>
      <c r="Q2153">
        <v>0.63919999999999999</v>
      </c>
      <c r="R2153">
        <v>2</v>
      </c>
      <c r="S2153">
        <v>1994.24</v>
      </c>
      <c r="T2153">
        <v>0</v>
      </c>
      <c r="U2153">
        <v>884.64</v>
      </c>
    </row>
    <row r="2154" spans="1:21" x14ac:dyDescent="0.35">
      <c r="A2154">
        <v>2026</v>
      </c>
      <c r="B2154">
        <v>4</v>
      </c>
      <c r="C2154">
        <v>2</v>
      </c>
      <c r="D2154" s="1">
        <v>46113</v>
      </c>
      <c r="E2154" s="4" t="s">
        <v>29</v>
      </c>
      <c r="F2154" s="4" t="s">
        <v>28</v>
      </c>
      <c r="G2154" s="4" t="s">
        <v>109</v>
      </c>
      <c r="H2154">
        <v>446</v>
      </c>
      <c r="I2154">
        <v>712</v>
      </c>
      <c r="J2154">
        <v>0</v>
      </c>
      <c r="K2154">
        <v>712</v>
      </c>
      <c r="L2154">
        <v>346309.44</v>
      </c>
      <c r="M2154">
        <v>0</v>
      </c>
      <c r="N2154">
        <v>346309.44</v>
      </c>
      <c r="O2154">
        <v>126392.35</v>
      </c>
      <c r="P2154">
        <v>219917.09</v>
      </c>
      <c r="Q2154">
        <v>0.63500000000000001</v>
      </c>
      <c r="R2154">
        <v>61</v>
      </c>
      <c r="S2154">
        <v>53903.32</v>
      </c>
      <c r="T2154">
        <v>0</v>
      </c>
      <c r="U2154">
        <v>776.48</v>
      </c>
    </row>
    <row r="2155" spans="1:21" x14ac:dyDescent="0.35">
      <c r="A2155">
        <v>2026</v>
      </c>
      <c r="B2155">
        <v>4</v>
      </c>
      <c r="C2155">
        <v>2</v>
      </c>
      <c r="D2155" s="1">
        <v>46113</v>
      </c>
      <c r="E2155" s="4" t="s">
        <v>29</v>
      </c>
      <c r="F2155" s="4" t="s">
        <v>24</v>
      </c>
      <c r="G2155" s="4" t="s">
        <v>107</v>
      </c>
      <c r="H2155">
        <v>7</v>
      </c>
      <c r="I2155">
        <v>10</v>
      </c>
      <c r="J2155">
        <v>0</v>
      </c>
      <c r="K2155">
        <v>10</v>
      </c>
      <c r="L2155">
        <v>8640</v>
      </c>
      <c r="M2155">
        <v>0</v>
      </c>
      <c r="N2155">
        <v>8640</v>
      </c>
      <c r="O2155">
        <v>4752</v>
      </c>
      <c r="P2155">
        <v>3888</v>
      </c>
      <c r="Q2155">
        <v>0.45</v>
      </c>
      <c r="R2155">
        <v>0</v>
      </c>
      <c r="S2155">
        <v>0</v>
      </c>
      <c r="T2155">
        <v>0</v>
      </c>
      <c r="U2155">
        <v>1234.29</v>
      </c>
    </row>
    <row r="2156" spans="1:21" x14ac:dyDescent="0.35">
      <c r="A2156">
        <v>2026</v>
      </c>
      <c r="B2156">
        <v>4</v>
      </c>
      <c r="C2156">
        <v>2</v>
      </c>
      <c r="D2156" s="1">
        <v>46113</v>
      </c>
      <c r="E2156" s="4" t="s">
        <v>29</v>
      </c>
      <c r="F2156" s="4" t="s">
        <v>24</v>
      </c>
      <c r="G2156" s="4" t="s">
        <v>108</v>
      </c>
      <c r="H2156">
        <v>11</v>
      </c>
      <c r="I2156">
        <v>15</v>
      </c>
      <c r="J2156">
        <v>0</v>
      </c>
      <c r="K2156">
        <v>15</v>
      </c>
      <c r="L2156">
        <v>10284.120000000001</v>
      </c>
      <c r="M2156">
        <v>0</v>
      </c>
      <c r="N2156">
        <v>10284.120000000001</v>
      </c>
      <c r="O2156">
        <v>6121.5</v>
      </c>
      <c r="P2156">
        <v>4162.62</v>
      </c>
      <c r="Q2156">
        <v>0.40479999999999999</v>
      </c>
      <c r="R2156">
        <v>2</v>
      </c>
      <c r="S2156">
        <v>2864.12</v>
      </c>
      <c r="T2156">
        <v>0</v>
      </c>
      <c r="U2156">
        <v>934.92</v>
      </c>
    </row>
    <row r="2157" spans="1:21" x14ac:dyDescent="0.35">
      <c r="A2157">
        <v>2026</v>
      </c>
      <c r="B2157">
        <v>4</v>
      </c>
      <c r="C2157">
        <v>2</v>
      </c>
      <c r="D2157" s="1">
        <v>46113</v>
      </c>
      <c r="E2157" s="4" t="s">
        <v>29</v>
      </c>
      <c r="F2157" s="4" t="s">
        <v>24</v>
      </c>
      <c r="G2157" s="4" t="s">
        <v>109</v>
      </c>
      <c r="H2157">
        <v>77</v>
      </c>
      <c r="I2157">
        <v>99</v>
      </c>
      <c r="J2157">
        <v>1</v>
      </c>
      <c r="K2157">
        <v>98</v>
      </c>
      <c r="L2157">
        <v>189324.4</v>
      </c>
      <c r="M2157">
        <v>2283</v>
      </c>
      <c r="N2157">
        <v>187041.4</v>
      </c>
      <c r="O2157">
        <v>104079.25</v>
      </c>
      <c r="P2157">
        <v>82962.149999999994</v>
      </c>
      <c r="Q2157">
        <v>0.44350000000000001</v>
      </c>
      <c r="R2157">
        <v>4</v>
      </c>
      <c r="S2157">
        <v>13975.4</v>
      </c>
      <c r="T2157">
        <v>0</v>
      </c>
      <c r="U2157">
        <v>2429.11</v>
      </c>
    </row>
    <row r="2158" spans="1:21" x14ac:dyDescent="0.35">
      <c r="A2158">
        <v>2026</v>
      </c>
      <c r="B2158">
        <v>4</v>
      </c>
      <c r="C2158">
        <v>2</v>
      </c>
      <c r="D2158" s="1">
        <v>46113</v>
      </c>
      <c r="E2158" s="4" t="s">
        <v>29</v>
      </c>
      <c r="F2158" s="4" t="s">
        <v>26</v>
      </c>
      <c r="G2158" s="4" t="s">
        <v>107</v>
      </c>
      <c r="H2158">
        <v>7</v>
      </c>
      <c r="I2158">
        <v>9</v>
      </c>
      <c r="J2158">
        <v>0</v>
      </c>
      <c r="K2158">
        <v>9</v>
      </c>
      <c r="L2158">
        <v>6996.1</v>
      </c>
      <c r="M2158">
        <v>0</v>
      </c>
      <c r="N2158">
        <v>6996.1</v>
      </c>
      <c r="O2158">
        <v>4418.3999999999996</v>
      </c>
      <c r="P2158">
        <v>2577.6999999999998</v>
      </c>
      <c r="Q2158">
        <v>0.36840000000000001</v>
      </c>
      <c r="R2158">
        <v>2</v>
      </c>
      <c r="S2158">
        <v>1770.1</v>
      </c>
      <c r="T2158">
        <v>0</v>
      </c>
      <c r="U2158">
        <v>999.44</v>
      </c>
    </row>
    <row r="2159" spans="1:21" x14ac:dyDescent="0.35">
      <c r="A2159">
        <v>2026</v>
      </c>
      <c r="B2159">
        <v>4</v>
      </c>
      <c r="C2159">
        <v>2</v>
      </c>
      <c r="D2159" s="1">
        <v>46113</v>
      </c>
      <c r="E2159" s="4" t="s">
        <v>29</v>
      </c>
      <c r="F2159" s="4" t="s">
        <v>26</v>
      </c>
      <c r="G2159" s="4" t="s">
        <v>109</v>
      </c>
      <c r="H2159">
        <v>14</v>
      </c>
      <c r="I2159">
        <v>20</v>
      </c>
      <c r="J2159">
        <v>0</v>
      </c>
      <c r="K2159">
        <v>20</v>
      </c>
      <c r="L2159">
        <v>16502.36</v>
      </c>
      <c r="M2159">
        <v>0</v>
      </c>
      <c r="N2159">
        <v>16502.36</v>
      </c>
      <c r="O2159">
        <v>10215.6</v>
      </c>
      <c r="P2159">
        <v>6286.76</v>
      </c>
      <c r="Q2159">
        <v>0.38100000000000001</v>
      </c>
      <c r="R2159">
        <v>1</v>
      </c>
      <c r="S2159">
        <v>3504.36</v>
      </c>
      <c r="T2159">
        <v>0</v>
      </c>
      <c r="U2159">
        <v>1178.74</v>
      </c>
    </row>
    <row r="2160" spans="1:21" x14ac:dyDescent="0.35">
      <c r="A2160">
        <v>2026</v>
      </c>
      <c r="B2160">
        <v>4</v>
      </c>
      <c r="C2160">
        <v>2</v>
      </c>
      <c r="D2160" s="1">
        <v>46113</v>
      </c>
      <c r="E2160" s="4" t="s">
        <v>31</v>
      </c>
      <c r="F2160" s="4" t="s">
        <v>28</v>
      </c>
      <c r="G2160" s="4" t="s">
        <v>107</v>
      </c>
      <c r="H2160">
        <v>44</v>
      </c>
      <c r="I2160">
        <v>64</v>
      </c>
      <c r="J2160">
        <v>0</v>
      </c>
      <c r="K2160">
        <v>64</v>
      </c>
      <c r="L2160">
        <v>25070.55</v>
      </c>
      <c r="M2160">
        <v>0</v>
      </c>
      <c r="N2160">
        <v>25070.55</v>
      </c>
      <c r="O2160">
        <v>9051.35</v>
      </c>
      <c r="P2160">
        <v>16019.2</v>
      </c>
      <c r="Q2160">
        <v>0.63900000000000001</v>
      </c>
      <c r="R2160">
        <v>6</v>
      </c>
      <c r="S2160">
        <v>5035.55</v>
      </c>
      <c r="T2160">
        <v>0</v>
      </c>
      <c r="U2160">
        <v>569.79</v>
      </c>
    </row>
    <row r="2161" spans="1:21" x14ac:dyDescent="0.35">
      <c r="A2161">
        <v>2026</v>
      </c>
      <c r="B2161">
        <v>4</v>
      </c>
      <c r="C2161">
        <v>2</v>
      </c>
      <c r="D2161" s="1">
        <v>46113</v>
      </c>
      <c r="E2161" s="4" t="s">
        <v>31</v>
      </c>
      <c r="F2161" s="4" t="s">
        <v>28</v>
      </c>
      <c r="G2161" s="4" t="s">
        <v>108</v>
      </c>
      <c r="H2161">
        <v>144</v>
      </c>
      <c r="I2161">
        <v>207</v>
      </c>
      <c r="J2161">
        <v>0</v>
      </c>
      <c r="K2161">
        <v>207</v>
      </c>
      <c r="L2161">
        <v>77349.58</v>
      </c>
      <c r="M2161">
        <v>0</v>
      </c>
      <c r="N2161">
        <v>77349.58</v>
      </c>
      <c r="O2161">
        <v>27616.05</v>
      </c>
      <c r="P2161">
        <v>49733.53</v>
      </c>
      <c r="Q2161">
        <v>0.64300000000000002</v>
      </c>
      <c r="R2161">
        <v>11</v>
      </c>
      <c r="S2161">
        <v>6339.84</v>
      </c>
      <c r="T2161">
        <v>0</v>
      </c>
      <c r="U2161">
        <v>537.15</v>
      </c>
    </row>
    <row r="2162" spans="1:21" x14ac:dyDescent="0.35">
      <c r="A2162">
        <v>2026</v>
      </c>
      <c r="B2162">
        <v>4</v>
      </c>
      <c r="C2162">
        <v>2</v>
      </c>
      <c r="D2162" s="1">
        <v>46113</v>
      </c>
      <c r="E2162" s="4" t="s">
        <v>31</v>
      </c>
      <c r="F2162" s="4" t="s">
        <v>28</v>
      </c>
      <c r="G2162" s="4" t="s">
        <v>109</v>
      </c>
      <c r="H2162">
        <v>472</v>
      </c>
      <c r="I2162">
        <v>738</v>
      </c>
      <c r="J2162">
        <v>0</v>
      </c>
      <c r="K2162">
        <v>738</v>
      </c>
      <c r="L2162">
        <v>361488.19</v>
      </c>
      <c r="M2162">
        <v>0</v>
      </c>
      <c r="N2162">
        <v>361488.19</v>
      </c>
      <c r="O2162">
        <v>131380.9</v>
      </c>
      <c r="P2162">
        <v>230107.29</v>
      </c>
      <c r="Q2162">
        <v>0.63660000000000005</v>
      </c>
      <c r="R2162">
        <v>58</v>
      </c>
      <c r="S2162">
        <v>47863.19</v>
      </c>
      <c r="T2162">
        <v>0</v>
      </c>
      <c r="U2162">
        <v>765.86</v>
      </c>
    </row>
    <row r="2163" spans="1:21" x14ac:dyDescent="0.35">
      <c r="A2163">
        <v>2026</v>
      </c>
      <c r="B2163">
        <v>4</v>
      </c>
      <c r="C2163">
        <v>2</v>
      </c>
      <c r="D2163" s="1">
        <v>46113</v>
      </c>
      <c r="E2163" s="4" t="s">
        <v>31</v>
      </c>
      <c r="F2163" s="4" t="s">
        <v>24</v>
      </c>
      <c r="G2163" s="4" t="s">
        <v>107</v>
      </c>
      <c r="H2163">
        <v>8</v>
      </c>
      <c r="I2163">
        <v>11</v>
      </c>
      <c r="J2163">
        <v>0</v>
      </c>
      <c r="K2163">
        <v>11</v>
      </c>
      <c r="L2163">
        <v>19910</v>
      </c>
      <c r="M2163">
        <v>0</v>
      </c>
      <c r="N2163">
        <v>19910</v>
      </c>
      <c r="O2163">
        <v>10950.5</v>
      </c>
      <c r="P2163">
        <v>8959.5</v>
      </c>
      <c r="Q2163">
        <v>0.45</v>
      </c>
      <c r="R2163">
        <v>0</v>
      </c>
      <c r="S2163">
        <v>0</v>
      </c>
      <c r="T2163">
        <v>0</v>
      </c>
      <c r="U2163">
        <v>2488.75</v>
      </c>
    </row>
    <row r="2164" spans="1:21" x14ac:dyDescent="0.35">
      <c r="A2164">
        <v>2026</v>
      </c>
      <c r="B2164">
        <v>4</v>
      </c>
      <c r="C2164">
        <v>2</v>
      </c>
      <c r="D2164" s="1">
        <v>46113</v>
      </c>
      <c r="E2164" s="4" t="s">
        <v>31</v>
      </c>
      <c r="F2164" s="4" t="s">
        <v>24</v>
      </c>
      <c r="G2164" s="4" t="s">
        <v>109</v>
      </c>
      <c r="H2164">
        <v>109</v>
      </c>
      <c r="I2164">
        <v>171</v>
      </c>
      <c r="J2164">
        <v>6</v>
      </c>
      <c r="K2164">
        <v>165</v>
      </c>
      <c r="L2164">
        <v>235134.04</v>
      </c>
      <c r="M2164">
        <v>7718</v>
      </c>
      <c r="N2164">
        <v>227416.04</v>
      </c>
      <c r="O2164">
        <v>128289.7</v>
      </c>
      <c r="P2164">
        <v>99126.34</v>
      </c>
      <c r="Q2164">
        <v>0.43590000000000001</v>
      </c>
      <c r="R2164">
        <v>13</v>
      </c>
      <c r="S2164">
        <v>26651.040000000001</v>
      </c>
      <c r="T2164">
        <v>0</v>
      </c>
      <c r="U2164">
        <v>2086.39</v>
      </c>
    </row>
    <row r="2165" spans="1:21" x14ac:dyDescent="0.35">
      <c r="A2165">
        <v>2026</v>
      </c>
      <c r="B2165">
        <v>4</v>
      </c>
      <c r="C2165">
        <v>2</v>
      </c>
      <c r="D2165" s="1">
        <v>46113</v>
      </c>
      <c r="E2165" s="4" t="s">
        <v>31</v>
      </c>
      <c r="F2165" s="4" t="s">
        <v>26</v>
      </c>
      <c r="G2165" s="4" t="s">
        <v>107</v>
      </c>
      <c r="H2165">
        <v>1</v>
      </c>
      <c r="I2165">
        <v>2</v>
      </c>
      <c r="J2165">
        <v>0</v>
      </c>
      <c r="K2165">
        <v>2</v>
      </c>
      <c r="L2165">
        <v>503.2</v>
      </c>
      <c r="M2165">
        <v>0</v>
      </c>
      <c r="N2165">
        <v>503.2</v>
      </c>
      <c r="O2165">
        <v>444</v>
      </c>
      <c r="P2165">
        <v>59.2</v>
      </c>
      <c r="Q2165">
        <v>0.1176</v>
      </c>
      <c r="R2165">
        <v>1</v>
      </c>
      <c r="S2165">
        <v>503.2</v>
      </c>
      <c r="T2165">
        <v>0</v>
      </c>
      <c r="U2165">
        <v>503.2</v>
      </c>
    </row>
    <row r="2166" spans="1:21" x14ac:dyDescent="0.35">
      <c r="A2166">
        <v>2026</v>
      </c>
      <c r="B2166">
        <v>4</v>
      </c>
      <c r="C2166">
        <v>2</v>
      </c>
      <c r="D2166" s="1">
        <v>46113</v>
      </c>
      <c r="E2166" s="4" t="s">
        <v>31</v>
      </c>
      <c r="F2166" s="4" t="s">
        <v>26</v>
      </c>
      <c r="G2166" s="4" t="s">
        <v>109</v>
      </c>
      <c r="H2166">
        <v>18</v>
      </c>
      <c r="I2166">
        <v>22</v>
      </c>
      <c r="J2166">
        <v>0</v>
      </c>
      <c r="K2166">
        <v>22</v>
      </c>
      <c r="L2166">
        <v>17110.919999999998</v>
      </c>
      <c r="M2166">
        <v>0</v>
      </c>
      <c r="N2166">
        <v>17110.919999999998</v>
      </c>
      <c r="O2166">
        <v>10607.4</v>
      </c>
      <c r="P2166">
        <v>6503.52</v>
      </c>
      <c r="Q2166">
        <v>0.38009999999999999</v>
      </c>
      <c r="R2166">
        <v>3</v>
      </c>
      <c r="S2166">
        <v>1935.92</v>
      </c>
      <c r="T2166">
        <v>0</v>
      </c>
      <c r="U2166">
        <v>950.61</v>
      </c>
    </row>
    <row r="2167" spans="1:21" x14ac:dyDescent="0.35">
      <c r="A2167">
        <v>2026</v>
      </c>
      <c r="B2167">
        <v>4</v>
      </c>
      <c r="C2167">
        <v>2</v>
      </c>
      <c r="D2167" s="1">
        <v>46113</v>
      </c>
      <c r="E2167" s="4" t="s">
        <v>30</v>
      </c>
      <c r="F2167" s="4" t="s">
        <v>28</v>
      </c>
      <c r="G2167" s="4" t="s">
        <v>107</v>
      </c>
      <c r="H2167">
        <v>68</v>
      </c>
      <c r="I2167">
        <v>97</v>
      </c>
      <c r="J2167">
        <v>0</v>
      </c>
      <c r="K2167">
        <v>97</v>
      </c>
      <c r="L2167">
        <v>42727.74</v>
      </c>
      <c r="M2167">
        <v>0</v>
      </c>
      <c r="N2167">
        <v>42727.74</v>
      </c>
      <c r="O2167">
        <v>15311.45</v>
      </c>
      <c r="P2167">
        <v>27416.29</v>
      </c>
      <c r="Q2167">
        <v>0.64170000000000005</v>
      </c>
      <c r="R2167">
        <v>7</v>
      </c>
      <c r="S2167">
        <v>4843.74</v>
      </c>
      <c r="T2167">
        <v>0</v>
      </c>
      <c r="U2167">
        <v>628.35</v>
      </c>
    </row>
    <row r="2168" spans="1:21" x14ac:dyDescent="0.35">
      <c r="A2168">
        <v>2026</v>
      </c>
      <c r="B2168">
        <v>4</v>
      </c>
      <c r="C2168">
        <v>2</v>
      </c>
      <c r="D2168" s="1">
        <v>46113</v>
      </c>
      <c r="E2168" s="4" t="s">
        <v>30</v>
      </c>
      <c r="F2168" s="4" t="s">
        <v>28</v>
      </c>
      <c r="G2168" s="4" t="s">
        <v>108</v>
      </c>
      <c r="H2168">
        <v>22</v>
      </c>
      <c r="I2168">
        <v>32</v>
      </c>
      <c r="J2168">
        <v>0</v>
      </c>
      <c r="K2168">
        <v>32</v>
      </c>
      <c r="L2168">
        <v>18868.2</v>
      </c>
      <c r="M2168">
        <v>0</v>
      </c>
      <c r="N2168">
        <v>18868.2</v>
      </c>
      <c r="O2168">
        <v>6888</v>
      </c>
      <c r="P2168">
        <v>11980.2</v>
      </c>
      <c r="Q2168">
        <v>0.63490000000000002</v>
      </c>
      <c r="R2168">
        <v>4</v>
      </c>
      <c r="S2168">
        <v>4108.2</v>
      </c>
      <c r="T2168">
        <v>0</v>
      </c>
      <c r="U2168">
        <v>857.65</v>
      </c>
    </row>
    <row r="2169" spans="1:21" x14ac:dyDescent="0.35">
      <c r="A2169">
        <v>2026</v>
      </c>
      <c r="B2169">
        <v>4</v>
      </c>
      <c r="C2169">
        <v>2</v>
      </c>
      <c r="D2169" s="1">
        <v>46113</v>
      </c>
      <c r="E2169" s="4" t="s">
        <v>30</v>
      </c>
      <c r="F2169" s="4" t="s">
        <v>28</v>
      </c>
      <c r="G2169" s="4" t="s">
        <v>109</v>
      </c>
      <c r="H2169">
        <v>388</v>
      </c>
      <c r="I2169">
        <v>584</v>
      </c>
      <c r="J2169">
        <v>0</v>
      </c>
      <c r="K2169">
        <v>584</v>
      </c>
      <c r="L2169">
        <v>231278.64</v>
      </c>
      <c r="M2169">
        <v>0</v>
      </c>
      <c r="N2169">
        <v>231278.64</v>
      </c>
      <c r="O2169">
        <v>83889.75</v>
      </c>
      <c r="P2169">
        <v>147388.89000000001</v>
      </c>
      <c r="Q2169">
        <v>0.63729999999999998</v>
      </c>
      <c r="R2169">
        <v>45</v>
      </c>
      <c r="S2169">
        <v>29986.21</v>
      </c>
      <c r="T2169">
        <v>0</v>
      </c>
      <c r="U2169">
        <v>596.08000000000004</v>
      </c>
    </row>
    <row r="2170" spans="1:21" x14ac:dyDescent="0.35">
      <c r="A2170">
        <v>2026</v>
      </c>
      <c r="B2170">
        <v>4</v>
      </c>
      <c r="C2170">
        <v>2</v>
      </c>
      <c r="D2170" s="1">
        <v>46113</v>
      </c>
      <c r="E2170" s="4" t="s">
        <v>30</v>
      </c>
      <c r="F2170" s="4" t="s">
        <v>24</v>
      </c>
      <c r="G2170" s="4" t="s">
        <v>107</v>
      </c>
      <c r="H2170">
        <v>29</v>
      </c>
      <c r="I2170">
        <v>52</v>
      </c>
      <c r="J2170">
        <v>0</v>
      </c>
      <c r="K2170">
        <v>52</v>
      </c>
      <c r="L2170">
        <v>94493.34</v>
      </c>
      <c r="M2170">
        <v>0</v>
      </c>
      <c r="N2170">
        <v>94493.34</v>
      </c>
      <c r="O2170">
        <v>54278.95</v>
      </c>
      <c r="P2170">
        <v>40214.39</v>
      </c>
      <c r="Q2170">
        <v>0.42559999999999998</v>
      </c>
      <c r="R2170">
        <v>5</v>
      </c>
      <c r="S2170">
        <v>17224.34</v>
      </c>
      <c r="T2170">
        <v>0</v>
      </c>
      <c r="U2170">
        <v>3258.39</v>
      </c>
    </row>
    <row r="2171" spans="1:21" x14ac:dyDescent="0.35">
      <c r="A2171">
        <v>2026</v>
      </c>
      <c r="B2171">
        <v>4</v>
      </c>
      <c r="C2171">
        <v>2</v>
      </c>
      <c r="D2171" s="1">
        <v>46113</v>
      </c>
      <c r="E2171" s="4" t="s">
        <v>30</v>
      </c>
      <c r="F2171" s="4" t="s">
        <v>24</v>
      </c>
      <c r="G2171" s="4" t="s">
        <v>108</v>
      </c>
      <c r="H2171">
        <v>3</v>
      </c>
      <c r="I2171">
        <v>3</v>
      </c>
      <c r="J2171">
        <v>0</v>
      </c>
      <c r="K2171">
        <v>3</v>
      </c>
      <c r="L2171">
        <v>7227</v>
      </c>
      <c r="M2171">
        <v>0</v>
      </c>
      <c r="N2171">
        <v>7227</v>
      </c>
      <c r="O2171">
        <v>3974.85</v>
      </c>
      <c r="P2171">
        <v>3252.15</v>
      </c>
      <c r="Q2171">
        <v>0.45</v>
      </c>
      <c r="R2171">
        <v>0</v>
      </c>
      <c r="S2171">
        <v>0</v>
      </c>
      <c r="T2171">
        <v>0</v>
      </c>
      <c r="U2171">
        <v>2409</v>
      </c>
    </row>
    <row r="2172" spans="1:21" x14ac:dyDescent="0.35">
      <c r="A2172">
        <v>2026</v>
      </c>
      <c r="B2172">
        <v>4</v>
      </c>
      <c r="C2172">
        <v>2</v>
      </c>
      <c r="D2172" s="1">
        <v>46113</v>
      </c>
      <c r="E2172" s="4" t="s">
        <v>30</v>
      </c>
      <c r="F2172" s="4" t="s">
        <v>24</v>
      </c>
      <c r="G2172" s="4" t="s">
        <v>109</v>
      </c>
      <c r="H2172">
        <v>101</v>
      </c>
      <c r="I2172">
        <v>150</v>
      </c>
      <c r="J2172">
        <v>1</v>
      </c>
      <c r="K2172">
        <v>149</v>
      </c>
      <c r="L2172">
        <v>274853.93</v>
      </c>
      <c r="M2172">
        <v>2434</v>
      </c>
      <c r="N2172">
        <v>272419.93</v>
      </c>
      <c r="O2172">
        <v>156800.04999999999</v>
      </c>
      <c r="P2172">
        <v>115619.88</v>
      </c>
      <c r="Q2172">
        <v>0.4244</v>
      </c>
      <c r="R2172">
        <v>12</v>
      </c>
      <c r="S2172">
        <v>42521.93</v>
      </c>
      <c r="T2172">
        <v>0</v>
      </c>
      <c r="U2172">
        <v>2697.23</v>
      </c>
    </row>
    <row r="2173" spans="1:21" x14ac:dyDescent="0.35">
      <c r="A2173">
        <v>2026</v>
      </c>
      <c r="B2173">
        <v>4</v>
      </c>
      <c r="C2173">
        <v>2</v>
      </c>
      <c r="D2173" s="1">
        <v>46113</v>
      </c>
      <c r="E2173" s="4" t="s">
        <v>30</v>
      </c>
      <c r="F2173" s="4" t="s">
        <v>26</v>
      </c>
      <c r="G2173" s="4" t="s">
        <v>109</v>
      </c>
      <c r="H2173">
        <v>33</v>
      </c>
      <c r="I2173">
        <v>47</v>
      </c>
      <c r="J2173">
        <v>4</v>
      </c>
      <c r="K2173">
        <v>43</v>
      </c>
      <c r="L2173">
        <v>38361.660000000003</v>
      </c>
      <c r="M2173">
        <v>2876</v>
      </c>
      <c r="N2173">
        <v>35485.660000000003</v>
      </c>
      <c r="O2173">
        <v>22179</v>
      </c>
      <c r="P2173">
        <v>13306.66</v>
      </c>
      <c r="Q2173">
        <v>0.375</v>
      </c>
      <c r="R2173">
        <v>5</v>
      </c>
      <c r="S2173">
        <v>4832.66</v>
      </c>
      <c r="T2173">
        <v>0</v>
      </c>
      <c r="U2173">
        <v>1075.32</v>
      </c>
    </row>
    <row r="2174" spans="1:21" x14ac:dyDescent="0.35">
      <c r="A2174">
        <v>2026</v>
      </c>
      <c r="B2174">
        <v>4</v>
      </c>
      <c r="C2174">
        <v>2</v>
      </c>
      <c r="D2174" s="1">
        <v>46113</v>
      </c>
      <c r="E2174" s="4" t="s">
        <v>78</v>
      </c>
      <c r="F2174" s="4" t="s">
        <v>78</v>
      </c>
      <c r="G2174" s="4" t="s">
        <v>110</v>
      </c>
      <c r="H2174">
        <v>125</v>
      </c>
      <c r="I2174">
        <v>185</v>
      </c>
      <c r="J2174">
        <v>0</v>
      </c>
      <c r="K2174">
        <v>185</v>
      </c>
      <c r="L2174">
        <v>483189</v>
      </c>
      <c r="M2174">
        <v>0</v>
      </c>
      <c r="N2174">
        <v>483189</v>
      </c>
      <c r="O2174">
        <v>72478.350000000006</v>
      </c>
      <c r="P2174">
        <v>410710.65</v>
      </c>
      <c r="Q2174">
        <v>0.85</v>
      </c>
      <c r="R2174">
        <v>2</v>
      </c>
      <c r="S2174">
        <v>12369</v>
      </c>
      <c r="T2174">
        <v>0</v>
      </c>
      <c r="U2174">
        <v>3865.51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89B6B3-6206-40F6-8E1F-BFFCC6418E05}">
  <dimension ref="B2:C38"/>
  <sheetViews>
    <sheetView workbookViewId="0">
      <selection activeCell="E7" sqref="E7"/>
    </sheetView>
  </sheetViews>
  <sheetFormatPr defaultRowHeight="14.5" x14ac:dyDescent="0.35"/>
  <cols>
    <col min="2" max="2" width="13.7265625" customWidth="1"/>
    <col min="3" max="3" width="9.90625" bestFit="1" customWidth="1"/>
  </cols>
  <sheetData>
    <row r="2" spans="2:3" x14ac:dyDescent="0.35">
      <c r="B2" t="s">
        <v>62</v>
      </c>
      <c r="C2" s="1">
        <f>Сегодня!C3</f>
        <v>46126</v>
      </c>
    </row>
    <row r="3" spans="2:3" x14ac:dyDescent="0.35">
      <c r="B3" t="s">
        <v>64</v>
      </c>
      <c r="C3">
        <f>YEAR(C2)</f>
        <v>2026</v>
      </c>
    </row>
    <row r="4" spans="2:3" x14ac:dyDescent="0.35">
      <c r="B4" t="s">
        <v>65</v>
      </c>
      <c r="C4">
        <f>MONTH(C2)</f>
        <v>4</v>
      </c>
    </row>
    <row r="5" spans="2:3" x14ac:dyDescent="0.35">
      <c r="B5" t="s">
        <v>66</v>
      </c>
      <c r="C5">
        <f>DAY(C2)</f>
        <v>14</v>
      </c>
    </row>
    <row r="6" spans="2:3" x14ac:dyDescent="0.35">
      <c r="B6" t="s">
        <v>67</v>
      </c>
      <c r="C6">
        <f>COUNT(C8:C38)</f>
        <v>30</v>
      </c>
    </row>
    <row r="8" spans="2:3" x14ac:dyDescent="0.35">
      <c r="B8" t="s">
        <v>63</v>
      </c>
      <c r="C8" s="1" cm="1">
        <f t="array" ref="C8:C37">DATE(C3,C4,1)+_xlfn.SEQUENCE(DAY(EOMONTH(DATE(C3,C4,1),0)),,0)</f>
        <v>46113</v>
      </c>
    </row>
    <row r="9" spans="2:3" x14ac:dyDescent="0.35">
      <c r="C9" s="1">
        <v>46114</v>
      </c>
    </row>
    <row r="10" spans="2:3" x14ac:dyDescent="0.35">
      <c r="C10" s="1">
        <v>46115</v>
      </c>
    </row>
    <row r="11" spans="2:3" x14ac:dyDescent="0.35">
      <c r="C11" s="1">
        <v>46116</v>
      </c>
    </row>
    <row r="12" spans="2:3" x14ac:dyDescent="0.35">
      <c r="C12" s="1">
        <v>46117</v>
      </c>
    </row>
    <row r="13" spans="2:3" x14ac:dyDescent="0.35">
      <c r="C13" s="1">
        <v>46118</v>
      </c>
    </row>
    <row r="14" spans="2:3" x14ac:dyDescent="0.35">
      <c r="C14" s="1">
        <v>46119</v>
      </c>
    </row>
    <row r="15" spans="2:3" x14ac:dyDescent="0.35">
      <c r="C15" s="1">
        <v>46120</v>
      </c>
    </row>
    <row r="16" spans="2:3" x14ac:dyDescent="0.35">
      <c r="C16" s="1">
        <v>46121</v>
      </c>
    </row>
    <row r="17" spans="3:3" x14ac:dyDescent="0.35">
      <c r="C17" s="1">
        <v>46122</v>
      </c>
    </row>
    <row r="18" spans="3:3" x14ac:dyDescent="0.35">
      <c r="C18" s="1">
        <v>46123</v>
      </c>
    </row>
    <row r="19" spans="3:3" x14ac:dyDescent="0.35">
      <c r="C19" s="1">
        <v>46124</v>
      </c>
    </row>
    <row r="20" spans="3:3" x14ac:dyDescent="0.35">
      <c r="C20" s="1">
        <v>46125</v>
      </c>
    </row>
    <row r="21" spans="3:3" x14ac:dyDescent="0.35">
      <c r="C21" s="1">
        <v>46126</v>
      </c>
    </row>
    <row r="22" spans="3:3" x14ac:dyDescent="0.35">
      <c r="C22" s="1">
        <v>46127</v>
      </c>
    </row>
    <row r="23" spans="3:3" x14ac:dyDescent="0.35">
      <c r="C23" s="1">
        <v>46128</v>
      </c>
    </row>
    <row r="24" spans="3:3" x14ac:dyDescent="0.35">
      <c r="C24" s="1">
        <v>46129</v>
      </c>
    </row>
    <row r="25" spans="3:3" x14ac:dyDescent="0.35">
      <c r="C25" s="1">
        <v>46130</v>
      </c>
    </row>
    <row r="26" spans="3:3" x14ac:dyDescent="0.35">
      <c r="C26" s="1">
        <v>46131</v>
      </c>
    </row>
    <row r="27" spans="3:3" x14ac:dyDescent="0.35">
      <c r="C27" s="1">
        <v>46132</v>
      </c>
    </row>
    <row r="28" spans="3:3" x14ac:dyDescent="0.35">
      <c r="C28" s="1">
        <v>46133</v>
      </c>
    </row>
    <row r="29" spans="3:3" x14ac:dyDescent="0.35">
      <c r="C29" s="1">
        <v>46134</v>
      </c>
    </row>
    <row r="30" spans="3:3" x14ac:dyDescent="0.35">
      <c r="C30" s="1">
        <v>46135</v>
      </c>
    </row>
    <row r="31" spans="3:3" x14ac:dyDescent="0.35">
      <c r="C31" s="1">
        <v>46136</v>
      </c>
    </row>
    <row r="32" spans="3:3" x14ac:dyDescent="0.35">
      <c r="C32" s="1">
        <v>46137</v>
      </c>
    </row>
    <row r="33" spans="3:3" x14ac:dyDescent="0.35">
      <c r="C33" s="1">
        <v>46138</v>
      </c>
    </row>
    <row r="34" spans="3:3" x14ac:dyDescent="0.35">
      <c r="C34" s="1">
        <v>46139</v>
      </c>
    </row>
    <row r="35" spans="3:3" x14ac:dyDescent="0.35">
      <c r="C35" s="1">
        <v>46140</v>
      </c>
    </row>
    <row r="36" spans="3:3" x14ac:dyDescent="0.35">
      <c r="C36" s="1">
        <v>46141</v>
      </c>
    </row>
    <row r="37" spans="3:3" x14ac:dyDescent="0.35">
      <c r="C37" s="1">
        <v>46142</v>
      </c>
    </row>
    <row r="38" spans="3:3" x14ac:dyDescent="0.35">
      <c r="C38" s="1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08B1BEE8-BE5D-4947-9BBB-DCA549411ED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5</vt:i4>
      </vt:variant>
    </vt:vector>
  </HeadingPairs>
  <TitlesOfParts>
    <vt:vector size="5" baseType="lpstr">
      <vt:lpstr>Сегодня</vt:lpstr>
      <vt:lpstr>public mart_daily_pulse</vt:lpstr>
      <vt:lpstr>public mart_plan_fact</vt:lpstr>
      <vt:lpstr>public mart_sales_trends</vt:lpstr>
      <vt:lpstr>Технический лист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Lev Ts</dc:creator>
  <cp:lastModifiedBy>Shchinova</cp:lastModifiedBy>
  <dcterms:created xsi:type="dcterms:W3CDTF">2015-06-05T18:19:34Z</dcterms:created>
  <dcterms:modified xsi:type="dcterms:W3CDTF">2026-04-19T22:07:40Z</dcterms:modified>
</cp:coreProperties>
</file>